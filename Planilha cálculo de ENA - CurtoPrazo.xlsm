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EstaPasta_de_trabalho" defaultThemeVersion="124226"/>
  <mc:AlternateContent xmlns:mc="http://schemas.openxmlformats.org/markup-compatibility/2006">
    <mc:Choice Requires="x15">
      <x15ac:absPath xmlns:x15ac="http://schemas.microsoft.com/office/spreadsheetml/2010/11/ac" url="\\192.168.254.20\@publico\Middle\ALVES\"/>
    </mc:Choice>
  </mc:AlternateContent>
  <xr:revisionPtr revIDLastSave="0" documentId="13_ncr:1_{C8923CF1-8FE5-4299-AE6A-822AED3464C4}" xr6:coauthVersionLast="47" xr6:coauthVersionMax="47" xr10:uidLastSave="{00000000-0000-0000-0000-000000000000}"/>
  <bookViews>
    <workbookView xWindow="-24735" yWindow="1050" windowWidth="17220" windowHeight="8850" tabRatio="623" xr2:uid="{00000000-000D-0000-FFFF-FFFF00000000}"/>
  </bookViews>
  <sheets>
    <sheet name="Prevs" sheetId="5" r:id="rId1"/>
    <sheet name="Reservatórios" sheetId="25" state="hidden" r:id="rId2"/>
    <sheet name="Enas" sheetId="24" r:id="rId3"/>
    <sheet name="Usinas" sheetId="7" r:id="rId4"/>
  </sheets>
  <externalReferences>
    <externalReference r:id="rId5"/>
    <externalReference r:id="rId6"/>
    <externalReference r:id="rId7"/>
  </externalReferences>
  <definedNames>
    <definedName name="_FilterDatabase" localSheetId="0" hidden="1">Prevs!$AD$20:$AN$211</definedName>
    <definedName name="_FilterDatabase" localSheetId="3" hidden="1">Usinas!$B$2:$H$241</definedName>
    <definedName name="_xlnm._FilterDatabase" localSheetId="0" hidden="1">Prevs!$AP$20:$BC$20</definedName>
    <definedName name="_xlnm._FilterDatabase" localSheetId="3" hidden="1">Usinas!$B$2:$H$241</definedName>
    <definedName name="AnoDeckBase">[1]dger.dat!$C$8</definedName>
    <definedName name="Carga_SIN">OFFSET([2]ENA!$Y$37,1,0,'[2]ENA Gráfico'!$L$3,1)</definedName>
    <definedName name="DADGER_1" localSheetId="1">Reservatórios!#REF!</definedName>
    <definedName name="Data">OFFSET([2]ENA!$S$37,1,0,'[2]ENA Gráfico'!$L$3,1)</definedName>
    <definedName name="EAR_data">OFFSET('[2]EAR mes a mes'!$AP$9,0,0,'[2]EAR mes a mes'!$AV$5,1)</definedName>
    <definedName name="EAR_max">OFFSET('[2]EAR mes a mes'!$AV$9,0,0,'[2]EAR mes a mes'!$AV$5,1)</definedName>
    <definedName name="EAR_MLT">OFFSET('[2]EAR mes a mes'!$AU$9,0,0,'[2]EAR mes a mes'!$AV$5,1)</definedName>
    <definedName name="EAR_N">OFFSET('[2]EAR mes a mes'!$AT$9,0,0,'[2]EAR mes a mes'!$AV$5,1)</definedName>
    <definedName name="EAR_NE">OFFSET('[2]EAR mes a mes'!$AS$9,0,0,'[2]EAR mes a mes'!$AV$5,1)</definedName>
    <definedName name="EAR_S">OFFSET('[2]EAR mes a mes'!$AR$9,0,0,'[2]EAR mes a mes'!$AV$5,1)</definedName>
    <definedName name="EAR_SE">OFFSET('[2]EAR mes a mes'!$AQ$9,0,0,'[2]EAR mes a mes'!$AV$5,1)</definedName>
    <definedName name="ENA_N">OFFSET([2]ENA!$W$37,1,0,'[2]ENA Gráfico'!$L$3,1)</definedName>
    <definedName name="ENA_NE">OFFSET([2]ENA!$V$37,1,0,'[2]ENA Gráfico'!$L$3,1)</definedName>
    <definedName name="ENA_S">OFFSET([2]ENA!$U$37,1,0,'[2]ENA Gráfico'!$L$3,1)</definedName>
    <definedName name="ENA_SE">OFFSET([2]ENA!$T$37,1,0,'[2]ENA Gráfico'!$L$3,1)</definedName>
    <definedName name="FD" localSheetId="1">#REF!</definedName>
    <definedName name="FD">#REF!</definedName>
    <definedName name="Geração_Térmica_SIN">OFFSET([2]ENA!$X$37,1,0,'[2]ENA Gráfico'!$L$3,1)</definedName>
    <definedName name="N_R" localSheetId="1">OFFSET(#REF!,#REF!,0,#REF!,1)</definedName>
    <definedName name="N_R">OFFSET(#REF!,#REF!,0,#REF!,1)</definedName>
    <definedName name="NE_R" localSheetId="1">OFFSET(#REF!,#REF!,0,#REF!,1)</definedName>
    <definedName name="NE_R">OFFSET(#REF!,#REF!,0,#REF!,1)</definedName>
    <definedName name="nEST">#REF!</definedName>
    <definedName name="S_R" localSheetId="1">OFFSET(#REF!,#REF!,0,#REF!,1)</definedName>
    <definedName name="S_R">OFFSET(#REF!,#REF!,0,#REF!,1)</definedName>
    <definedName name="SE_R" localSheetId="1">OFFSET(#REF!,#REF!,0,#REF!,1)</definedName>
    <definedName name="SE_R">OFFSET(#REF!,#REF!,0,#REF!,1)</definedName>
    <definedName name="solver_adj" localSheetId="0" hidden="1">Prevs!$AJ$374</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Prevs!$AJ$374</definedName>
    <definedName name="solver_lhs2" localSheetId="0" hidden="1">Prevs!$AQ$375:$AQ$726</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1</definedName>
    <definedName name="solver_nwt" localSheetId="0" hidden="1">1</definedName>
    <definedName name="solver_opt" localSheetId="0" hidden="1">Prevs!$AP$374</definedName>
    <definedName name="solver_pre" localSheetId="0" hidden="1">0.000001</definedName>
    <definedName name="solver_rbv" localSheetId="0" hidden="1">1</definedName>
    <definedName name="solver_rel1" localSheetId="0" hidden="1">4</definedName>
    <definedName name="solver_rel2" localSheetId="0" hidden="1">5</definedName>
    <definedName name="solver_rhs1" localSheetId="0" hidden="1">integer</definedName>
    <definedName name="solver_rhs2" localSheetId="0" hidden="1">binary</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34</definedName>
    <definedName name="solver_ver" localSheetId="0" hidden="1">3</definedName>
    <definedName name="Tab_1_PMO" localSheetId="1">#REF!</definedName>
    <definedName name="Tab_1_PMO">#REF!</definedName>
    <definedName name="Tab_1_Revisao" localSheetId="1">#REF!</definedName>
    <definedName name="Tab_1_Revisao">#REF!</definedName>
    <definedName name="Tab_10_PMO" localSheetId="1">#REF!</definedName>
    <definedName name="Tab_10_PMO">#REF!</definedName>
    <definedName name="Tab_10_Revisao" localSheetId="1">#REF!</definedName>
    <definedName name="Tab_10_Revisao">#REF!</definedName>
    <definedName name="Tab_11_PMO" localSheetId="1">#REF!</definedName>
    <definedName name="Tab_11_PMO">#REF!</definedName>
    <definedName name="Tab_11_Revisao" localSheetId="1">#REF!</definedName>
    <definedName name="Tab_11_Revisao">#REF!</definedName>
    <definedName name="Tab_12_PMO" localSheetId="1">#REF!</definedName>
    <definedName name="Tab_12_PMO">#REF!</definedName>
    <definedName name="Tab_12_Revisao" localSheetId="1">#REF!</definedName>
    <definedName name="Tab_12_Revisao">#REF!</definedName>
    <definedName name="Tab_13_PMO" localSheetId="1">#REF!</definedName>
    <definedName name="Tab_13_PMO">#REF!</definedName>
    <definedName name="Tab_13_Revisao" localSheetId="1">#REF!</definedName>
    <definedName name="Tab_13_Revisao">#REF!</definedName>
    <definedName name="Tab_14_PMO" localSheetId="1">#REF!</definedName>
    <definedName name="Tab_14_PMO">#REF!</definedName>
    <definedName name="Tab_15_PMO" localSheetId="1">#REF!</definedName>
    <definedName name="Tab_15_PMO">#REF!</definedName>
    <definedName name="Tab_16_PMO" localSheetId="1">#REF!</definedName>
    <definedName name="Tab_16_PMO">#REF!</definedName>
    <definedName name="Tab_17_PMO" localSheetId="1">#REF!</definedName>
    <definedName name="Tab_17_PMO">#REF!</definedName>
    <definedName name="Tab_18_PMO" localSheetId="1">#REF!</definedName>
    <definedName name="Tab_18_PMO">#REF!</definedName>
    <definedName name="Tab_19_PMO" localSheetId="1">#REF!</definedName>
    <definedName name="Tab_19_PMO">#REF!</definedName>
    <definedName name="Tab_2_PMO" localSheetId="1">#REF!</definedName>
    <definedName name="Tab_2_PMO">#REF!</definedName>
    <definedName name="Tab_2_Revisao" localSheetId="1">#REF!</definedName>
    <definedName name="Tab_2_Revisao">#REF!</definedName>
    <definedName name="Tab_20_PMO" localSheetId="1">#REF!</definedName>
    <definedName name="Tab_20_PMO">#REF!</definedName>
    <definedName name="Tab_21_PMO" localSheetId="1">#REF!</definedName>
    <definedName name="Tab_21_PMO">#REF!</definedName>
    <definedName name="Tab_22_PMO" localSheetId="1">#REF!</definedName>
    <definedName name="Tab_22_PMO">#REF!</definedName>
    <definedName name="Tab_23_PMO" localSheetId="1">#REF!</definedName>
    <definedName name="Tab_23_PMO">#REF!</definedName>
    <definedName name="Tab_24_PMO">'[3]Tab-24'!$A$5:$C$94,'[3]Tab-24'!$E$5:$G$41</definedName>
    <definedName name="Tab_25_PMO" localSheetId="1">#REF!</definedName>
    <definedName name="Tab_25_PMO">#REF!</definedName>
    <definedName name="Tab_3_PMO" localSheetId="1">#REF!</definedName>
    <definedName name="Tab_3_PMO">#REF!</definedName>
    <definedName name="Tab_3_Revisao" localSheetId="1">#REF!</definedName>
    <definedName name="Tab_3_Revisao">#REF!</definedName>
    <definedName name="Tab_4_PMO" localSheetId="1">#REF!</definedName>
    <definedName name="Tab_4_PMO">#REF!</definedName>
    <definedName name="Tab_4_Revisao" localSheetId="1">#REF!</definedName>
    <definedName name="Tab_4_Revisao">#REF!</definedName>
    <definedName name="Tab_5_PMO" localSheetId="1">#REF!</definedName>
    <definedName name="Tab_5_PMO">#REF!</definedName>
    <definedName name="Tab_5_Revisao" localSheetId="1">#REF!</definedName>
    <definedName name="Tab_5_Revisao">#REF!</definedName>
    <definedName name="Tab_6_PMO" localSheetId="1">#REF!</definedName>
    <definedName name="Tab_6_PMO">#REF!</definedName>
    <definedName name="Tab_6_Revisao" localSheetId="1">#REF!</definedName>
    <definedName name="Tab_6_Revisao">#REF!</definedName>
    <definedName name="Tab_7_PMO" localSheetId="1">#REF!</definedName>
    <definedName name="Tab_7_PMO">#REF!</definedName>
    <definedName name="Tab_7_Revisao" localSheetId="1">#REF!</definedName>
    <definedName name="Tab_7_Revisao">#REF!</definedName>
    <definedName name="Tab_8_PMO" localSheetId="1">#REF!</definedName>
    <definedName name="Tab_8_PMO">#REF!</definedName>
    <definedName name="Tab_8_Revisao" localSheetId="1">#REF!</definedName>
    <definedName name="Tab_8_Revisao">#REF!</definedName>
    <definedName name="Tab_9_PMO" localSheetId="1">#REF!</definedName>
    <definedName name="Tab_9_PMO">#REF!</definedName>
    <definedName name="Tab_9_Revisao" localSheetId="1">#REF!</definedName>
    <definedName name="Tab_9_Revisao">#REF!</definedName>
    <definedName name="Tabela2" localSheetId="1">#REF!</definedName>
    <definedName name="Tabela2">#REF!</definedName>
    <definedName name="teste" localSheetId="1">#REF!</definedName>
    <definedName name="teste">#REF!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97" i="5" l="1"/>
  <c r="J198" i="5"/>
  <c r="J199" i="5"/>
  <c r="J200" i="5"/>
  <c r="J201" i="5"/>
  <c r="J202" i="5"/>
  <c r="J203" i="5"/>
  <c r="Q6" i="24" l="1"/>
  <c r="AA4" i="5" l="1"/>
  <c r="AA5" i="5"/>
  <c r="AA6" i="5"/>
  <c r="AA3" i="5"/>
  <c r="BQ21" i="5" l="1"/>
  <c r="BX13" i="5"/>
  <c r="BW14" i="5" s="1"/>
  <c r="BW11" i="5"/>
  <c r="BP21" i="5"/>
  <c r="Q3" i="24" l="1"/>
  <c r="BH82" i="5" l="1"/>
  <c r="BG100" i="5" a="1"/>
  <c r="BG100" i="5" s="1"/>
  <c r="BX30" i="5" l="1"/>
  <c r="BX21" i="5"/>
  <c r="BX22" i="5"/>
  <c r="BX23" i="5"/>
  <c r="BX24" i="5"/>
  <c r="BX25" i="5"/>
  <c r="BX26" i="5"/>
  <c r="BX27" i="5"/>
  <c r="BX28" i="5"/>
  <c r="BX29" i="5"/>
  <c r="BX20" i="5"/>
  <c r="BN194" i="5" l="1"/>
  <c r="BO194" i="5"/>
  <c r="BP194" i="5"/>
  <c r="BQ194" i="5"/>
  <c r="BR194" i="5"/>
  <c r="BS194" i="5"/>
  <c r="BT194" i="5"/>
  <c r="BN195" i="5"/>
  <c r="BO195" i="5"/>
  <c r="BP195" i="5"/>
  <c r="BQ195" i="5"/>
  <c r="BR195" i="5"/>
  <c r="BS195" i="5"/>
  <c r="BT195" i="5"/>
  <c r="BN196" i="5"/>
  <c r="BO196" i="5"/>
  <c r="BP196" i="5"/>
  <c r="BQ196" i="5"/>
  <c r="BR196" i="5"/>
  <c r="BS196" i="5"/>
  <c r="BT196" i="5"/>
  <c r="BM195" i="5"/>
  <c r="AD195" i="5" s="1"/>
  <c r="BM196" i="5"/>
  <c r="AD196" i="5" s="1"/>
  <c r="BS185" i="5"/>
  <c r="BR185" i="5"/>
  <c r="BQ185" i="5" l="1"/>
  <c r="BT185" i="5"/>
  <c r="BP185" i="5"/>
  <c r="AK5" i="5" l="1"/>
  <c r="AL5" i="5"/>
  <c r="AD13" i="5" s="1"/>
  <c r="AM5" i="5"/>
  <c r="AN5" i="5"/>
  <c r="AO5" i="5"/>
  <c r="AJ5" i="5"/>
  <c r="AK10" i="5"/>
  <c r="AL10" i="5"/>
  <c r="AM10" i="5"/>
  <c r="AN10" i="5"/>
  <c r="AO10" i="5"/>
  <c r="AJ10" i="5"/>
  <c r="AK4" i="5"/>
  <c r="AL4" i="5"/>
  <c r="AM4" i="5"/>
  <c r="AN4" i="5"/>
  <c r="AO4" i="5"/>
  <c r="AC13" i="5"/>
  <c r="AK6" i="5"/>
  <c r="AL6" i="5"/>
  <c r="AM6" i="5"/>
  <c r="AN6" i="5"/>
  <c r="AF14" i="5" s="1"/>
  <c r="AO6" i="5"/>
  <c r="AK7" i="5"/>
  <c r="AL7" i="5"/>
  <c r="AM7" i="5"/>
  <c r="AN7" i="5"/>
  <c r="AO7" i="5"/>
  <c r="AJ6" i="5"/>
  <c r="AJ7" i="5"/>
  <c r="AK9" i="5"/>
  <c r="AL9" i="5"/>
  <c r="AM9" i="5"/>
  <c r="AN9" i="5"/>
  <c r="AO9" i="5"/>
  <c r="AK11" i="5"/>
  <c r="AL11" i="5"/>
  <c r="AM11" i="5"/>
  <c r="AN11" i="5"/>
  <c r="AO11" i="5"/>
  <c r="AK12" i="5"/>
  <c r="AL12" i="5"/>
  <c r="AM12" i="5"/>
  <c r="AN12" i="5"/>
  <c r="AO12" i="5"/>
  <c r="AJ11" i="5"/>
  <c r="AJ12" i="5"/>
  <c r="AC12" i="5"/>
  <c r="AD12" i="5"/>
  <c r="AE12" i="5"/>
  <c r="AF12" i="5"/>
  <c r="AG12" i="5"/>
  <c r="AE13" i="5"/>
  <c r="AF13" i="5"/>
  <c r="AG13" i="5"/>
  <c r="AC14" i="5"/>
  <c r="AD14" i="5"/>
  <c r="AE14" i="5"/>
  <c r="AG14" i="5"/>
  <c r="AC15" i="5"/>
  <c r="AD15" i="5"/>
  <c r="AE15" i="5"/>
  <c r="AF15" i="5"/>
  <c r="AG15" i="5"/>
  <c r="AB13" i="5"/>
  <c r="AB14" i="5"/>
  <c r="AB15" i="5"/>
  <c r="AB12" i="5"/>
  <c r="AJ4" i="5"/>
  <c r="AJ9" i="5"/>
  <c r="R1" i="5" l="1"/>
  <c r="U155" i="5" s="1"/>
  <c r="U160" i="5" s="1"/>
  <c r="BO21" i="5"/>
  <c r="BN21" i="5"/>
  <c r="AE21" i="5" s="1"/>
  <c r="BA21" i="5"/>
  <c r="AT21" i="5" s="1"/>
  <c r="BN22" i="5"/>
  <c r="AE22" i="5" s="1"/>
  <c r="BW60" i="5" s="1"/>
  <c r="BX61" i="5" s="1"/>
  <c r="BN23" i="5"/>
  <c r="AE23" i="5" s="1"/>
  <c r="BW61" i="5" s="1"/>
  <c r="BX62" i="5" s="1"/>
  <c r="BN24" i="5"/>
  <c r="AE24" i="5" s="1"/>
  <c r="BN25" i="5"/>
  <c r="AE25" i="5" s="1"/>
  <c r="AM25" i="5" s="1"/>
  <c r="BR21" i="5"/>
  <c r="BS21" i="5"/>
  <c r="BT21" i="5"/>
  <c r="BO22" i="5"/>
  <c r="BP22" i="5"/>
  <c r="BQ22" i="5"/>
  <c r="BR22" i="5"/>
  <c r="BS22" i="5"/>
  <c r="BT22" i="5"/>
  <c r="BO23" i="5"/>
  <c r="BP23" i="5"/>
  <c r="BQ23" i="5"/>
  <c r="BR23" i="5"/>
  <c r="BS23" i="5"/>
  <c r="BT23" i="5"/>
  <c r="BO24" i="5"/>
  <c r="BP24" i="5"/>
  <c r="BQ24" i="5"/>
  <c r="BR24" i="5"/>
  <c r="BS24" i="5"/>
  <c r="BT24" i="5"/>
  <c r="BO25" i="5"/>
  <c r="BP25" i="5"/>
  <c r="BQ25" i="5"/>
  <c r="BR25" i="5"/>
  <c r="BS25" i="5"/>
  <c r="BT25" i="5"/>
  <c r="BN26" i="5"/>
  <c r="AE26" i="5" s="1"/>
  <c r="BW64" i="5" s="1"/>
  <c r="BX65" i="5" s="1"/>
  <c r="BO26" i="5"/>
  <c r="BP26" i="5"/>
  <c r="BQ26" i="5"/>
  <c r="BR26" i="5"/>
  <c r="BS26" i="5"/>
  <c r="BT26" i="5"/>
  <c r="BN27" i="5"/>
  <c r="AE27" i="5" s="1"/>
  <c r="BW65" i="5" s="1"/>
  <c r="BX66" i="5" s="1"/>
  <c r="BO27" i="5"/>
  <c r="BP27" i="5"/>
  <c r="BQ27" i="5"/>
  <c r="BR27" i="5"/>
  <c r="BS27" i="5"/>
  <c r="BT27" i="5"/>
  <c r="BN28" i="5"/>
  <c r="AE28" i="5" s="1"/>
  <c r="BW66" i="5" s="1"/>
  <c r="BX67" i="5" s="1"/>
  <c r="BO28" i="5"/>
  <c r="BP28" i="5"/>
  <c r="BQ28" i="5"/>
  <c r="BR28" i="5"/>
  <c r="BS28" i="5"/>
  <c r="BT28" i="5"/>
  <c r="BN29" i="5"/>
  <c r="AE29" i="5" s="1"/>
  <c r="BO29" i="5"/>
  <c r="BP29" i="5"/>
  <c r="BQ29" i="5"/>
  <c r="BR29" i="5"/>
  <c r="BS29" i="5"/>
  <c r="BT29" i="5"/>
  <c r="BN30" i="5"/>
  <c r="AE30" i="5" s="1"/>
  <c r="BW68" i="5" s="1"/>
  <c r="BX69" i="5" s="1"/>
  <c r="BO30" i="5"/>
  <c r="BP30" i="5"/>
  <c r="BQ30" i="5"/>
  <c r="BR30" i="5"/>
  <c r="BS30" i="5"/>
  <c r="BT30" i="5"/>
  <c r="BN31" i="5"/>
  <c r="AE31" i="5" s="1"/>
  <c r="AM31" i="5" s="1"/>
  <c r="BO31" i="5"/>
  <c r="BP31" i="5"/>
  <c r="BQ31" i="5"/>
  <c r="BR31" i="5"/>
  <c r="BS31" i="5"/>
  <c r="BT31" i="5"/>
  <c r="BN32" i="5"/>
  <c r="AE32" i="5" s="1"/>
  <c r="AM32" i="5" s="1"/>
  <c r="BO32" i="5"/>
  <c r="BP32" i="5"/>
  <c r="BQ32" i="5"/>
  <c r="BR32" i="5"/>
  <c r="BS32" i="5"/>
  <c r="BT32" i="5"/>
  <c r="BN33" i="5"/>
  <c r="AE33" i="5" s="1"/>
  <c r="BO33" i="5"/>
  <c r="BP33" i="5"/>
  <c r="BQ33" i="5"/>
  <c r="BR33" i="5"/>
  <c r="BS33" i="5"/>
  <c r="BT33" i="5"/>
  <c r="BN34" i="5"/>
  <c r="AE34" i="5" s="1"/>
  <c r="BW72" i="5" s="1"/>
  <c r="BX73" i="5" s="1"/>
  <c r="BO34" i="5"/>
  <c r="BP34" i="5"/>
  <c r="BQ34" i="5"/>
  <c r="BR34" i="5"/>
  <c r="BS34" i="5"/>
  <c r="BT34" i="5"/>
  <c r="BN35" i="5"/>
  <c r="AE35" i="5" s="1"/>
  <c r="BW73" i="5" s="1"/>
  <c r="BX74" i="5" s="1"/>
  <c r="BO35" i="5"/>
  <c r="BP35" i="5"/>
  <c r="BQ35" i="5"/>
  <c r="BR35" i="5"/>
  <c r="BS35" i="5"/>
  <c r="BT35" i="5"/>
  <c r="BN36" i="5"/>
  <c r="AE36" i="5" s="1"/>
  <c r="BW74" i="5" s="1"/>
  <c r="BX75" i="5" s="1"/>
  <c r="BO36" i="5"/>
  <c r="BP36" i="5"/>
  <c r="BQ36" i="5"/>
  <c r="BR36" i="5"/>
  <c r="BS36" i="5"/>
  <c r="BT36" i="5"/>
  <c r="BN37" i="5"/>
  <c r="AE37" i="5" s="1"/>
  <c r="AM37" i="5" s="1"/>
  <c r="BO37" i="5"/>
  <c r="BP37" i="5"/>
  <c r="BQ37" i="5"/>
  <c r="BR37" i="5"/>
  <c r="BS37" i="5"/>
  <c r="BT37" i="5"/>
  <c r="BN38" i="5"/>
  <c r="AE38" i="5" s="1"/>
  <c r="BW76" i="5" s="1"/>
  <c r="BX77" i="5" s="1"/>
  <c r="BO38" i="5"/>
  <c r="BP38" i="5"/>
  <c r="BQ38" i="5"/>
  <c r="BR38" i="5"/>
  <c r="BS38" i="5"/>
  <c r="BT38" i="5"/>
  <c r="BN39" i="5"/>
  <c r="AE39" i="5" s="1"/>
  <c r="BO39" i="5"/>
  <c r="BP39" i="5"/>
  <c r="BQ39" i="5"/>
  <c r="BR39" i="5"/>
  <c r="BS39" i="5"/>
  <c r="BT39" i="5"/>
  <c r="BN40" i="5"/>
  <c r="AE40" i="5" s="1"/>
  <c r="AM40" i="5" s="1"/>
  <c r="BO40" i="5"/>
  <c r="BP40" i="5"/>
  <c r="BQ40" i="5"/>
  <c r="BR40" i="5"/>
  <c r="BS40" i="5"/>
  <c r="BT40" i="5"/>
  <c r="BN41" i="5"/>
  <c r="AE41" i="5" s="1"/>
  <c r="BO41" i="5"/>
  <c r="BP41" i="5"/>
  <c r="BQ41" i="5"/>
  <c r="BR41" i="5"/>
  <c r="BS41" i="5"/>
  <c r="BT41" i="5"/>
  <c r="BN42" i="5"/>
  <c r="AE42" i="5" s="1"/>
  <c r="BW80" i="5" s="1"/>
  <c r="BX81" i="5" s="1"/>
  <c r="BO42" i="5"/>
  <c r="BP42" i="5"/>
  <c r="BQ42" i="5"/>
  <c r="BR42" i="5"/>
  <c r="BS42" i="5"/>
  <c r="BT42" i="5"/>
  <c r="BN43" i="5"/>
  <c r="AE43" i="5" s="1"/>
  <c r="BW81" i="5" s="1"/>
  <c r="BX82" i="5" s="1"/>
  <c r="BO43" i="5"/>
  <c r="BP43" i="5"/>
  <c r="BQ43" i="5"/>
  <c r="BR43" i="5"/>
  <c r="BS43" i="5"/>
  <c r="BT43" i="5"/>
  <c r="BN44" i="5"/>
  <c r="AE44" i="5" s="1"/>
  <c r="BW82" i="5" s="1"/>
  <c r="BX83" i="5" s="1"/>
  <c r="BO44" i="5"/>
  <c r="BP44" i="5"/>
  <c r="BQ44" i="5"/>
  <c r="BR44" i="5"/>
  <c r="BS44" i="5"/>
  <c r="BT44" i="5"/>
  <c r="BN45" i="5"/>
  <c r="AE45" i="5" s="1"/>
  <c r="BO45" i="5"/>
  <c r="BP45" i="5"/>
  <c r="BQ45" i="5"/>
  <c r="BR45" i="5"/>
  <c r="BS45" i="5"/>
  <c r="BT45" i="5"/>
  <c r="BN46" i="5"/>
  <c r="AE46" i="5" s="1"/>
  <c r="BW84" i="5" s="1"/>
  <c r="BX85" i="5" s="1"/>
  <c r="BO46" i="5"/>
  <c r="BP46" i="5"/>
  <c r="BQ46" i="5"/>
  <c r="BR46" i="5"/>
  <c r="BS46" i="5"/>
  <c r="BT46" i="5"/>
  <c r="BN47" i="5"/>
  <c r="AE47" i="5" s="1"/>
  <c r="BO47" i="5"/>
  <c r="BP47" i="5"/>
  <c r="BQ47" i="5"/>
  <c r="BR47" i="5"/>
  <c r="BS47" i="5"/>
  <c r="BT47" i="5"/>
  <c r="BN48" i="5"/>
  <c r="AE48" i="5" s="1"/>
  <c r="AM48" i="5" s="1"/>
  <c r="BO48" i="5"/>
  <c r="BP48" i="5"/>
  <c r="BQ48" i="5"/>
  <c r="BR48" i="5"/>
  <c r="BS48" i="5"/>
  <c r="BT48" i="5"/>
  <c r="BN49" i="5"/>
  <c r="AE49" i="5" s="1"/>
  <c r="BO49" i="5"/>
  <c r="BP49" i="5"/>
  <c r="BQ49" i="5"/>
  <c r="BR49" i="5"/>
  <c r="BS49" i="5"/>
  <c r="BT49" i="5"/>
  <c r="BN50" i="5"/>
  <c r="AE50" i="5" s="1"/>
  <c r="BW88" i="5" s="1"/>
  <c r="BX89" i="5" s="1"/>
  <c r="BO50" i="5"/>
  <c r="BP50" i="5"/>
  <c r="BQ50" i="5"/>
  <c r="BR50" i="5"/>
  <c r="BS50" i="5"/>
  <c r="BT50" i="5"/>
  <c r="BN51" i="5"/>
  <c r="AE51" i="5" s="1"/>
  <c r="BW89" i="5" s="1"/>
  <c r="BX90" i="5" s="1"/>
  <c r="BO51" i="5"/>
  <c r="BP51" i="5"/>
  <c r="BQ51" i="5"/>
  <c r="BR51" i="5"/>
  <c r="BS51" i="5"/>
  <c r="BT51" i="5"/>
  <c r="BN52" i="5"/>
  <c r="AE52" i="5" s="1"/>
  <c r="BW90" i="5" s="1"/>
  <c r="BX91" i="5" s="1"/>
  <c r="BO52" i="5"/>
  <c r="BP52" i="5"/>
  <c r="BQ52" i="5"/>
  <c r="BR52" i="5"/>
  <c r="BS52" i="5"/>
  <c r="BT52" i="5"/>
  <c r="BN53" i="5"/>
  <c r="AE53" i="5" s="1"/>
  <c r="BO53" i="5"/>
  <c r="BP53" i="5"/>
  <c r="BQ53" i="5"/>
  <c r="BR53" i="5"/>
  <c r="BS53" i="5"/>
  <c r="BT53" i="5"/>
  <c r="BN54" i="5"/>
  <c r="AE54" i="5" s="1"/>
  <c r="BW92" i="5" s="1"/>
  <c r="BX93" i="5" s="1"/>
  <c r="BO54" i="5"/>
  <c r="BP54" i="5"/>
  <c r="BQ54" i="5"/>
  <c r="BR54" i="5"/>
  <c r="BS54" i="5"/>
  <c r="BT54" i="5"/>
  <c r="BN55" i="5"/>
  <c r="AE55" i="5" s="1"/>
  <c r="BO55" i="5"/>
  <c r="BP55" i="5"/>
  <c r="BQ55" i="5"/>
  <c r="BR55" i="5"/>
  <c r="BS55" i="5"/>
  <c r="BT55" i="5"/>
  <c r="BN56" i="5"/>
  <c r="AE56" i="5" s="1"/>
  <c r="AM56" i="5" s="1"/>
  <c r="BO56" i="5"/>
  <c r="BP56" i="5"/>
  <c r="BQ56" i="5"/>
  <c r="BR56" i="5"/>
  <c r="BS56" i="5"/>
  <c r="BT56" i="5"/>
  <c r="BN57" i="5"/>
  <c r="AE57" i="5" s="1"/>
  <c r="BO57" i="5"/>
  <c r="BP57" i="5"/>
  <c r="BQ57" i="5"/>
  <c r="BR57" i="5"/>
  <c r="BS57" i="5"/>
  <c r="BT57" i="5"/>
  <c r="BN58" i="5"/>
  <c r="AE58" i="5" s="1"/>
  <c r="BW96" i="5" s="1"/>
  <c r="BX97" i="5" s="1"/>
  <c r="BO58" i="5"/>
  <c r="BP58" i="5"/>
  <c r="BQ58" i="5"/>
  <c r="BR58" i="5"/>
  <c r="BS58" i="5"/>
  <c r="BT58" i="5"/>
  <c r="BN59" i="5"/>
  <c r="AE59" i="5" s="1"/>
  <c r="BW97" i="5" s="1"/>
  <c r="BX98" i="5" s="1"/>
  <c r="BO59" i="5"/>
  <c r="BP59" i="5"/>
  <c r="BQ59" i="5"/>
  <c r="BR59" i="5"/>
  <c r="BS59" i="5"/>
  <c r="BT59" i="5"/>
  <c r="BN60" i="5"/>
  <c r="AE60" i="5" s="1"/>
  <c r="BW98" i="5" s="1"/>
  <c r="BX99" i="5" s="1"/>
  <c r="BO60" i="5"/>
  <c r="BP60" i="5"/>
  <c r="BQ60" i="5"/>
  <c r="BR60" i="5"/>
  <c r="BS60" i="5"/>
  <c r="BT60" i="5"/>
  <c r="BN61" i="5"/>
  <c r="AE61" i="5" s="1"/>
  <c r="AM61" i="5" s="1"/>
  <c r="BO61" i="5"/>
  <c r="BP61" i="5"/>
  <c r="BQ61" i="5"/>
  <c r="BR61" i="5"/>
  <c r="BS61" i="5"/>
  <c r="BT61" i="5"/>
  <c r="BN62" i="5"/>
  <c r="AE62" i="5" s="1"/>
  <c r="BW100" i="5" s="1"/>
  <c r="BX101" i="5" s="1"/>
  <c r="BO62" i="5"/>
  <c r="BP62" i="5"/>
  <c r="BQ62" i="5"/>
  <c r="BR62" i="5"/>
  <c r="BS62" i="5"/>
  <c r="BT62" i="5"/>
  <c r="BN63" i="5"/>
  <c r="AE63" i="5" s="1"/>
  <c r="BO63" i="5"/>
  <c r="BP63" i="5"/>
  <c r="BQ63" i="5"/>
  <c r="BR63" i="5"/>
  <c r="BS63" i="5"/>
  <c r="BT63" i="5"/>
  <c r="BN64" i="5"/>
  <c r="AE64" i="5" s="1"/>
  <c r="AM64" i="5" s="1"/>
  <c r="BO64" i="5"/>
  <c r="BP64" i="5"/>
  <c r="BQ64" i="5"/>
  <c r="BR64" i="5"/>
  <c r="BS64" i="5"/>
  <c r="BT64" i="5"/>
  <c r="BN65" i="5"/>
  <c r="AE65" i="5" s="1"/>
  <c r="BO65" i="5"/>
  <c r="BP65" i="5"/>
  <c r="BQ65" i="5"/>
  <c r="BR65" i="5"/>
  <c r="BS65" i="5"/>
  <c r="BT65" i="5"/>
  <c r="BN66" i="5"/>
  <c r="AE66" i="5" s="1"/>
  <c r="BW104" i="5" s="1"/>
  <c r="BX105" i="5" s="1"/>
  <c r="BO66" i="5"/>
  <c r="BP66" i="5"/>
  <c r="BQ66" i="5"/>
  <c r="BR66" i="5"/>
  <c r="BS66" i="5"/>
  <c r="BT66" i="5"/>
  <c r="BN67" i="5"/>
  <c r="AE67" i="5" s="1"/>
  <c r="BW105" i="5" s="1"/>
  <c r="BX106" i="5" s="1"/>
  <c r="BO67" i="5"/>
  <c r="BP67" i="5"/>
  <c r="BQ67" i="5"/>
  <c r="BR67" i="5"/>
  <c r="BS67" i="5"/>
  <c r="BT67" i="5"/>
  <c r="BN68" i="5"/>
  <c r="AE68" i="5" s="1"/>
  <c r="BW106" i="5" s="1"/>
  <c r="BX107" i="5" s="1"/>
  <c r="BO68" i="5"/>
  <c r="BP68" i="5"/>
  <c r="BQ68" i="5"/>
  <c r="BR68" i="5"/>
  <c r="BS68" i="5"/>
  <c r="BT68" i="5"/>
  <c r="BN69" i="5"/>
  <c r="AE69" i="5" s="1"/>
  <c r="BO69" i="5"/>
  <c r="BP69" i="5"/>
  <c r="BQ69" i="5"/>
  <c r="BR69" i="5"/>
  <c r="BS69" i="5"/>
  <c r="BT69" i="5"/>
  <c r="BN70" i="5"/>
  <c r="AE70" i="5" s="1"/>
  <c r="AM70" i="5" s="1"/>
  <c r="BO70" i="5"/>
  <c r="BP70" i="5"/>
  <c r="BQ70" i="5"/>
  <c r="BR70" i="5"/>
  <c r="BS70" i="5"/>
  <c r="BT70" i="5"/>
  <c r="BN71" i="5"/>
  <c r="AE71" i="5" s="1"/>
  <c r="BW109" i="5" s="1"/>
  <c r="BX110" i="5" s="1"/>
  <c r="BO71" i="5"/>
  <c r="BP71" i="5"/>
  <c r="BQ71" i="5"/>
  <c r="BR71" i="5"/>
  <c r="BS71" i="5"/>
  <c r="BT71" i="5"/>
  <c r="BN72" i="5"/>
  <c r="AE72" i="5" s="1"/>
  <c r="AM72" i="5" s="1"/>
  <c r="BO72" i="5"/>
  <c r="BP72" i="5"/>
  <c r="BQ72" i="5"/>
  <c r="BR72" i="5"/>
  <c r="BS72" i="5"/>
  <c r="BT72" i="5"/>
  <c r="BN73" i="5"/>
  <c r="AE73" i="5" s="1"/>
  <c r="BO73" i="5"/>
  <c r="BP73" i="5"/>
  <c r="BQ73" i="5"/>
  <c r="BR73" i="5"/>
  <c r="BS73" i="5"/>
  <c r="BT73" i="5"/>
  <c r="BN74" i="5"/>
  <c r="AE74" i="5" s="1"/>
  <c r="BW112" i="5" s="1"/>
  <c r="BX113" i="5" s="1"/>
  <c r="BO74" i="5"/>
  <c r="BP74" i="5"/>
  <c r="BQ74" i="5"/>
  <c r="BR74" i="5"/>
  <c r="BS74" i="5"/>
  <c r="BT74" i="5"/>
  <c r="BN75" i="5"/>
  <c r="AE75" i="5" s="1"/>
  <c r="BO75" i="5"/>
  <c r="BP75" i="5"/>
  <c r="BQ75" i="5"/>
  <c r="BR75" i="5"/>
  <c r="BS75" i="5"/>
  <c r="BT75" i="5"/>
  <c r="BN76" i="5"/>
  <c r="AE76" i="5" s="1"/>
  <c r="AM76" i="5" s="1"/>
  <c r="BO76" i="5"/>
  <c r="BP76" i="5"/>
  <c r="BQ76" i="5"/>
  <c r="BR76" i="5"/>
  <c r="BS76" i="5"/>
  <c r="BT76" i="5"/>
  <c r="BN77" i="5"/>
  <c r="AE77" i="5" s="1"/>
  <c r="BO77" i="5"/>
  <c r="BP77" i="5"/>
  <c r="BQ77" i="5"/>
  <c r="BR77" i="5"/>
  <c r="BS77" i="5"/>
  <c r="BT77" i="5"/>
  <c r="BN78" i="5"/>
  <c r="AE78" i="5" s="1"/>
  <c r="AM78" i="5" s="1"/>
  <c r="BO78" i="5"/>
  <c r="BP78" i="5"/>
  <c r="BQ78" i="5"/>
  <c r="BR78" i="5"/>
  <c r="BS78" i="5"/>
  <c r="BT78" i="5"/>
  <c r="BN79" i="5"/>
  <c r="AE79" i="5" s="1"/>
  <c r="BO79" i="5"/>
  <c r="BP79" i="5"/>
  <c r="BQ79" i="5"/>
  <c r="BR79" i="5"/>
  <c r="BS79" i="5"/>
  <c r="BT79" i="5"/>
  <c r="BN80" i="5"/>
  <c r="AE80" i="5" s="1"/>
  <c r="BW118" i="5" s="1"/>
  <c r="BX119" i="5" s="1"/>
  <c r="BO80" i="5"/>
  <c r="BP80" i="5"/>
  <c r="BQ80" i="5"/>
  <c r="BR80" i="5"/>
  <c r="BS80" i="5"/>
  <c r="BT80" i="5"/>
  <c r="BN81" i="5"/>
  <c r="AE81" i="5" s="1"/>
  <c r="BW119" i="5" s="1"/>
  <c r="BX120" i="5" s="1"/>
  <c r="BO81" i="5"/>
  <c r="BP81" i="5"/>
  <c r="BQ81" i="5"/>
  <c r="BR81" i="5"/>
  <c r="BS81" i="5"/>
  <c r="BT81" i="5"/>
  <c r="BN82" i="5"/>
  <c r="AE82" i="5" s="1"/>
  <c r="AM82" i="5" s="1"/>
  <c r="BO82" i="5"/>
  <c r="BP82" i="5"/>
  <c r="BQ82" i="5"/>
  <c r="BR82" i="5"/>
  <c r="BS82" i="5"/>
  <c r="BT82" i="5"/>
  <c r="BN83" i="5"/>
  <c r="AE83" i="5" s="1"/>
  <c r="BO83" i="5"/>
  <c r="BO184" i="5" s="1"/>
  <c r="BP83" i="5"/>
  <c r="BP184" i="5" s="1"/>
  <c r="BQ83" i="5"/>
  <c r="BQ184" i="5" s="1"/>
  <c r="BR83" i="5"/>
  <c r="BR184" i="5" s="1"/>
  <c r="BS83" i="5"/>
  <c r="BS184" i="5" s="1"/>
  <c r="BT83" i="5"/>
  <c r="BT184" i="5" s="1"/>
  <c r="BN84" i="5"/>
  <c r="AE84" i="5" s="1"/>
  <c r="BW122" i="5" s="1"/>
  <c r="BX123" i="5" s="1"/>
  <c r="BO84" i="5"/>
  <c r="BP84" i="5"/>
  <c r="BQ84" i="5"/>
  <c r="BR84" i="5"/>
  <c r="BS84" i="5"/>
  <c r="BT84" i="5"/>
  <c r="BN85" i="5"/>
  <c r="AE85" i="5" s="1"/>
  <c r="AL85" i="5" s="1"/>
  <c r="BO85" i="5"/>
  <c r="BP85" i="5"/>
  <c r="BQ85" i="5"/>
  <c r="BR85" i="5"/>
  <c r="BS85" i="5"/>
  <c r="BT85" i="5"/>
  <c r="BN86" i="5"/>
  <c r="AE86" i="5" s="1"/>
  <c r="BW124" i="5" s="1"/>
  <c r="BX125" i="5" s="1"/>
  <c r="BO86" i="5"/>
  <c r="BP86" i="5"/>
  <c r="BQ86" i="5"/>
  <c r="BR86" i="5"/>
  <c r="BS86" i="5"/>
  <c r="BT86" i="5"/>
  <c r="BN87" i="5"/>
  <c r="AE87" i="5" s="1"/>
  <c r="BW125" i="5" s="1"/>
  <c r="BX126" i="5" s="1"/>
  <c r="BO87" i="5"/>
  <c r="BP87" i="5"/>
  <c r="BQ87" i="5"/>
  <c r="BR87" i="5"/>
  <c r="BS87" i="5"/>
  <c r="BT87" i="5"/>
  <c r="BN88" i="5"/>
  <c r="AE88" i="5" s="1"/>
  <c r="BW126" i="5" s="1"/>
  <c r="BX127" i="5" s="1"/>
  <c r="BO88" i="5"/>
  <c r="BP88" i="5"/>
  <c r="BQ88" i="5"/>
  <c r="BR88" i="5"/>
  <c r="BS88" i="5"/>
  <c r="BT88" i="5"/>
  <c r="BN89" i="5"/>
  <c r="AE89" i="5" s="1"/>
  <c r="BW127" i="5" s="1"/>
  <c r="BX128" i="5" s="1"/>
  <c r="BO89" i="5"/>
  <c r="BP89" i="5"/>
  <c r="BQ89" i="5"/>
  <c r="BR89" i="5"/>
  <c r="BS89" i="5"/>
  <c r="BT89" i="5"/>
  <c r="BN90" i="5"/>
  <c r="AE90" i="5" s="1"/>
  <c r="BW128" i="5" s="1"/>
  <c r="BX129" i="5" s="1"/>
  <c r="BO90" i="5"/>
  <c r="BP90" i="5"/>
  <c r="BQ90" i="5"/>
  <c r="BR90" i="5"/>
  <c r="BS90" i="5"/>
  <c r="BT90" i="5"/>
  <c r="BN91" i="5"/>
  <c r="AE91" i="5" s="1"/>
  <c r="AM91" i="5" s="1"/>
  <c r="BO91" i="5"/>
  <c r="BP91" i="5"/>
  <c r="BQ91" i="5"/>
  <c r="BR91" i="5"/>
  <c r="BS91" i="5"/>
  <c r="BT91" i="5"/>
  <c r="BN92" i="5"/>
  <c r="AE92" i="5" s="1"/>
  <c r="BO92" i="5"/>
  <c r="BP92" i="5"/>
  <c r="BQ92" i="5"/>
  <c r="BR92" i="5"/>
  <c r="BS92" i="5"/>
  <c r="BT92" i="5"/>
  <c r="BN93" i="5"/>
  <c r="AE93" i="5" s="1"/>
  <c r="BO93" i="5"/>
  <c r="BP93" i="5"/>
  <c r="BQ93" i="5"/>
  <c r="BR93" i="5"/>
  <c r="BS93" i="5"/>
  <c r="BT93" i="5"/>
  <c r="BN94" i="5"/>
  <c r="AE94" i="5" s="1"/>
  <c r="BO94" i="5"/>
  <c r="BP94" i="5"/>
  <c r="BQ94" i="5"/>
  <c r="BR94" i="5"/>
  <c r="BS94" i="5"/>
  <c r="BT94" i="5"/>
  <c r="BN95" i="5"/>
  <c r="AE95" i="5" s="1"/>
  <c r="AN95" i="5" s="1"/>
  <c r="BO95" i="5"/>
  <c r="BP95" i="5"/>
  <c r="BQ95" i="5"/>
  <c r="BR95" i="5"/>
  <c r="BS95" i="5"/>
  <c r="BT95" i="5"/>
  <c r="BN96" i="5"/>
  <c r="AE96" i="5" s="1"/>
  <c r="BO96" i="5"/>
  <c r="BP96" i="5"/>
  <c r="BQ96" i="5"/>
  <c r="BR96" i="5"/>
  <c r="BS96" i="5"/>
  <c r="BT96" i="5"/>
  <c r="BN97" i="5"/>
  <c r="AE97" i="5" s="1"/>
  <c r="BW135" i="5" s="1"/>
  <c r="BX136" i="5" s="1"/>
  <c r="BO97" i="5"/>
  <c r="BP97" i="5"/>
  <c r="BQ97" i="5"/>
  <c r="BR97" i="5"/>
  <c r="BS97" i="5"/>
  <c r="BT97" i="5"/>
  <c r="BN98" i="5"/>
  <c r="AE98" i="5" s="1"/>
  <c r="BW136" i="5" s="1"/>
  <c r="BX137" i="5" s="1"/>
  <c r="BO98" i="5"/>
  <c r="BP98" i="5"/>
  <c r="BQ98" i="5"/>
  <c r="BR98" i="5"/>
  <c r="BS98" i="5"/>
  <c r="BT98" i="5"/>
  <c r="BN99" i="5"/>
  <c r="AE99" i="5" s="1"/>
  <c r="BW137" i="5" s="1"/>
  <c r="BX138" i="5" s="1"/>
  <c r="BO99" i="5"/>
  <c r="BP99" i="5"/>
  <c r="BQ99" i="5"/>
  <c r="BR99" i="5"/>
  <c r="BS99" i="5"/>
  <c r="BT99" i="5"/>
  <c r="BN100" i="5"/>
  <c r="AE100" i="5" s="1"/>
  <c r="BW138" i="5" s="1"/>
  <c r="BX139" i="5" s="1"/>
  <c r="BO100" i="5"/>
  <c r="BP100" i="5"/>
  <c r="BQ100" i="5"/>
  <c r="BR100" i="5"/>
  <c r="BS100" i="5"/>
  <c r="BT100" i="5"/>
  <c r="BN101" i="5"/>
  <c r="AE101" i="5" s="1"/>
  <c r="AN101" i="5" s="1"/>
  <c r="BO101" i="5"/>
  <c r="BP101" i="5"/>
  <c r="BQ101" i="5"/>
  <c r="BR101" i="5"/>
  <c r="BS101" i="5"/>
  <c r="BT101" i="5"/>
  <c r="BN102" i="5"/>
  <c r="AE102" i="5" s="1"/>
  <c r="BO102" i="5"/>
  <c r="BP102" i="5"/>
  <c r="BQ102" i="5"/>
  <c r="BR102" i="5"/>
  <c r="BS102" i="5"/>
  <c r="BT102" i="5"/>
  <c r="BN103" i="5"/>
  <c r="AE103" i="5" s="1"/>
  <c r="AN103" i="5" s="1"/>
  <c r="BO103" i="5"/>
  <c r="BP103" i="5"/>
  <c r="BQ103" i="5"/>
  <c r="BR103" i="5"/>
  <c r="BS103" i="5"/>
  <c r="BT103" i="5"/>
  <c r="BN104" i="5"/>
  <c r="AE104" i="5" s="1"/>
  <c r="BO104" i="5"/>
  <c r="BP104" i="5"/>
  <c r="BQ104" i="5"/>
  <c r="BR104" i="5"/>
  <c r="BS104" i="5"/>
  <c r="BT104" i="5"/>
  <c r="BN105" i="5"/>
  <c r="AE105" i="5" s="1"/>
  <c r="BW143" i="5" s="1"/>
  <c r="BX144" i="5" s="1"/>
  <c r="BO105" i="5"/>
  <c r="BP105" i="5"/>
  <c r="BQ105" i="5"/>
  <c r="BR105" i="5"/>
  <c r="BS105" i="5"/>
  <c r="BT105" i="5"/>
  <c r="BN106" i="5"/>
  <c r="AE106" i="5" s="1"/>
  <c r="AM106" i="5" s="1"/>
  <c r="BO106" i="5"/>
  <c r="BP106" i="5"/>
  <c r="BQ106" i="5"/>
  <c r="BR106" i="5"/>
  <c r="BS106" i="5"/>
  <c r="BT106" i="5"/>
  <c r="BN107" i="5"/>
  <c r="AE107" i="5" s="1"/>
  <c r="BW145" i="5" s="1"/>
  <c r="BX146" i="5" s="1"/>
  <c r="BO107" i="5"/>
  <c r="BP107" i="5"/>
  <c r="BQ107" i="5"/>
  <c r="BR107" i="5"/>
  <c r="BS107" i="5"/>
  <c r="BT107" i="5"/>
  <c r="BN108" i="5"/>
  <c r="AE108" i="5" s="1"/>
  <c r="AL108" i="5" s="1"/>
  <c r="BO108" i="5"/>
  <c r="BP108" i="5"/>
  <c r="BQ108" i="5"/>
  <c r="BR108" i="5"/>
  <c r="BS108" i="5"/>
  <c r="BT108" i="5"/>
  <c r="BN109" i="5"/>
  <c r="AE109" i="5" s="1"/>
  <c r="BW147" i="5" s="1"/>
  <c r="BX148" i="5" s="1"/>
  <c r="BO109" i="5"/>
  <c r="BP109" i="5"/>
  <c r="BQ109" i="5"/>
  <c r="BR109" i="5"/>
  <c r="BS109" i="5"/>
  <c r="BT109" i="5"/>
  <c r="BN110" i="5"/>
  <c r="AE110" i="5" s="1"/>
  <c r="BO110" i="5"/>
  <c r="BP110" i="5"/>
  <c r="BQ110" i="5"/>
  <c r="BR110" i="5"/>
  <c r="BS110" i="5"/>
  <c r="BT110" i="5"/>
  <c r="BN111" i="5"/>
  <c r="AE111" i="5" s="1"/>
  <c r="BW149" i="5" s="1"/>
  <c r="BX150" i="5" s="1"/>
  <c r="BO111" i="5"/>
  <c r="BP111" i="5"/>
  <c r="BQ111" i="5"/>
  <c r="BR111" i="5"/>
  <c r="BS111" i="5"/>
  <c r="BT111" i="5"/>
  <c r="BN112" i="5"/>
  <c r="AE112" i="5" s="1"/>
  <c r="AL112" i="5" s="1"/>
  <c r="BO112" i="5"/>
  <c r="BP112" i="5"/>
  <c r="BQ112" i="5"/>
  <c r="BR112" i="5"/>
  <c r="BS112" i="5"/>
  <c r="BT112" i="5"/>
  <c r="BN113" i="5"/>
  <c r="AE113" i="5" s="1"/>
  <c r="BW151" i="5" s="1"/>
  <c r="BX152" i="5" s="1"/>
  <c r="BO113" i="5"/>
  <c r="BP113" i="5"/>
  <c r="BQ113" i="5"/>
  <c r="BR113" i="5"/>
  <c r="BS113" i="5"/>
  <c r="BT113" i="5"/>
  <c r="BN114" i="5"/>
  <c r="AE114" i="5" s="1"/>
  <c r="AL114" i="5" s="1"/>
  <c r="BO114" i="5"/>
  <c r="BP114" i="5"/>
  <c r="BQ114" i="5"/>
  <c r="BR114" i="5"/>
  <c r="BS114" i="5"/>
  <c r="BT114" i="5"/>
  <c r="BN115" i="5"/>
  <c r="AE115" i="5" s="1"/>
  <c r="BW153" i="5" s="1"/>
  <c r="BX154" i="5" s="1"/>
  <c r="BO115" i="5"/>
  <c r="BP115" i="5"/>
  <c r="BQ115" i="5"/>
  <c r="BR115" i="5"/>
  <c r="BS115" i="5"/>
  <c r="BT115" i="5"/>
  <c r="BN116" i="5"/>
  <c r="AE116" i="5" s="1"/>
  <c r="BO116" i="5"/>
  <c r="BP116" i="5"/>
  <c r="BQ116" i="5"/>
  <c r="BR116" i="5"/>
  <c r="BS116" i="5"/>
  <c r="BT116" i="5"/>
  <c r="BN117" i="5"/>
  <c r="AE117" i="5" s="1"/>
  <c r="BW155" i="5" s="1"/>
  <c r="BX156" i="5" s="1"/>
  <c r="BO117" i="5"/>
  <c r="BP117" i="5"/>
  <c r="BQ117" i="5"/>
  <c r="BR117" i="5"/>
  <c r="BS117" i="5"/>
  <c r="BT117" i="5"/>
  <c r="BN118" i="5"/>
  <c r="AE118" i="5" s="1"/>
  <c r="BW156" i="5" s="1"/>
  <c r="BX157" i="5" s="1"/>
  <c r="BO118" i="5"/>
  <c r="BP118" i="5"/>
  <c r="BQ118" i="5"/>
  <c r="BR118" i="5"/>
  <c r="BS118" i="5"/>
  <c r="BT118" i="5"/>
  <c r="BN119" i="5"/>
  <c r="AE119" i="5" s="1"/>
  <c r="AM119" i="5" s="1"/>
  <c r="BO119" i="5"/>
  <c r="BP119" i="5"/>
  <c r="BQ119" i="5"/>
  <c r="BR119" i="5"/>
  <c r="BS119" i="5"/>
  <c r="BT119" i="5"/>
  <c r="BN120" i="5"/>
  <c r="AE120" i="5" s="1"/>
  <c r="BW158" i="5" s="1"/>
  <c r="BX159" i="5" s="1"/>
  <c r="BO120" i="5"/>
  <c r="BP120" i="5"/>
  <c r="BQ120" i="5"/>
  <c r="BR120" i="5"/>
  <c r="BS120" i="5"/>
  <c r="BT120" i="5"/>
  <c r="BN121" i="5"/>
  <c r="AE121" i="5" s="1"/>
  <c r="BO121" i="5"/>
  <c r="BP121" i="5"/>
  <c r="BQ121" i="5"/>
  <c r="BR121" i="5"/>
  <c r="BS121" i="5"/>
  <c r="BT121" i="5"/>
  <c r="BN122" i="5"/>
  <c r="AE122" i="5" s="1"/>
  <c r="BW160" i="5" s="1"/>
  <c r="BX161" i="5" s="1"/>
  <c r="BO122" i="5"/>
  <c r="BP122" i="5"/>
  <c r="BQ122" i="5"/>
  <c r="BR122" i="5"/>
  <c r="BS122" i="5"/>
  <c r="BT122" i="5"/>
  <c r="BN123" i="5"/>
  <c r="AE123" i="5" s="1"/>
  <c r="BW161" i="5" s="1"/>
  <c r="BX162" i="5" s="1"/>
  <c r="BO123" i="5"/>
  <c r="BP123" i="5"/>
  <c r="BQ123" i="5"/>
  <c r="BR123" i="5"/>
  <c r="BS123" i="5"/>
  <c r="BT123" i="5"/>
  <c r="BN124" i="5"/>
  <c r="AE124" i="5" s="1"/>
  <c r="AL124" i="5" s="1"/>
  <c r="BO124" i="5"/>
  <c r="BP124" i="5"/>
  <c r="BQ124" i="5"/>
  <c r="BR124" i="5"/>
  <c r="BS124" i="5"/>
  <c r="BT124" i="5"/>
  <c r="BN125" i="5"/>
  <c r="AE125" i="5" s="1"/>
  <c r="BW163" i="5" s="1"/>
  <c r="BX164" i="5" s="1"/>
  <c r="BO125" i="5"/>
  <c r="BP125" i="5"/>
  <c r="BQ125" i="5"/>
  <c r="BR125" i="5"/>
  <c r="BS125" i="5"/>
  <c r="BT125" i="5"/>
  <c r="BN126" i="5"/>
  <c r="AE126" i="5" s="1"/>
  <c r="BO126" i="5"/>
  <c r="BP126" i="5"/>
  <c r="BQ126" i="5"/>
  <c r="BR126" i="5"/>
  <c r="BS126" i="5"/>
  <c r="BT126" i="5"/>
  <c r="BN127" i="5"/>
  <c r="AE127" i="5" s="1"/>
  <c r="AN127" i="5" s="1"/>
  <c r="BO127" i="5"/>
  <c r="BP127" i="5"/>
  <c r="BQ127" i="5"/>
  <c r="BR127" i="5"/>
  <c r="BS127" i="5"/>
  <c r="BT127" i="5"/>
  <c r="BN128" i="5"/>
  <c r="AE128" i="5" s="1"/>
  <c r="BW166" i="5" s="1"/>
  <c r="BX167" i="5" s="1"/>
  <c r="BO128" i="5"/>
  <c r="BP128" i="5"/>
  <c r="BQ128" i="5"/>
  <c r="BR128" i="5"/>
  <c r="BS128" i="5"/>
  <c r="BT128" i="5"/>
  <c r="BN129" i="5"/>
  <c r="AE129" i="5" s="1"/>
  <c r="BO129" i="5"/>
  <c r="BP129" i="5"/>
  <c r="BQ129" i="5"/>
  <c r="BR129" i="5"/>
  <c r="BS129" i="5"/>
  <c r="BT129" i="5"/>
  <c r="BN130" i="5"/>
  <c r="AE130" i="5" s="1"/>
  <c r="AN130" i="5" s="1"/>
  <c r="BO130" i="5"/>
  <c r="BP130" i="5"/>
  <c r="BQ130" i="5"/>
  <c r="BR130" i="5"/>
  <c r="BS130" i="5"/>
  <c r="BT130" i="5"/>
  <c r="BN131" i="5"/>
  <c r="AE131" i="5" s="1"/>
  <c r="BW169" i="5" s="1"/>
  <c r="BX170" i="5" s="1"/>
  <c r="BO131" i="5"/>
  <c r="BP131" i="5"/>
  <c r="BQ131" i="5"/>
  <c r="BR131" i="5"/>
  <c r="BS131" i="5"/>
  <c r="BT131" i="5"/>
  <c r="BN132" i="5"/>
  <c r="AE132" i="5" s="1"/>
  <c r="AL132" i="5" s="1"/>
  <c r="BO132" i="5"/>
  <c r="BP132" i="5"/>
  <c r="BQ132" i="5"/>
  <c r="BR132" i="5"/>
  <c r="BS132" i="5"/>
  <c r="BT132" i="5"/>
  <c r="BN133" i="5"/>
  <c r="AE133" i="5" s="1"/>
  <c r="BO133" i="5"/>
  <c r="BP133" i="5"/>
  <c r="BQ133" i="5"/>
  <c r="BR133" i="5"/>
  <c r="BS133" i="5"/>
  <c r="BT133" i="5"/>
  <c r="BN134" i="5"/>
  <c r="AE134" i="5" s="1"/>
  <c r="AM134" i="5" s="1"/>
  <c r="BO134" i="5"/>
  <c r="BP134" i="5"/>
  <c r="BQ134" i="5"/>
  <c r="BR134" i="5"/>
  <c r="BS134" i="5"/>
  <c r="BT134" i="5"/>
  <c r="BN135" i="5"/>
  <c r="AE135" i="5" s="1"/>
  <c r="AL135" i="5" s="1"/>
  <c r="BO135" i="5"/>
  <c r="BP135" i="5"/>
  <c r="BQ135" i="5"/>
  <c r="BR135" i="5"/>
  <c r="BS135" i="5"/>
  <c r="BT135" i="5"/>
  <c r="BN136" i="5"/>
  <c r="AE136" i="5" s="1"/>
  <c r="AN136" i="5" s="1"/>
  <c r="BO136" i="5"/>
  <c r="BP136" i="5"/>
  <c r="BQ136" i="5"/>
  <c r="BR136" i="5"/>
  <c r="BS136" i="5"/>
  <c r="BT136" i="5"/>
  <c r="BN137" i="5"/>
  <c r="AE137" i="5" s="1"/>
  <c r="BO137" i="5"/>
  <c r="BP137" i="5"/>
  <c r="BQ137" i="5"/>
  <c r="BR137" i="5"/>
  <c r="BS137" i="5"/>
  <c r="BT137" i="5"/>
  <c r="BN138" i="5"/>
  <c r="AE138" i="5" s="1"/>
  <c r="BW176" i="5" s="1"/>
  <c r="BX177" i="5" s="1"/>
  <c r="BO138" i="5"/>
  <c r="BP138" i="5"/>
  <c r="BQ138" i="5"/>
  <c r="BR138" i="5"/>
  <c r="BS138" i="5"/>
  <c r="BT138" i="5"/>
  <c r="BN139" i="5"/>
  <c r="AE139" i="5" s="1"/>
  <c r="BW177" i="5" s="1"/>
  <c r="BX178" i="5" s="1"/>
  <c r="BO139" i="5"/>
  <c r="BP139" i="5"/>
  <c r="BQ139" i="5"/>
  <c r="BR139" i="5"/>
  <c r="BS139" i="5"/>
  <c r="BT139" i="5"/>
  <c r="BN140" i="5"/>
  <c r="AE140" i="5" s="1"/>
  <c r="AN140" i="5" s="1"/>
  <c r="BO140" i="5"/>
  <c r="BP140" i="5"/>
  <c r="BQ140" i="5"/>
  <c r="BR140" i="5"/>
  <c r="BS140" i="5"/>
  <c r="BT140" i="5"/>
  <c r="BN141" i="5"/>
  <c r="AE141" i="5" s="1"/>
  <c r="BO141" i="5"/>
  <c r="BP141" i="5"/>
  <c r="BQ141" i="5"/>
  <c r="BR141" i="5"/>
  <c r="BS141" i="5"/>
  <c r="BT141" i="5"/>
  <c r="BN142" i="5"/>
  <c r="AE142" i="5" s="1"/>
  <c r="AN142" i="5" s="1"/>
  <c r="BO142" i="5"/>
  <c r="BP142" i="5"/>
  <c r="BQ142" i="5"/>
  <c r="BR142" i="5"/>
  <c r="BS142" i="5"/>
  <c r="BT142" i="5"/>
  <c r="BN143" i="5"/>
  <c r="AE143" i="5" s="1"/>
  <c r="AM143" i="5" s="1"/>
  <c r="BO143" i="5"/>
  <c r="BP143" i="5"/>
  <c r="BQ143" i="5"/>
  <c r="BR143" i="5"/>
  <c r="BS143" i="5"/>
  <c r="BT143" i="5"/>
  <c r="BN144" i="5"/>
  <c r="AE144" i="5" s="1"/>
  <c r="BW182" i="5" s="1"/>
  <c r="BX183" i="5" s="1"/>
  <c r="BO144" i="5"/>
  <c r="BP144" i="5"/>
  <c r="BQ144" i="5"/>
  <c r="BR144" i="5"/>
  <c r="BS144" i="5"/>
  <c r="BT144" i="5"/>
  <c r="BN145" i="5"/>
  <c r="AE145" i="5" s="1"/>
  <c r="BW183" i="5" s="1"/>
  <c r="BX184" i="5" s="1"/>
  <c r="BO145" i="5"/>
  <c r="BP145" i="5"/>
  <c r="BQ145" i="5"/>
  <c r="BR145" i="5"/>
  <c r="BS145" i="5"/>
  <c r="BT145" i="5"/>
  <c r="BN146" i="5"/>
  <c r="AE146" i="5" s="1"/>
  <c r="BO146" i="5"/>
  <c r="BP146" i="5"/>
  <c r="BQ146" i="5"/>
  <c r="BR146" i="5"/>
  <c r="BS146" i="5"/>
  <c r="BT146" i="5"/>
  <c r="BN147" i="5"/>
  <c r="AE147" i="5" s="1"/>
  <c r="BO147" i="5"/>
  <c r="BP147" i="5"/>
  <c r="BQ147" i="5"/>
  <c r="BR147" i="5"/>
  <c r="BS147" i="5"/>
  <c r="BT147" i="5"/>
  <c r="BN148" i="5"/>
  <c r="AE148" i="5" s="1"/>
  <c r="AN148" i="5" s="1"/>
  <c r="BO148" i="5"/>
  <c r="BP148" i="5"/>
  <c r="BQ148" i="5"/>
  <c r="BR148" i="5"/>
  <c r="BS148" i="5"/>
  <c r="BT148" i="5"/>
  <c r="BN149" i="5"/>
  <c r="AE149" i="5" s="1"/>
  <c r="BW187" i="5" s="1"/>
  <c r="BX188" i="5" s="1"/>
  <c r="BO149" i="5"/>
  <c r="BP149" i="5"/>
  <c r="BQ149" i="5"/>
  <c r="BR149" i="5"/>
  <c r="BS149" i="5"/>
  <c r="BT149" i="5"/>
  <c r="BN150" i="5"/>
  <c r="AE150" i="5" s="1"/>
  <c r="AL150" i="5" s="1"/>
  <c r="BO150" i="5"/>
  <c r="BP150" i="5"/>
  <c r="BQ150" i="5"/>
  <c r="BR150" i="5"/>
  <c r="BS150" i="5"/>
  <c r="BT150" i="5"/>
  <c r="BN151" i="5"/>
  <c r="AE151" i="5" s="1"/>
  <c r="AN151" i="5" s="1"/>
  <c r="BO151" i="5"/>
  <c r="BP151" i="5"/>
  <c r="BQ151" i="5"/>
  <c r="BR151" i="5"/>
  <c r="BS151" i="5"/>
  <c r="BT151" i="5"/>
  <c r="BN152" i="5"/>
  <c r="AE152" i="5" s="1"/>
  <c r="AN152" i="5" s="1"/>
  <c r="BO152" i="5"/>
  <c r="BP152" i="5"/>
  <c r="BQ152" i="5"/>
  <c r="BR152" i="5"/>
  <c r="BS152" i="5"/>
  <c r="BT152" i="5"/>
  <c r="BN153" i="5"/>
  <c r="AE153" i="5" s="1"/>
  <c r="BO153" i="5"/>
  <c r="BP153" i="5"/>
  <c r="BQ153" i="5"/>
  <c r="BR153" i="5"/>
  <c r="BS153" i="5"/>
  <c r="BT153" i="5"/>
  <c r="BN154" i="5"/>
  <c r="AE154" i="5" s="1"/>
  <c r="BO154" i="5"/>
  <c r="BP154" i="5"/>
  <c r="BQ154" i="5"/>
  <c r="BR154" i="5"/>
  <c r="BS154" i="5"/>
  <c r="BT154" i="5"/>
  <c r="BN155" i="5"/>
  <c r="AE155" i="5" s="1"/>
  <c r="BW193" i="5" s="1"/>
  <c r="BX194" i="5" s="1"/>
  <c r="BO155" i="5"/>
  <c r="BP155" i="5"/>
  <c r="BQ155" i="5"/>
  <c r="BR155" i="5"/>
  <c r="BS155" i="5"/>
  <c r="BT155" i="5"/>
  <c r="BN156" i="5"/>
  <c r="AE156" i="5" s="1"/>
  <c r="AN156" i="5" s="1"/>
  <c r="BO156" i="5"/>
  <c r="BP156" i="5"/>
  <c r="BQ156" i="5"/>
  <c r="BR156" i="5"/>
  <c r="BS156" i="5"/>
  <c r="BT156" i="5"/>
  <c r="BN157" i="5"/>
  <c r="AE157" i="5" s="1"/>
  <c r="BO157" i="5"/>
  <c r="BP157" i="5"/>
  <c r="BQ157" i="5"/>
  <c r="BR157" i="5"/>
  <c r="BS157" i="5"/>
  <c r="BT157" i="5"/>
  <c r="BN158" i="5"/>
  <c r="AE158" i="5" s="1"/>
  <c r="BO158" i="5"/>
  <c r="BP158" i="5"/>
  <c r="BQ158" i="5"/>
  <c r="BR158" i="5"/>
  <c r="BS158" i="5"/>
  <c r="BT158" i="5"/>
  <c r="BN159" i="5"/>
  <c r="AE159" i="5" s="1"/>
  <c r="BO159" i="5"/>
  <c r="BP159" i="5"/>
  <c r="BQ159" i="5"/>
  <c r="BR159" i="5"/>
  <c r="BS159" i="5"/>
  <c r="BT159" i="5"/>
  <c r="BN160" i="5"/>
  <c r="AE160" i="5" s="1"/>
  <c r="AN160" i="5" s="1"/>
  <c r="BO160" i="5"/>
  <c r="BP160" i="5"/>
  <c r="BQ160" i="5"/>
  <c r="BR160" i="5"/>
  <c r="BS160" i="5"/>
  <c r="BT160" i="5"/>
  <c r="BN161" i="5"/>
  <c r="AE161" i="5" s="1"/>
  <c r="BO161" i="5"/>
  <c r="BP161" i="5"/>
  <c r="BQ161" i="5"/>
  <c r="BR161" i="5"/>
  <c r="BS161" i="5"/>
  <c r="BT161" i="5"/>
  <c r="BN162" i="5"/>
  <c r="AE162" i="5" s="1"/>
  <c r="BO162" i="5"/>
  <c r="BP162" i="5"/>
  <c r="BQ162" i="5"/>
  <c r="BR162" i="5"/>
  <c r="BS162" i="5"/>
  <c r="BT162" i="5"/>
  <c r="BN163" i="5"/>
  <c r="AE163" i="5" s="1"/>
  <c r="BO163" i="5"/>
  <c r="BP163" i="5"/>
  <c r="BQ163" i="5"/>
  <c r="BR163" i="5"/>
  <c r="BS163" i="5"/>
  <c r="BT163" i="5"/>
  <c r="BN164" i="5"/>
  <c r="AE164" i="5" s="1"/>
  <c r="BW202" i="5" s="1"/>
  <c r="BX203" i="5" s="1"/>
  <c r="BO164" i="5"/>
  <c r="BP164" i="5"/>
  <c r="BQ164" i="5"/>
  <c r="BR164" i="5"/>
  <c r="BS164" i="5"/>
  <c r="BT164" i="5"/>
  <c r="BN165" i="5"/>
  <c r="AE165" i="5" s="1"/>
  <c r="BO165" i="5"/>
  <c r="BP165" i="5"/>
  <c r="BQ165" i="5"/>
  <c r="BR165" i="5"/>
  <c r="BS165" i="5"/>
  <c r="BT165" i="5"/>
  <c r="BN166" i="5"/>
  <c r="AE166" i="5" s="1"/>
  <c r="BW204" i="5" s="1"/>
  <c r="BX205" i="5" s="1"/>
  <c r="BO166" i="5"/>
  <c r="BP166" i="5"/>
  <c r="BQ166" i="5"/>
  <c r="BR166" i="5"/>
  <c r="BS166" i="5"/>
  <c r="BT166" i="5"/>
  <c r="BN167" i="5"/>
  <c r="AE167" i="5" s="1"/>
  <c r="BW205" i="5" s="1"/>
  <c r="BX206" i="5" s="1"/>
  <c r="BO167" i="5"/>
  <c r="BP167" i="5"/>
  <c r="BQ167" i="5"/>
  <c r="BR167" i="5"/>
  <c r="BS167" i="5"/>
  <c r="BT167" i="5"/>
  <c r="BN168" i="5"/>
  <c r="AE168" i="5" s="1"/>
  <c r="AN168" i="5" s="1"/>
  <c r="BO168" i="5"/>
  <c r="BP168" i="5"/>
  <c r="BQ168" i="5"/>
  <c r="BR168" i="5"/>
  <c r="BS168" i="5"/>
  <c r="BT168" i="5"/>
  <c r="BN169" i="5"/>
  <c r="AE169" i="5" s="1"/>
  <c r="BO169" i="5"/>
  <c r="BP169" i="5"/>
  <c r="BQ169" i="5"/>
  <c r="BR169" i="5"/>
  <c r="BS169" i="5"/>
  <c r="BT169" i="5"/>
  <c r="BN170" i="5"/>
  <c r="AE170" i="5" s="1"/>
  <c r="BW208" i="5" s="1"/>
  <c r="BX209" i="5" s="1"/>
  <c r="BO170" i="5"/>
  <c r="BP170" i="5"/>
  <c r="BQ170" i="5"/>
  <c r="BR170" i="5"/>
  <c r="BS170" i="5"/>
  <c r="BT170" i="5"/>
  <c r="BN171" i="5"/>
  <c r="AE171" i="5" s="1"/>
  <c r="AL171" i="5" s="1"/>
  <c r="BO171" i="5"/>
  <c r="BP171" i="5"/>
  <c r="BQ171" i="5"/>
  <c r="BR171" i="5"/>
  <c r="BS171" i="5"/>
  <c r="BT171" i="5"/>
  <c r="BN172" i="5"/>
  <c r="AE172" i="5" s="1"/>
  <c r="BO172" i="5"/>
  <c r="BP172" i="5"/>
  <c r="BQ172" i="5"/>
  <c r="BR172" i="5"/>
  <c r="BS172" i="5"/>
  <c r="BT172" i="5"/>
  <c r="BN173" i="5"/>
  <c r="AE173" i="5" s="1"/>
  <c r="BO173" i="5"/>
  <c r="BP173" i="5"/>
  <c r="BQ173" i="5"/>
  <c r="BR173" i="5"/>
  <c r="BS173" i="5"/>
  <c r="BT173" i="5"/>
  <c r="BN174" i="5"/>
  <c r="AE174" i="5" s="1"/>
  <c r="BW212" i="5" s="1"/>
  <c r="BX213" i="5" s="1"/>
  <c r="BO174" i="5"/>
  <c r="BP174" i="5"/>
  <c r="BQ174" i="5"/>
  <c r="BR174" i="5"/>
  <c r="BS174" i="5"/>
  <c r="BT174" i="5"/>
  <c r="BN175" i="5"/>
  <c r="AE175" i="5" s="1"/>
  <c r="BW213" i="5" s="1"/>
  <c r="BX214" i="5" s="1"/>
  <c r="BO175" i="5"/>
  <c r="BP175" i="5"/>
  <c r="BQ175" i="5"/>
  <c r="BR175" i="5"/>
  <c r="BS175" i="5"/>
  <c r="BT175" i="5"/>
  <c r="BN176" i="5"/>
  <c r="AE176" i="5" s="1"/>
  <c r="AL176" i="5" s="1"/>
  <c r="BO176" i="5"/>
  <c r="BP176" i="5"/>
  <c r="BQ176" i="5"/>
  <c r="BR176" i="5"/>
  <c r="BS176" i="5"/>
  <c r="BT176" i="5"/>
  <c r="BN177" i="5"/>
  <c r="AE177" i="5" s="1"/>
  <c r="BO177" i="5"/>
  <c r="BP177" i="5"/>
  <c r="BQ177" i="5"/>
  <c r="BR177" i="5"/>
  <c r="BS177" i="5"/>
  <c r="BT177" i="5"/>
  <c r="BN178" i="5"/>
  <c r="AE178" i="5" s="1"/>
  <c r="BW216" i="5" s="1"/>
  <c r="BX217" i="5" s="1"/>
  <c r="BO178" i="5"/>
  <c r="BP178" i="5"/>
  <c r="BQ178" i="5"/>
  <c r="BR178" i="5"/>
  <c r="BS178" i="5"/>
  <c r="BT178" i="5"/>
  <c r="BN179" i="5"/>
  <c r="AE179" i="5" s="1"/>
  <c r="AL179" i="5" s="1"/>
  <c r="BO179" i="5"/>
  <c r="BP179" i="5"/>
  <c r="BQ179" i="5"/>
  <c r="BR179" i="5"/>
  <c r="BS179" i="5"/>
  <c r="BT179" i="5"/>
  <c r="BN180" i="5"/>
  <c r="AE180" i="5" s="1"/>
  <c r="BW218" i="5" s="1"/>
  <c r="BX219" i="5" s="1"/>
  <c r="BO180" i="5"/>
  <c r="BP180" i="5"/>
  <c r="BQ180" i="5"/>
  <c r="BR180" i="5"/>
  <c r="BS180" i="5"/>
  <c r="BT180" i="5"/>
  <c r="BN181" i="5"/>
  <c r="AE181" i="5" s="1"/>
  <c r="BW219" i="5" s="1"/>
  <c r="BX220" i="5" s="1"/>
  <c r="BO181" i="5"/>
  <c r="BP181" i="5"/>
  <c r="BQ181" i="5"/>
  <c r="BR181" i="5"/>
  <c r="BS181" i="5"/>
  <c r="BT181" i="5"/>
  <c r="BN182" i="5"/>
  <c r="AE182" i="5" s="1"/>
  <c r="BO182" i="5"/>
  <c r="BP182" i="5"/>
  <c r="BQ182" i="5"/>
  <c r="BR182" i="5"/>
  <c r="BS182" i="5"/>
  <c r="BT182" i="5"/>
  <c r="BN183" i="5"/>
  <c r="AE183" i="5" s="1"/>
  <c r="AN183" i="5" s="1"/>
  <c r="BO183" i="5"/>
  <c r="BP183" i="5"/>
  <c r="BQ183" i="5"/>
  <c r="BR183" i="5"/>
  <c r="BS183" i="5"/>
  <c r="BT183" i="5"/>
  <c r="BN184" i="5"/>
  <c r="AE184" i="5" s="1"/>
  <c r="AN184" i="5" s="1"/>
  <c r="BN185" i="5"/>
  <c r="AE185" i="5" s="1"/>
  <c r="BO185" i="5"/>
  <c r="BN186" i="5"/>
  <c r="AE186" i="5" s="1"/>
  <c r="BW224" i="5" s="1"/>
  <c r="BX225" i="5" s="1"/>
  <c r="BO186" i="5"/>
  <c r="BP186" i="5"/>
  <c r="BQ186" i="5"/>
  <c r="BR186" i="5"/>
  <c r="BS186" i="5"/>
  <c r="BT186" i="5"/>
  <c r="BN187" i="5"/>
  <c r="AE187" i="5" s="1"/>
  <c r="BW225" i="5" s="1"/>
  <c r="BX226" i="5" s="1"/>
  <c r="BO187" i="5"/>
  <c r="BP187" i="5"/>
  <c r="BQ187" i="5"/>
  <c r="BR187" i="5"/>
  <c r="BS187" i="5"/>
  <c r="BT187" i="5"/>
  <c r="BN188" i="5"/>
  <c r="AE188" i="5" s="1"/>
  <c r="BO188" i="5"/>
  <c r="BP188" i="5"/>
  <c r="BQ188" i="5"/>
  <c r="BR188" i="5"/>
  <c r="BS188" i="5"/>
  <c r="BT188" i="5"/>
  <c r="BN189" i="5"/>
  <c r="AE189" i="5" s="1"/>
  <c r="BO189" i="5"/>
  <c r="BP189" i="5"/>
  <c r="BQ189" i="5"/>
  <c r="BR189" i="5"/>
  <c r="BS189" i="5"/>
  <c r="BT189" i="5"/>
  <c r="BN190" i="5"/>
  <c r="AE190" i="5" s="1"/>
  <c r="BO190" i="5"/>
  <c r="BP190" i="5"/>
  <c r="BQ190" i="5"/>
  <c r="BR190" i="5"/>
  <c r="BS190" i="5"/>
  <c r="BT190" i="5"/>
  <c r="BN191" i="5"/>
  <c r="AE191" i="5" s="1"/>
  <c r="BO191" i="5"/>
  <c r="BP191" i="5"/>
  <c r="BQ191" i="5"/>
  <c r="BR191" i="5"/>
  <c r="BS191" i="5"/>
  <c r="BT191" i="5"/>
  <c r="BN192" i="5"/>
  <c r="AE192" i="5" s="1"/>
  <c r="BO192" i="5"/>
  <c r="BP192" i="5"/>
  <c r="BQ192" i="5"/>
  <c r="BR192" i="5"/>
  <c r="BS192" i="5"/>
  <c r="BT192" i="5"/>
  <c r="BN193" i="5"/>
  <c r="AE193" i="5" s="1"/>
  <c r="BO193" i="5"/>
  <c r="BP193" i="5"/>
  <c r="BQ193" i="5"/>
  <c r="BR193" i="5"/>
  <c r="BS193" i="5"/>
  <c r="BT193" i="5"/>
  <c r="AE195" i="5"/>
  <c r="AE196" i="5"/>
  <c r="BN197" i="5"/>
  <c r="AE197" i="5" s="1"/>
  <c r="BO197" i="5"/>
  <c r="BP197" i="5"/>
  <c r="BQ197" i="5"/>
  <c r="BR197" i="5"/>
  <c r="BS197" i="5"/>
  <c r="BT197" i="5"/>
  <c r="BN198" i="5"/>
  <c r="AE198" i="5" s="1"/>
  <c r="BO198" i="5"/>
  <c r="BP198" i="5"/>
  <c r="BQ198" i="5"/>
  <c r="BR198" i="5"/>
  <c r="BS198" i="5"/>
  <c r="BT198" i="5"/>
  <c r="BN199" i="5"/>
  <c r="AE199" i="5" s="1"/>
  <c r="BO199" i="5"/>
  <c r="BP199" i="5"/>
  <c r="BQ199" i="5"/>
  <c r="BR199" i="5"/>
  <c r="BS199" i="5"/>
  <c r="BT199" i="5"/>
  <c r="BN200" i="5"/>
  <c r="AE200" i="5" s="1"/>
  <c r="BO200" i="5"/>
  <c r="BP200" i="5"/>
  <c r="BQ200" i="5"/>
  <c r="BR200" i="5"/>
  <c r="BS200" i="5"/>
  <c r="BT200" i="5"/>
  <c r="BN201" i="5"/>
  <c r="AE201" i="5" s="1"/>
  <c r="AM201" i="5" s="1"/>
  <c r="BO201" i="5"/>
  <c r="BP201" i="5"/>
  <c r="BQ201" i="5"/>
  <c r="BR201" i="5"/>
  <c r="BS201" i="5"/>
  <c r="BT201" i="5"/>
  <c r="BN202" i="5"/>
  <c r="AE202" i="5" s="1"/>
  <c r="BO202" i="5"/>
  <c r="BP202" i="5"/>
  <c r="BQ202" i="5"/>
  <c r="BR202" i="5"/>
  <c r="BS202" i="5"/>
  <c r="BT202" i="5"/>
  <c r="BA22" i="5"/>
  <c r="AR22" i="5" s="1"/>
  <c r="BA26" i="5"/>
  <c r="AT26" i="5" s="1"/>
  <c r="BA27" i="5"/>
  <c r="AT27" i="5" s="1"/>
  <c r="BA23" i="5"/>
  <c r="BA24" i="5"/>
  <c r="AY24" i="5" s="1"/>
  <c r="BA25" i="5"/>
  <c r="AX25" i="5" s="1"/>
  <c r="BA28" i="5"/>
  <c r="AT28" i="5" s="1"/>
  <c r="BA29" i="5"/>
  <c r="BA30" i="5"/>
  <c r="AR30" i="5" s="1"/>
  <c r="BA31" i="5"/>
  <c r="AT31" i="5" s="1"/>
  <c r="BA32" i="5"/>
  <c r="AT32" i="5" s="1"/>
  <c r="BA33" i="5"/>
  <c r="BA34" i="5"/>
  <c r="BA35" i="5"/>
  <c r="AQ35" i="5" s="1"/>
  <c r="BA36" i="5"/>
  <c r="AT36" i="5" s="1"/>
  <c r="BA37" i="5"/>
  <c r="BA38" i="5"/>
  <c r="BC38" i="5" s="1"/>
  <c r="BA39" i="5"/>
  <c r="AT39" i="5" s="1"/>
  <c r="BA40" i="5"/>
  <c r="AU40" i="5" s="1"/>
  <c r="BA41" i="5"/>
  <c r="BA42" i="5"/>
  <c r="BA43" i="5"/>
  <c r="AT43" i="5" s="1"/>
  <c r="BA44" i="5"/>
  <c r="AT44" i="5" s="1"/>
  <c r="BA45" i="5"/>
  <c r="AQ45" i="5" s="1"/>
  <c r="BA46" i="5"/>
  <c r="BB46" i="5" s="1"/>
  <c r="BA47" i="5"/>
  <c r="AS47" i="5" s="1"/>
  <c r="BA48" i="5"/>
  <c r="AT48" i="5" s="1"/>
  <c r="BA49" i="5"/>
  <c r="BA50" i="5"/>
  <c r="AY50" i="5" s="1"/>
  <c r="BA51" i="5"/>
  <c r="AT51" i="5" s="1"/>
  <c r="BA52" i="5"/>
  <c r="AT52" i="5" s="1"/>
  <c r="BA53" i="5"/>
  <c r="BA54" i="5"/>
  <c r="BC54" i="5" s="1"/>
  <c r="BA55" i="5"/>
  <c r="AR55" i="5" s="1"/>
  <c r="BA56" i="5"/>
  <c r="AU56" i="5" s="1"/>
  <c r="BA57" i="5"/>
  <c r="AE194" i="5"/>
  <c r="BN203" i="5"/>
  <c r="AE203" i="5" s="1"/>
  <c r="BO203" i="5"/>
  <c r="BP203" i="5"/>
  <c r="BQ203" i="5"/>
  <c r="BR203" i="5"/>
  <c r="BS203" i="5"/>
  <c r="BT203" i="5"/>
  <c r="BN204" i="5"/>
  <c r="AE204" i="5" s="1"/>
  <c r="BO204" i="5"/>
  <c r="BP204" i="5"/>
  <c r="BQ204" i="5"/>
  <c r="BR204" i="5"/>
  <c r="BS204" i="5"/>
  <c r="BT204" i="5"/>
  <c r="BN205" i="5"/>
  <c r="AE205" i="5" s="1"/>
  <c r="BO205" i="5"/>
  <c r="BP205" i="5"/>
  <c r="BQ205" i="5"/>
  <c r="BR205" i="5"/>
  <c r="BS205" i="5"/>
  <c r="BT205" i="5"/>
  <c r="BN206" i="5"/>
  <c r="AE206" i="5" s="1"/>
  <c r="BN207" i="5"/>
  <c r="AE207" i="5" s="1"/>
  <c r="BN208" i="5"/>
  <c r="AE208" i="5" s="1"/>
  <c r="BN209" i="5"/>
  <c r="AE209" i="5" s="1"/>
  <c r="BO206" i="5"/>
  <c r="BP206" i="5"/>
  <c r="BQ206" i="5"/>
  <c r="BR206" i="5"/>
  <c r="BS206" i="5"/>
  <c r="BT206" i="5"/>
  <c r="BO207" i="5"/>
  <c r="BP207" i="5"/>
  <c r="BQ207" i="5"/>
  <c r="BR207" i="5"/>
  <c r="BS207" i="5"/>
  <c r="BT207" i="5"/>
  <c r="BO208" i="5"/>
  <c r="BP208" i="5"/>
  <c r="BQ208" i="5"/>
  <c r="BR208" i="5"/>
  <c r="BS208" i="5"/>
  <c r="BT208" i="5"/>
  <c r="BO209" i="5"/>
  <c r="BP209" i="5"/>
  <c r="BQ209" i="5"/>
  <c r="BR209" i="5"/>
  <c r="BS209" i="5"/>
  <c r="BT209" i="5"/>
  <c r="BN210" i="5"/>
  <c r="AE210" i="5" s="1"/>
  <c r="BO210" i="5"/>
  <c r="BP210" i="5"/>
  <c r="BQ210" i="5"/>
  <c r="BR210" i="5"/>
  <c r="BS210" i="5"/>
  <c r="BT210" i="5"/>
  <c r="BN211" i="5"/>
  <c r="AE211" i="5" s="1"/>
  <c r="BO211" i="5"/>
  <c r="BP211" i="5"/>
  <c r="BQ211" i="5"/>
  <c r="BR211" i="5"/>
  <c r="BS211" i="5"/>
  <c r="BT211" i="5"/>
  <c r="BA58" i="5"/>
  <c r="BA59" i="5"/>
  <c r="BC59" i="5" s="1"/>
  <c r="BA60" i="5"/>
  <c r="BA61" i="5"/>
  <c r="AU61" i="5" s="1"/>
  <c r="BA62" i="5"/>
  <c r="BC62" i="5" s="1"/>
  <c r="BA63" i="5"/>
  <c r="BA64" i="5"/>
  <c r="BA65" i="5"/>
  <c r="AT65" i="5" s="1"/>
  <c r="BA66" i="5"/>
  <c r="BA67" i="5"/>
  <c r="AR67" i="5" s="1"/>
  <c r="BA68" i="5"/>
  <c r="AT68" i="5" s="1"/>
  <c r="BA69" i="5"/>
  <c r="AT69" i="5" s="1"/>
  <c r="BA70" i="5"/>
  <c r="BA71" i="5"/>
  <c r="AS71" i="5" s="1"/>
  <c r="BA72" i="5"/>
  <c r="BA73" i="5"/>
  <c r="AU73" i="5" s="1"/>
  <c r="BA74" i="5"/>
  <c r="AU75" i="5"/>
  <c r="BA76" i="5"/>
  <c r="BA77" i="5"/>
  <c r="BC77" i="5" s="1"/>
  <c r="BA78" i="5"/>
  <c r="AQ78" i="5" s="1"/>
  <c r="BA79" i="5"/>
  <c r="BA80" i="5"/>
  <c r="AX80" i="5" s="1"/>
  <c r="BA81" i="5"/>
  <c r="AR81" i="5" s="1"/>
  <c r="BA82" i="5"/>
  <c r="BA83" i="5"/>
  <c r="AR83" i="5" s="1"/>
  <c r="BA84" i="5"/>
  <c r="BC84" i="5" s="1"/>
  <c r="BA85" i="5"/>
  <c r="AV85" i="5" s="1"/>
  <c r="BA86" i="5"/>
  <c r="AW86" i="5" s="1"/>
  <c r="BA87" i="5"/>
  <c r="BA88" i="5"/>
  <c r="AU88" i="5" s="1"/>
  <c r="BA89" i="5"/>
  <c r="AT89" i="5" s="1"/>
  <c r="BA90" i="5"/>
  <c r="BB90" i="5" s="1"/>
  <c r="BA91" i="5"/>
  <c r="BA92" i="5"/>
  <c r="AT92" i="5" s="1"/>
  <c r="BA93" i="5"/>
  <c r="BA94" i="5"/>
  <c r="BA95" i="5"/>
  <c r="AQ95" i="5" s="1"/>
  <c r="BA96" i="5"/>
  <c r="AU96" i="5" s="1"/>
  <c r="BA97" i="5"/>
  <c r="AQ97" i="5" s="1"/>
  <c r="BA98" i="5"/>
  <c r="BA99" i="5"/>
  <c r="BA100" i="5"/>
  <c r="AU100" i="5" s="1"/>
  <c r="BA102" i="5"/>
  <c r="BA103" i="5"/>
  <c r="BA104" i="5"/>
  <c r="AU104" i="5" s="1"/>
  <c r="BA105" i="5"/>
  <c r="BB105" i="5" s="1"/>
  <c r="BA106" i="5"/>
  <c r="BA107" i="5"/>
  <c r="BA108" i="5"/>
  <c r="BA109" i="5"/>
  <c r="BA110" i="5"/>
  <c r="BC110" i="5" s="1"/>
  <c r="BA111" i="5"/>
  <c r="BC111" i="5" s="1"/>
  <c r="BA112" i="5"/>
  <c r="AT112" i="5" s="1"/>
  <c r="BA113" i="5"/>
  <c r="BA114" i="5"/>
  <c r="BA115" i="5"/>
  <c r="AS115" i="5" s="1"/>
  <c r="BA116" i="5"/>
  <c r="AU116" i="5" s="1"/>
  <c r="BA117" i="5"/>
  <c r="BA118" i="5"/>
  <c r="BA119" i="5"/>
  <c r="AQ119" i="5" s="1"/>
  <c r="BA120" i="5"/>
  <c r="AZ120" i="5" s="1"/>
  <c r="BA121" i="5"/>
  <c r="AT121" i="5" s="1"/>
  <c r="BA122" i="5"/>
  <c r="BA123" i="5"/>
  <c r="BA124" i="5"/>
  <c r="BA125" i="5"/>
  <c r="AR125" i="5" s="1"/>
  <c r="BA126" i="5"/>
  <c r="AX126" i="5" s="1"/>
  <c r="BA127" i="5"/>
  <c r="BA128" i="5"/>
  <c r="AV128" i="5" s="1"/>
  <c r="BA129" i="5"/>
  <c r="BA130" i="5"/>
  <c r="AQ130" i="5" s="1"/>
  <c r="BA131" i="5"/>
  <c r="AR131" i="5" s="1"/>
  <c r="BA132" i="5"/>
  <c r="BA133" i="5"/>
  <c r="BA134" i="5"/>
  <c r="BA135" i="5"/>
  <c r="BA136" i="5"/>
  <c r="AZ136" i="5" s="1"/>
  <c r="BA137" i="5"/>
  <c r="BA138" i="5"/>
  <c r="BB138" i="5" s="1"/>
  <c r="BA139" i="5"/>
  <c r="AR139" i="5" s="1"/>
  <c r="BA140" i="5"/>
  <c r="BC140" i="5" s="1"/>
  <c r="BA141" i="5"/>
  <c r="AT141" i="5" s="1"/>
  <c r="BA142" i="5"/>
  <c r="AT142" i="5" s="1"/>
  <c r="BA143" i="5"/>
  <c r="BA144" i="5"/>
  <c r="AX144" i="5" s="1"/>
  <c r="BA145" i="5"/>
  <c r="BB145" i="5" s="1"/>
  <c r="BA146" i="5"/>
  <c r="AT146" i="5" s="1"/>
  <c r="BA147" i="5"/>
  <c r="BA148" i="5"/>
  <c r="BA149" i="5"/>
  <c r="AR149" i="5" s="1"/>
  <c r="BA150" i="5"/>
  <c r="AU150" i="5" s="1"/>
  <c r="BA151" i="5"/>
  <c r="BA152" i="5"/>
  <c r="AT152" i="5" s="1"/>
  <c r="BA153" i="5"/>
  <c r="AQ153" i="5" s="1"/>
  <c r="BA154" i="5"/>
  <c r="AT154" i="5" s="1"/>
  <c r="BA155" i="5"/>
  <c r="BA156" i="5"/>
  <c r="BA157" i="5"/>
  <c r="AT157" i="5" s="1"/>
  <c r="BA158" i="5"/>
  <c r="AU158" i="5" s="1"/>
  <c r="BA159" i="5"/>
  <c r="AS159" i="5" s="1"/>
  <c r="BA160" i="5"/>
  <c r="BB160" i="5" s="1"/>
  <c r="BA161" i="5"/>
  <c r="AR161" i="5" s="1"/>
  <c r="BA162" i="5"/>
  <c r="AU162" i="5" s="1"/>
  <c r="BA163" i="5"/>
  <c r="AQ163" i="5" s="1"/>
  <c r="BA164" i="5"/>
  <c r="BA165" i="5"/>
  <c r="AQ165" i="5" s="1"/>
  <c r="BA166" i="5"/>
  <c r="BC166" i="5" s="1"/>
  <c r="BA167" i="5"/>
  <c r="BA168" i="5"/>
  <c r="AR168" i="5" s="1"/>
  <c r="BA169" i="5"/>
  <c r="AS169" i="5" s="1"/>
  <c r="BA170" i="5"/>
  <c r="AU170" i="5" s="1"/>
  <c r="BA171" i="5"/>
  <c r="BB171" i="5" s="1"/>
  <c r="BA172" i="5"/>
  <c r="AX172" i="5" s="1"/>
  <c r="BA173" i="5"/>
  <c r="BB173" i="5" s="1"/>
  <c r="BA174" i="5"/>
  <c r="AT174" i="5" s="1"/>
  <c r="BA175" i="5"/>
  <c r="BA176" i="5"/>
  <c r="BA177" i="5"/>
  <c r="AQ177" i="5" s="1"/>
  <c r="BA178" i="5"/>
  <c r="AT178" i="5" s="1"/>
  <c r="BA179" i="5"/>
  <c r="AY179" i="5" s="1"/>
  <c r="BA180" i="5"/>
  <c r="AS180" i="5" s="1"/>
  <c r="BA181" i="5"/>
  <c r="AQ181" i="5" s="1"/>
  <c r="BA182" i="5"/>
  <c r="AW182" i="5" s="1"/>
  <c r="BA183" i="5"/>
  <c r="BA184" i="5"/>
  <c r="AW184" i="5" s="1"/>
  <c r="BA185" i="5"/>
  <c r="BB185" i="5" s="1"/>
  <c r="BA186" i="5"/>
  <c r="BC186" i="5" s="1"/>
  <c r="BA187" i="5"/>
  <c r="AW187" i="5" s="1"/>
  <c r="BA188" i="5"/>
  <c r="BA189" i="5"/>
  <c r="AT189" i="5" s="1"/>
  <c r="BA190" i="5"/>
  <c r="AW190" i="5" s="1"/>
  <c r="BA191" i="5"/>
  <c r="AZ191" i="5" s="1"/>
  <c r="BA192" i="5"/>
  <c r="AR192" i="5" s="1"/>
  <c r="BA193" i="5"/>
  <c r="AT193" i="5" s="1"/>
  <c r="BA194" i="5"/>
  <c r="BA195" i="5"/>
  <c r="BA196" i="5"/>
  <c r="AQ196" i="5" s="1"/>
  <c r="BA197" i="5"/>
  <c r="AR197" i="5" s="1"/>
  <c r="BA198" i="5"/>
  <c r="BA199" i="5"/>
  <c r="BA200" i="5"/>
  <c r="BB200" i="5" s="1"/>
  <c r="BA201" i="5"/>
  <c r="AR201" i="5" s="1"/>
  <c r="BA202" i="5"/>
  <c r="AY202" i="5" s="1"/>
  <c r="BA203" i="5"/>
  <c r="AT203" i="5" s="1"/>
  <c r="BA204" i="5"/>
  <c r="AX204" i="5" s="1"/>
  <c r="BA205" i="5"/>
  <c r="AR205" i="5" s="1"/>
  <c r="BA206" i="5"/>
  <c r="BA207" i="5"/>
  <c r="AV207" i="5" s="1"/>
  <c r="BA208" i="5"/>
  <c r="BA209" i="5"/>
  <c r="AZ209" i="5" s="1"/>
  <c r="BA210" i="5"/>
  <c r="BA211" i="5"/>
  <c r="AT211" i="5" s="1"/>
  <c r="BA212" i="5"/>
  <c r="AX212" i="5" s="1"/>
  <c r="BA213" i="5"/>
  <c r="AW213" i="5" s="1"/>
  <c r="BA214" i="5"/>
  <c r="BA215" i="5"/>
  <c r="AQ215" i="5" s="1"/>
  <c r="BA216" i="5"/>
  <c r="AR216" i="5" s="1"/>
  <c r="BA217" i="5"/>
  <c r="AQ217" i="5" s="1"/>
  <c r="BA218" i="5"/>
  <c r="BA219" i="5"/>
  <c r="AY219" i="5" s="1"/>
  <c r="BA220" i="5"/>
  <c r="AX220" i="5" s="1"/>
  <c r="BA221" i="5"/>
  <c r="BA222" i="5"/>
  <c r="AS222" i="5" s="1"/>
  <c r="BA223" i="5"/>
  <c r="BA224" i="5"/>
  <c r="AQ224" i="5" s="1"/>
  <c r="BA225" i="5"/>
  <c r="AQ225" i="5" s="1"/>
  <c r="BA226" i="5"/>
  <c r="BA227" i="5"/>
  <c r="BA228" i="5"/>
  <c r="BA229" i="5"/>
  <c r="BA230" i="5"/>
  <c r="BA231" i="5"/>
  <c r="AQ231" i="5" s="1"/>
  <c r="BA232" i="5"/>
  <c r="BA233" i="5"/>
  <c r="AU233" i="5" s="1"/>
  <c r="BA234" i="5"/>
  <c r="AR234" i="5" s="1"/>
  <c r="BA235" i="5"/>
  <c r="AQ235" i="5" s="1"/>
  <c r="BA236" i="5"/>
  <c r="BA237" i="5"/>
  <c r="BA238" i="5"/>
  <c r="BA239" i="5"/>
  <c r="AW239" i="5" s="1"/>
  <c r="BA240" i="5"/>
  <c r="BC240" i="5" s="1"/>
  <c r="BA241" i="5"/>
  <c r="AR241" i="5" s="1"/>
  <c r="BA242" i="5"/>
  <c r="BA243" i="5"/>
  <c r="BC243" i="5" s="1"/>
  <c r="BA244" i="5"/>
  <c r="AQ244" i="5" s="1"/>
  <c r="BA245" i="5"/>
  <c r="BB245" i="5" s="1"/>
  <c r="BA246" i="5"/>
  <c r="BA247" i="5"/>
  <c r="BA248" i="5"/>
  <c r="AQ248" i="5" s="1"/>
  <c r="BA249" i="5"/>
  <c r="BA250" i="5"/>
  <c r="BA251" i="5"/>
  <c r="AQ251" i="5" s="1"/>
  <c r="BA252" i="5"/>
  <c r="AX252" i="5" s="1"/>
  <c r="BA253" i="5"/>
  <c r="BA254" i="5"/>
  <c r="BA255" i="5"/>
  <c r="BA256" i="5"/>
  <c r="AQ256" i="5" s="1"/>
  <c r="BA257" i="5"/>
  <c r="AZ257" i="5" s="1"/>
  <c r="BA258" i="5"/>
  <c r="BA259" i="5"/>
  <c r="AY259" i="5" s="1"/>
  <c r="BA260" i="5"/>
  <c r="AZ260" i="5" s="1"/>
  <c r="BA261" i="5"/>
  <c r="BA262" i="5"/>
  <c r="BB262" i="5" s="1"/>
  <c r="BA263" i="5"/>
  <c r="BA264" i="5"/>
  <c r="BA265" i="5"/>
  <c r="BA266" i="5"/>
  <c r="BA267" i="5"/>
  <c r="BA268" i="5"/>
  <c r="BC268" i="5" s="1"/>
  <c r="BA269" i="5"/>
  <c r="BA270" i="5"/>
  <c r="AW270" i="5" s="1"/>
  <c r="BA271" i="5"/>
  <c r="BA272" i="5"/>
  <c r="AQ272" i="5" s="1"/>
  <c r="BA273" i="5"/>
  <c r="BA274" i="5"/>
  <c r="BA275" i="5"/>
  <c r="AT275" i="5" s="1"/>
  <c r="BA276" i="5"/>
  <c r="BB276" i="5" s="1"/>
  <c r="BA277" i="5"/>
  <c r="BA278" i="5"/>
  <c r="BC278" i="5" s="1"/>
  <c r="BA279" i="5"/>
  <c r="AR279" i="5" s="1"/>
  <c r="BA280" i="5"/>
  <c r="BA281" i="5"/>
  <c r="BA282" i="5"/>
  <c r="BA283" i="5"/>
  <c r="AR283" i="5" s="1"/>
  <c r="BA284" i="5"/>
  <c r="BA285" i="5"/>
  <c r="AU285" i="5" s="1"/>
  <c r="BA286" i="5"/>
  <c r="BA287" i="5"/>
  <c r="BC287" i="5" s="1"/>
  <c r="BA288" i="5"/>
  <c r="AQ288" i="5" s="1"/>
  <c r="BA289" i="5"/>
  <c r="BA290" i="5"/>
  <c r="AQ290" i="5" s="1"/>
  <c r="BA291" i="5"/>
  <c r="BA292" i="5"/>
  <c r="AT292" i="5" s="1"/>
  <c r="BA293" i="5"/>
  <c r="BA294" i="5"/>
  <c r="BA295" i="5"/>
  <c r="AR295" i="5" s="1"/>
  <c r="BA296" i="5"/>
  <c r="BA297" i="5"/>
  <c r="AT297" i="5" s="1"/>
  <c r="BA298" i="5"/>
  <c r="BA299" i="5"/>
  <c r="BA300" i="5"/>
  <c r="AQ300" i="5" s="1"/>
  <c r="BA301" i="5"/>
  <c r="AT301" i="5" s="1"/>
  <c r="BA302" i="5"/>
  <c r="BA303" i="5"/>
  <c r="AT303" i="5" s="1"/>
  <c r="BA304" i="5"/>
  <c r="AR304" i="5" s="1"/>
  <c r="BA306" i="5"/>
  <c r="BA308" i="5"/>
  <c r="AQ308" i="5" s="1"/>
  <c r="BA309" i="5"/>
  <c r="AU309" i="5" s="1"/>
  <c r="BA310" i="5"/>
  <c r="BA311" i="5"/>
  <c r="BA312" i="5"/>
  <c r="AT312" i="5" s="1"/>
  <c r="BA313" i="5"/>
  <c r="AV313" i="5" s="1"/>
  <c r="BA314" i="5"/>
  <c r="BA315" i="5"/>
  <c r="AQ315" i="5" s="1"/>
  <c r="BA316" i="5"/>
  <c r="BA317" i="5"/>
  <c r="AT317" i="5" s="1"/>
  <c r="BA318" i="5"/>
  <c r="BA319" i="5"/>
  <c r="AS319" i="5" s="1"/>
  <c r="BA320" i="5"/>
  <c r="AS320" i="5" s="1"/>
  <c r="BA321" i="5"/>
  <c r="AU321" i="5" s="1"/>
  <c r="BA322" i="5"/>
  <c r="BA323" i="5"/>
  <c r="AT323" i="5" s="1"/>
  <c r="BA324" i="5"/>
  <c r="BA325" i="5"/>
  <c r="AS325" i="5" s="1"/>
  <c r="BA326" i="5"/>
  <c r="BA327" i="5"/>
  <c r="BA328" i="5"/>
  <c r="BA329" i="5"/>
  <c r="BA330" i="5"/>
  <c r="BA331" i="5"/>
  <c r="BB331" i="5" s="1"/>
  <c r="BA332" i="5"/>
  <c r="BA333" i="5"/>
  <c r="AW333" i="5" s="1"/>
  <c r="BA334" i="5"/>
  <c r="AX334" i="5" s="1"/>
  <c r="BA335" i="5"/>
  <c r="BB335" i="5" s="1"/>
  <c r="BA336" i="5"/>
  <c r="BA337" i="5"/>
  <c r="BA338" i="5"/>
  <c r="BA339" i="5"/>
  <c r="BA340" i="5"/>
  <c r="BA341" i="5"/>
  <c r="BA342" i="5"/>
  <c r="BA343" i="5"/>
  <c r="BC343" i="5" s="1"/>
  <c r="BA344" i="5"/>
  <c r="BA345" i="5"/>
  <c r="BA346" i="5"/>
  <c r="BA347" i="5"/>
  <c r="BB347" i="5" s="1"/>
  <c r="BA348" i="5"/>
  <c r="BA349" i="5"/>
  <c r="AX349" i="5" s="1"/>
  <c r="BA350" i="5"/>
  <c r="AR350" i="5" s="1"/>
  <c r="BA351" i="5"/>
  <c r="BB351" i="5" s="1"/>
  <c r="BA352" i="5"/>
  <c r="BA353" i="5"/>
  <c r="BA354" i="5"/>
  <c r="BA355" i="5"/>
  <c r="AX355" i="5" s="1"/>
  <c r="BA356" i="5"/>
  <c r="BA357" i="5"/>
  <c r="AU357" i="5" s="1"/>
  <c r="BA358" i="5"/>
  <c r="BA359" i="5"/>
  <c r="BA360" i="5"/>
  <c r="BA361" i="5"/>
  <c r="BA362" i="5"/>
  <c r="BA363" i="5"/>
  <c r="BB363" i="5" s="1"/>
  <c r="BA364" i="5"/>
  <c r="BA365" i="5"/>
  <c r="AS365" i="5" s="1"/>
  <c r="BA366" i="5"/>
  <c r="AT366" i="5" s="1"/>
  <c r="BA367" i="5"/>
  <c r="BA368" i="5"/>
  <c r="BA369" i="5"/>
  <c r="BA370" i="5"/>
  <c r="BA371" i="5"/>
  <c r="AR371" i="5" s="1"/>
  <c r="BA372" i="5"/>
  <c r="AQ372" i="5" s="1"/>
  <c r="AS101" i="5"/>
  <c r="AV75" i="5"/>
  <c r="AW75" i="5"/>
  <c r="AX75" i="5"/>
  <c r="AY75" i="5"/>
  <c r="AZ75" i="5"/>
  <c r="P22" i="24"/>
  <c r="Q22" i="24"/>
  <c r="R22" i="24"/>
  <c r="H22" i="24"/>
  <c r="I22" i="24"/>
  <c r="J22" i="24"/>
  <c r="BC101" i="5"/>
  <c r="BC75" i="5"/>
  <c r="BM21" i="5"/>
  <c r="AD21" i="5" s="1"/>
  <c r="BM22" i="5"/>
  <c r="AD22" i="5" s="1"/>
  <c r="BM23" i="5"/>
  <c r="AD23" i="5" s="1"/>
  <c r="BM24" i="5"/>
  <c r="AD24" i="5" s="1"/>
  <c r="BM25" i="5"/>
  <c r="AD25" i="5" s="1"/>
  <c r="BM26" i="5"/>
  <c r="AD26" i="5" s="1"/>
  <c r="BM27" i="5"/>
  <c r="AD27" i="5" s="1"/>
  <c r="BM28" i="5"/>
  <c r="AD28" i="5" s="1"/>
  <c r="BM29" i="5"/>
  <c r="AD29" i="5" s="1"/>
  <c r="BM30" i="5"/>
  <c r="AD30" i="5" s="1"/>
  <c r="BM31" i="5"/>
  <c r="AD31" i="5" s="1"/>
  <c r="BM32" i="5"/>
  <c r="AD32" i="5" s="1"/>
  <c r="BM33" i="5"/>
  <c r="AD33" i="5" s="1"/>
  <c r="BM34" i="5"/>
  <c r="AD34" i="5" s="1"/>
  <c r="BM35" i="5"/>
  <c r="AD35" i="5" s="1"/>
  <c r="BM36" i="5"/>
  <c r="AD36" i="5" s="1"/>
  <c r="BM37" i="5"/>
  <c r="AD37" i="5" s="1"/>
  <c r="BM38" i="5"/>
  <c r="AD38" i="5" s="1"/>
  <c r="BM39" i="5"/>
  <c r="AD39" i="5" s="1"/>
  <c r="BM40" i="5"/>
  <c r="AD40" i="5" s="1"/>
  <c r="BM41" i="5"/>
  <c r="AD41" i="5" s="1"/>
  <c r="BM42" i="5"/>
  <c r="AD42" i="5" s="1"/>
  <c r="BM43" i="5"/>
  <c r="AD43" i="5" s="1"/>
  <c r="BM44" i="5"/>
  <c r="AD44" i="5" s="1"/>
  <c r="BM45" i="5"/>
  <c r="AD45" i="5" s="1"/>
  <c r="BM46" i="5"/>
  <c r="AD46" i="5" s="1"/>
  <c r="BM47" i="5"/>
  <c r="AD47" i="5" s="1"/>
  <c r="BM48" i="5"/>
  <c r="AD48" i="5" s="1"/>
  <c r="BM49" i="5"/>
  <c r="AD49" i="5" s="1"/>
  <c r="BM50" i="5"/>
  <c r="AD50" i="5" s="1"/>
  <c r="BM51" i="5"/>
  <c r="AD51" i="5" s="1"/>
  <c r="BM52" i="5"/>
  <c r="AD52" i="5" s="1"/>
  <c r="BM53" i="5"/>
  <c r="AD53" i="5" s="1"/>
  <c r="BM54" i="5"/>
  <c r="AD54" i="5" s="1"/>
  <c r="BM55" i="5"/>
  <c r="AD55" i="5" s="1"/>
  <c r="BM56" i="5"/>
  <c r="AD56" i="5" s="1"/>
  <c r="BM57" i="5"/>
  <c r="AD57" i="5" s="1"/>
  <c r="BM58" i="5"/>
  <c r="AD58" i="5" s="1"/>
  <c r="BM59" i="5"/>
  <c r="AD59" i="5" s="1"/>
  <c r="BM60" i="5"/>
  <c r="AD60" i="5" s="1"/>
  <c r="BM61" i="5"/>
  <c r="AD61" i="5" s="1"/>
  <c r="BM62" i="5"/>
  <c r="AD62" i="5" s="1"/>
  <c r="BM63" i="5"/>
  <c r="AD63" i="5" s="1"/>
  <c r="BM64" i="5"/>
  <c r="AD64" i="5" s="1"/>
  <c r="BM65" i="5"/>
  <c r="AD65" i="5" s="1"/>
  <c r="BM66" i="5"/>
  <c r="AD66" i="5" s="1"/>
  <c r="BM67" i="5"/>
  <c r="AD67" i="5" s="1"/>
  <c r="BM68" i="5"/>
  <c r="AD68" i="5" s="1"/>
  <c r="BM69" i="5"/>
  <c r="AD69" i="5" s="1"/>
  <c r="BM70" i="5"/>
  <c r="AD70" i="5" s="1"/>
  <c r="BM71" i="5"/>
  <c r="AD71" i="5" s="1"/>
  <c r="BM72" i="5"/>
  <c r="AD72" i="5" s="1"/>
  <c r="BM73" i="5"/>
  <c r="AD73" i="5" s="1"/>
  <c r="BM74" i="5"/>
  <c r="AD74" i="5" s="1"/>
  <c r="BM75" i="5"/>
  <c r="AD75" i="5" s="1"/>
  <c r="BM76" i="5"/>
  <c r="AD76" i="5" s="1"/>
  <c r="BM77" i="5"/>
  <c r="AD77" i="5" s="1"/>
  <c r="BM78" i="5"/>
  <c r="AD78" i="5" s="1"/>
  <c r="BM79" i="5"/>
  <c r="AD79" i="5" s="1"/>
  <c r="BM80" i="5"/>
  <c r="AD80" i="5" s="1"/>
  <c r="BM81" i="5"/>
  <c r="AD81" i="5" s="1"/>
  <c r="BM82" i="5"/>
  <c r="AD82" i="5" s="1"/>
  <c r="BM83" i="5"/>
  <c r="AD83" i="5" s="1"/>
  <c r="BM84" i="5"/>
  <c r="AD84" i="5" s="1"/>
  <c r="BM85" i="5"/>
  <c r="AD85" i="5" s="1"/>
  <c r="BM86" i="5"/>
  <c r="AD86" i="5" s="1"/>
  <c r="BM87" i="5"/>
  <c r="AD87" i="5" s="1"/>
  <c r="BM88" i="5"/>
  <c r="AD88" i="5" s="1"/>
  <c r="BM89" i="5"/>
  <c r="AD89" i="5" s="1"/>
  <c r="BM90" i="5"/>
  <c r="AD90" i="5" s="1"/>
  <c r="BM91" i="5"/>
  <c r="AD91" i="5" s="1"/>
  <c r="BM92" i="5"/>
  <c r="AD92" i="5" s="1"/>
  <c r="BM93" i="5"/>
  <c r="AD93" i="5" s="1"/>
  <c r="BM94" i="5"/>
  <c r="AD94" i="5" s="1"/>
  <c r="BM95" i="5"/>
  <c r="AD95" i="5" s="1"/>
  <c r="BM96" i="5"/>
  <c r="AD96" i="5" s="1"/>
  <c r="BM97" i="5"/>
  <c r="AD97" i="5" s="1"/>
  <c r="BM98" i="5"/>
  <c r="AD98" i="5" s="1"/>
  <c r="BM99" i="5"/>
  <c r="AD99" i="5" s="1"/>
  <c r="BM100" i="5"/>
  <c r="AD100" i="5" s="1"/>
  <c r="BM101" i="5"/>
  <c r="AD101" i="5" s="1"/>
  <c r="BM102" i="5"/>
  <c r="AD102" i="5" s="1"/>
  <c r="BM103" i="5"/>
  <c r="AD103" i="5" s="1"/>
  <c r="BM104" i="5"/>
  <c r="AD104" i="5" s="1"/>
  <c r="BM105" i="5"/>
  <c r="AD105" i="5" s="1"/>
  <c r="BM106" i="5"/>
  <c r="AD106" i="5" s="1"/>
  <c r="BM107" i="5"/>
  <c r="AD107" i="5" s="1"/>
  <c r="BM108" i="5"/>
  <c r="AD108" i="5" s="1"/>
  <c r="BM109" i="5"/>
  <c r="AD109" i="5" s="1"/>
  <c r="BM110" i="5"/>
  <c r="AD110" i="5" s="1"/>
  <c r="BM111" i="5"/>
  <c r="AD111" i="5" s="1"/>
  <c r="BM112" i="5"/>
  <c r="AD112" i="5" s="1"/>
  <c r="BM113" i="5"/>
  <c r="AD113" i="5" s="1"/>
  <c r="BM114" i="5"/>
  <c r="AD114" i="5" s="1"/>
  <c r="BM115" i="5"/>
  <c r="AD115" i="5" s="1"/>
  <c r="BM116" i="5"/>
  <c r="AD116" i="5" s="1"/>
  <c r="BM117" i="5"/>
  <c r="AD117" i="5" s="1"/>
  <c r="BM118" i="5"/>
  <c r="AD118" i="5" s="1"/>
  <c r="BM119" i="5"/>
  <c r="AD119" i="5" s="1"/>
  <c r="BM120" i="5"/>
  <c r="AD120" i="5" s="1"/>
  <c r="BM121" i="5"/>
  <c r="AD121" i="5" s="1"/>
  <c r="BM122" i="5"/>
  <c r="AD122" i="5" s="1"/>
  <c r="BM123" i="5"/>
  <c r="AD123" i="5" s="1"/>
  <c r="BM124" i="5"/>
  <c r="AD124" i="5" s="1"/>
  <c r="BM125" i="5"/>
  <c r="AD125" i="5" s="1"/>
  <c r="BM126" i="5"/>
  <c r="AD126" i="5" s="1"/>
  <c r="BM127" i="5"/>
  <c r="AD127" i="5" s="1"/>
  <c r="BM128" i="5"/>
  <c r="AD128" i="5" s="1"/>
  <c r="BM129" i="5"/>
  <c r="AD129" i="5" s="1"/>
  <c r="BM130" i="5"/>
  <c r="AD130" i="5" s="1"/>
  <c r="BM131" i="5"/>
  <c r="AD131" i="5" s="1"/>
  <c r="BM132" i="5"/>
  <c r="AD132" i="5" s="1"/>
  <c r="BM133" i="5"/>
  <c r="AD133" i="5" s="1"/>
  <c r="BM134" i="5"/>
  <c r="AD134" i="5" s="1"/>
  <c r="BM135" i="5"/>
  <c r="AD135" i="5" s="1"/>
  <c r="BM136" i="5"/>
  <c r="AD136" i="5" s="1"/>
  <c r="BM137" i="5"/>
  <c r="AD137" i="5" s="1"/>
  <c r="BM138" i="5"/>
  <c r="AD138" i="5" s="1"/>
  <c r="BM139" i="5"/>
  <c r="AD139" i="5" s="1"/>
  <c r="BM140" i="5"/>
  <c r="AD140" i="5" s="1"/>
  <c r="BM141" i="5"/>
  <c r="AD141" i="5" s="1"/>
  <c r="BM142" i="5"/>
  <c r="AD142" i="5" s="1"/>
  <c r="BM143" i="5"/>
  <c r="AD143" i="5" s="1"/>
  <c r="BM144" i="5"/>
  <c r="AD144" i="5" s="1"/>
  <c r="BM145" i="5"/>
  <c r="AD145" i="5" s="1"/>
  <c r="BM146" i="5"/>
  <c r="AD146" i="5" s="1"/>
  <c r="BM147" i="5"/>
  <c r="AD147" i="5" s="1"/>
  <c r="BM148" i="5"/>
  <c r="AD148" i="5" s="1"/>
  <c r="BM149" i="5"/>
  <c r="AD149" i="5" s="1"/>
  <c r="BM150" i="5"/>
  <c r="AD150" i="5" s="1"/>
  <c r="BM151" i="5"/>
  <c r="AD151" i="5" s="1"/>
  <c r="BM152" i="5"/>
  <c r="AD152" i="5" s="1"/>
  <c r="BM153" i="5"/>
  <c r="AD153" i="5" s="1"/>
  <c r="BM154" i="5"/>
  <c r="AD154" i="5" s="1"/>
  <c r="BM155" i="5"/>
  <c r="AD155" i="5" s="1"/>
  <c r="BM156" i="5"/>
  <c r="AD156" i="5" s="1"/>
  <c r="BM157" i="5"/>
  <c r="AD157" i="5" s="1"/>
  <c r="BM158" i="5"/>
  <c r="AD158" i="5" s="1"/>
  <c r="BM159" i="5"/>
  <c r="AD159" i="5" s="1"/>
  <c r="BM160" i="5"/>
  <c r="AD160" i="5" s="1"/>
  <c r="BM161" i="5"/>
  <c r="AD161" i="5" s="1"/>
  <c r="BM162" i="5"/>
  <c r="AD162" i="5" s="1"/>
  <c r="BM163" i="5"/>
  <c r="AD163" i="5" s="1"/>
  <c r="BM164" i="5"/>
  <c r="AD164" i="5" s="1"/>
  <c r="BM165" i="5"/>
  <c r="AD165" i="5" s="1"/>
  <c r="BM166" i="5"/>
  <c r="AD166" i="5" s="1"/>
  <c r="BM167" i="5"/>
  <c r="AD167" i="5" s="1"/>
  <c r="BM168" i="5"/>
  <c r="AD168" i="5" s="1"/>
  <c r="BM169" i="5"/>
  <c r="AD169" i="5" s="1"/>
  <c r="BM170" i="5"/>
  <c r="AD170" i="5" s="1"/>
  <c r="BM171" i="5"/>
  <c r="AD171" i="5" s="1"/>
  <c r="BM172" i="5"/>
  <c r="AD172" i="5" s="1"/>
  <c r="BM173" i="5"/>
  <c r="AD173" i="5" s="1"/>
  <c r="BM174" i="5"/>
  <c r="AD174" i="5" s="1"/>
  <c r="BM175" i="5"/>
  <c r="AD175" i="5" s="1"/>
  <c r="BM176" i="5"/>
  <c r="AD176" i="5" s="1"/>
  <c r="BM177" i="5"/>
  <c r="AD177" i="5" s="1"/>
  <c r="BM178" i="5"/>
  <c r="AD178" i="5" s="1"/>
  <c r="BM179" i="5"/>
  <c r="AD179" i="5" s="1"/>
  <c r="BM180" i="5"/>
  <c r="AD180" i="5" s="1"/>
  <c r="BM181" i="5"/>
  <c r="AD181" i="5" s="1"/>
  <c r="BM182" i="5"/>
  <c r="AD182" i="5" s="1"/>
  <c r="BM183" i="5"/>
  <c r="AD183" i="5" s="1"/>
  <c r="BM184" i="5"/>
  <c r="AD184" i="5" s="1"/>
  <c r="BM185" i="5"/>
  <c r="AQ75" i="5"/>
  <c r="D10" i="5"/>
  <c r="E10" i="5"/>
  <c r="F10" i="5"/>
  <c r="G10" i="5"/>
  <c r="H10" i="5"/>
  <c r="C10" i="5"/>
  <c r="BM186" i="5"/>
  <c r="BM187" i="5"/>
  <c r="AD187" i="5" s="1"/>
  <c r="BM188" i="5"/>
  <c r="AD188" i="5" s="1"/>
  <c r="BM189" i="5"/>
  <c r="AD189" i="5" s="1"/>
  <c r="BM190" i="5"/>
  <c r="AD190" i="5" s="1"/>
  <c r="BM191" i="5"/>
  <c r="AD191" i="5" s="1"/>
  <c r="BM192" i="5"/>
  <c r="AD192" i="5" s="1"/>
  <c r="BM193" i="5"/>
  <c r="AD193" i="5" s="1"/>
  <c r="BM194" i="5"/>
  <c r="AD194" i="5" s="1"/>
  <c r="P23" i="24"/>
  <c r="Q23" i="24"/>
  <c r="R23" i="24"/>
  <c r="P24" i="24"/>
  <c r="Q24" i="24"/>
  <c r="R24" i="24"/>
  <c r="P25" i="24"/>
  <c r="Q25" i="24"/>
  <c r="R25" i="24"/>
  <c r="P26" i="24"/>
  <c r="Q26" i="24"/>
  <c r="R26" i="24"/>
  <c r="P27" i="24"/>
  <c r="Q27" i="24"/>
  <c r="R27" i="24"/>
  <c r="P28" i="24"/>
  <c r="Q28" i="24"/>
  <c r="R28" i="24"/>
  <c r="P29" i="24"/>
  <c r="Q29" i="24"/>
  <c r="R29" i="24"/>
  <c r="P30" i="24"/>
  <c r="Q30" i="24"/>
  <c r="R30" i="24"/>
  <c r="P31" i="24"/>
  <c r="Q31" i="24"/>
  <c r="R31" i="24"/>
  <c r="P32" i="24"/>
  <c r="Q32" i="24"/>
  <c r="R32" i="24"/>
  <c r="P33" i="24"/>
  <c r="Q33" i="24"/>
  <c r="R33" i="24"/>
  <c r="H23" i="24"/>
  <c r="I23" i="24"/>
  <c r="J23" i="24"/>
  <c r="H24" i="24"/>
  <c r="I24" i="24"/>
  <c r="J24" i="24"/>
  <c r="H25" i="24"/>
  <c r="I25" i="24"/>
  <c r="J25" i="24"/>
  <c r="H26" i="24"/>
  <c r="I26" i="24"/>
  <c r="J26" i="24"/>
  <c r="H27" i="24"/>
  <c r="I27" i="24"/>
  <c r="J27" i="24"/>
  <c r="H28" i="24"/>
  <c r="I28" i="24"/>
  <c r="J28" i="24"/>
  <c r="H29" i="24"/>
  <c r="I29" i="24"/>
  <c r="J29" i="24"/>
  <c r="H30" i="24"/>
  <c r="I30" i="24"/>
  <c r="J30" i="24"/>
  <c r="H31" i="24"/>
  <c r="I31" i="24"/>
  <c r="J31" i="24"/>
  <c r="H32" i="24"/>
  <c r="I32" i="24"/>
  <c r="J32" i="24"/>
  <c r="H33" i="24"/>
  <c r="I33" i="24"/>
  <c r="J33" i="24"/>
  <c r="K4" i="25"/>
  <c r="K5" i="25"/>
  <c r="K6" i="25"/>
  <c r="K3" i="25"/>
  <c r="J3" i="25"/>
  <c r="J4" i="25"/>
  <c r="J5" i="25"/>
  <c r="J6" i="25"/>
  <c r="L6" i="25"/>
  <c r="L5" i="25"/>
  <c r="L4" i="25"/>
  <c r="L3"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K103" i="25"/>
  <c r="K104" i="25"/>
  <c r="K105" i="25"/>
  <c r="K106" i="25"/>
  <c r="K107" i="25"/>
  <c r="K108" i="25"/>
  <c r="K109" i="25"/>
  <c r="K110" i="25"/>
  <c r="K111" i="25"/>
  <c r="K112" i="25"/>
  <c r="K113" i="25"/>
  <c r="K114" i="25"/>
  <c r="K115" i="25"/>
  <c r="K116" i="25"/>
  <c r="K117" i="25"/>
  <c r="K118" i="25"/>
  <c r="K119" i="25"/>
  <c r="K120" i="25"/>
  <c r="K121" i="25"/>
  <c r="K122" i="25"/>
  <c r="K123" i="25"/>
  <c r="K124" i="25"/>
  <c r="K125" i="25"/>
  <c r="K126" i="25"/>
  <c r="K127" i="25"/>
  <c r="K128" i="25"/>
  <c r="K129" i="25"/>
  <c r="K130" i="25"/>
  <c r="K131" i="25"/>
  <c r="K132" i="25"/>
  <c r="K133" i="25"/>
  <c r="K134" i="25"/>
  <c r="K135" i="25"/>
  <c r="K136" i="25"/>
  <c r="K137" i="25"/>
  <c r="K138" i="25"/>
  <c r="K139" i="25"/>
  <c r="K140" i="25"/>
  <c r="K141" i="25"/>
  <c r="K142" i="25"/>
  <c r="K143" i="25"/>
  <c r="K144" i="25"/>
  <c r="K145" i="25"/>
  <c r="K146" i="25"/>
  <c r="K147" i="25"/>
  <c r="K148" i="25"/>
  <c r="K149" i="25"/>
  <c r="K150" i="25"/>
  <c r="K151" i="25"/>
  <c r="K152" i="25"/>
  <c r="K153" i="25"/>
  <c r="K154" i="25"/>
  <c r="K155" i="25"/>
  <c r="K156" i="25"/>
  <c r="K157" i="25"/>
  <c r="K158" i="25"/>
  <c r="K159" i="25"/>
  <c r="K160" i="25"/>
  <c r="K161" i="25"/>
  <c r="K162" i="25"/>
  <c r="K163" i="25"/>
  <c r="K164" i="25"/>
  <c r="K165" i="25"/>
  <c r="K166" i="25"/>
  <c r="K167" i="25"/>
  <c r="K168" i="25"/>
  <c r="K169" i="25"/>
  <c r="K170" i="25"/>
  <c r="K171" i="25"/>
  <c r="K172" i="25"/>
  <c r="K173" i="25"/>
  <c r="K174" i="25"/>
  <c r="K175" i="25"/>
  <c r="K176" i="25"/>
  <c r="K177" i="25"/>
  <c r="K178" i="25"/>
  <c r="K179" i="25"/>
  <c r="K180" i="25"/>
  <c r="K181" i="25"/>
  <c r="K182" i="25"/>
  <c r="K183" i="25"/>
  <c r="K184" i="25"/>
  <c r="K185" i="25"/>
  <c r="K186" i="25"/>
  <c r="K187" i="25"/>
  <c r="K188" i="25"/>
  <c r="K189" i="25"/>
  <c r="K190" i="25"/>
  <c r="K191" i="25"/>
  <c r="K192" i="25"/>
  <c r="K193" i="25"/>
  <c r="K194" i="25"/>
  <c r="K195" i="25"/>
  <c r="K196" i="25"/>
  <c r="K197" i="25"/>
  <c r="K198" i="25"/>
  <c r="K199" i="25"/>
  <c r="K200" i="25"/>
  <c r="K11" i="25"/>
  <c r="V3" i="5"/>
  <c r="F172" i="25"/>
  <c r="F173" i="25"/>
  <c r="F174" i="25"/>
  <c r="F175" i="25"/>
  <c r="F176" i="25"/>
  <c r="F177" i="25"/>
  <c r="F178" i="25"/>
  <c r="F179" i="25"/>
  <c r="F180" i="25"/>
  <c r="F181" i="25"/>
  <c r="F182" i="25"/>
  <c r="F183" i="25"/>
  <c r="F184" i="25"/>
  <c r="F185" i="25"/>
  <c r="F186" i="25"/>
  <c r="F187" i="25"/>
  <c r="F188" i="25"/>
  <c r="F189" i="25"/>
  <c r="F190" i="25"/>
  <c r="F191" i="25"/>
  <c r="F192" i="25"/>
  <c r="F193" i="25"/>
  <c r="F194" i="25"/>
  <c r="F195" i="25"/>
  <c r="F196" i="25"/>
  <c r="F197" i="25"/>
  <c r="F198" i="25"/>
  <c r="F199" i="25"/>
  <c r="F200" i="25"/>
  <c r="R11" i="25"/>
  <c r="R12" i="25"/>
  <c r="R13" i="25"/>
  <c r="R14" i="25"/>
  <c r="R15" i="25"/>
  <c r="R16" i="25"/>
  <c r="R17" i="25"/>
  <c r="R18" i="25"/>
  <c r="R19" i="25"/>
  <c r="R20" i="25"/>
  <c r="R21" i="25"/>
  <c r="R22" i="25"/>
  <c r="R23" i="25"/>
  <c r="R24"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R51" i="25"/>
  <c r="R52" i="25"/>
  <c r="R53" i="25"/>
  <c r="R54" i="25"/>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R82" i="25"/>
  <c r="R83" i="25"/>
  <c r="R84" i="25"/>
  <c r="R85" i="25"/>
  <c r="R86" i="25"/>
  <c r="R87" i="25"/>
  <c r="R88" i="25"/>
  <c r="R89" i="25"/>
  <c r="R90" i="25"/>
  <c r="R91" i="25"/>
  <c r="R92" i="25"/>
  <c r="R93" i="25"/>
  <c r="R94" i="25"/>
  <c r="R95" i="25"/>
  <c r="R96" i="25"/>
  <c r="R97" i="25"/>
  <c r="R98" i="25"/>
  <c r="R99" i="25"/>
  <c r="R100" i="25"/>
  <c r="R101" i="25"/>
  <c r="R102" i="25"/>
  <c r="R103" i="25"/>
  <c r="R104" i="25"/>
  <c r="R105" i="25"/>
  <c r="R106" i="25"/>
  <c r="R107" i="25"/>
  <c r="R108" i="25"/>
  <c r="R109" i="25"/>
  <c r="R110" i="25"/>
  <c r="R111" i="25"/>
  <c r="R112" i="25"/>
  <c r="R113" i="25"/>
  <c r="R114" i="25"/>
  <c r="R115" i="25"/>
  <c r="R116" i="25"/>
  <c r="R117" i="25"/>
  <c r="R118" i="25"/>
  <c r="R119" i="25"/>
  <c r="R120" i="25"/>
  <c r="R121" i="25"/>
  <c r="R122" i="25"/>
  <c r="R123" i="25"/>
  <c r="R124" i="25"/>
  <c r="R125" i="25"/>
  <c r="R126" i="25"/>
  <c r="R127" i="25"/>
  <c r="R128" i="25"/>
  <c r="R129" i="25"/>
  <c r="R130" i="25"/>
  <c r="R131" i="25"/>
  <c r="R132" i="25"/>
  <c r="R133" i="25"/>
  <c r="R134" i="25"/>
  <c r="R135" i="25"/>
  <c r="R136" i="25"/>
  <c r="R137" i="25"/>
  <c r="R138" i="25"/>
  <c r="R139" i="25"/>
  <c r="R140" i="25"/>
  <c r="R141" i="25"/>
  <c r="R142" i="25"/>
  <c r="R143" i="25"/>
  <c r="R144" i="25"/>
  <c r="R145" i="25"/>
  <c r="R146" i="25"/>
  <c r="R147" i="25"/>
  <c r="R148" i="25"/>
  <c r="R149" i="25"/>
  <c r="R150" i="25"/>
  <c r="R151" i="25"/>
  <c r="R152" i="25"/>
  <c r="R153" i="25"/>
  <c r="R154" i="25"/>
  <c r="R155" i="25"/>
  <c r="R156" i="25"/>
  <c r="R157" i="25"/>
  <c r="R158" i="25"/>
  <c r="R159" i="25"/>
  <c r="R160" i="25"/>
  <c r="R161" i="25"/>
  <c r="R162" i="25"/>
  <c r="R163" i="25"/>
  <c r="R164" i="25"/>
  <c r="R165" i="25"/>
  <c r="R166" i="25"/>
  <c r="R167" i="25"/>
  <c r="R168" i="25"/>
  <c r="R169" i="25"/>
  <c r="R170" i="25"/>
  <c r="R171" i="25"/>
  <c r="R172" i="25"/>
  <c r="R173" i="25"/>
  <c r="R174" i="25"/>
  <c r="R175" i="25"/>
  <c r="R176" i="25"/>
  <c r="R177" i="25"/>
  <c r="R178" i="25"/>
  <c r="R179" i="25"/>
  <c r="R180" i="25"/>
  <c r="R181" i="25"/>
  <c r="R182" i="25"/>
  <c r="R183" i="25"/>
  <c r="R184" i="25"/>
  <c r="R185" i="25"/>
  <c r="R186" i="25"/>
  <c r="R187" i="25"/>
  <c r="R188" i="25"/>
  <c r="R189" i="25"/>
  <c r="R190" i="25"/>
  <c r="R191" i="25"/>
  <c r="R192" i="25"/>
  <c r="R193" i="25"/>
  <c r="R194" i="25"/>
  <c r="R195" i="25"/>
  <c r="R196" i="25"/>
  <c r="R197" i="25"/>
  <c r="R198" i="25"/>
  <c r="R199" i="25"/>
  <c r="R200" i="25"/>
  <c r="AB28" i="25"/>
  <c r="AB29" i="25"/>
  <c r="AB30" i="25"/>
  <c r="AB27" i="25"/>
  <c r="L10" i="25"/>
  <c r="R25" i="25"/>
  <c r="Q12" i="25"/>
  <c r="Q13" i="25"/>
  <c r="Q14" i="25"/>
  <c r="Q15" i="25"/>
  <c r="Q16" i="25"/>
  <c r="Q17" i="25"/>
  <c r="Q18" i="25"/>
  <c r="Q19" i="25"/>
  <c r="Q20" i="25"/>
  <c r="Q21" i="25"/>
  <c r="Q22" i="25"/>
  <c r="Q23" i="25"/>
  <c r="Q24" i="25"/>
  <c r="Q25" i="25"/>
  <c r="Q26" i="25"/>
  <c r="Q27" i="25"/>
  <c r="Q28" i="25"/>
  <c r="Q29" i="25"/>
  <c r="Q30" i="25"/>
  <c r="Q31" i="25"/>
  <c r="Q32" i="25"/>
  <c r="Q33" i="25"/>
  <c r="Q34" i="25"/>
  <c r="Q35" i="25"/>
  <c r="Q36" i="25"/>
  <c r="Q37" i="25"/>
  <c r="Q38" i="25"/>
  <c r="Q39" i="25"/>
  <c r="Q40" i="25"/>
  <c r="Q41" i="25"/>
  <c r="Q42" i="25"/>
  <c r="Q43" i="25"/>
  <c r="Q44" i="25"/>
  <c r="Q45" i="25"/>
  <c r="Q46" i="25"/>
  <c r="Q47" i="25"/>
  <c r="Q48" i="25"/>
  <c r="Q49" i="25"/>
  <c r="Q50" i="25"/>
  <c r="Q51" i="25"/>
  <c r="Q52" i="25"/>
  <c r="Q53" i="25"/>
  <c r="Q54" i="25"/>
  <c r="Q55" i="25"/>
  <c r="Q56" i="25"/>
  <c r="Q57" i="25"/>
  <c r="Q58" i="25"/>
  <c r="Q59" i="25"/>
  <c r="Q60" i="25"/>
  <c r="Q61" i="25"/>
  <c r="Q62" i="25"/>
  <c r="Q63" i="25"/>
  <c r="Q64" i="25"/>
  <c r="Q65" i="25"/>
  <c r="Q66" i="25"/>
  <c r="Q67" i="25"/>
  <c r="Q68" i="25"/>
  <c r="Q69" i="25"/>
  <c r="Q70" i="25"/>
  <c r="Q71" i="25"/>
  <c r="Q72" i="25"/>
  <c r="Q73" i="25"/>
  <c r="Q74" i="25"/>
  <c r="Q75" i="25"/>
  <c r="Q76" i="25"/>
  <c r="Q77" i="25"/>
  <c r="Q78" i="25"/>
  <c r="Q79" i="25"/>
  <c r="Q80" i="25"/>
  <c r="Q81" i="25"/>
  <c r="Q82" i="25"/>
  <c r="Q83" i="25"/>
  <c r="Q84" i="25"/>
  <c r="Q85" i="25"/>
  <c r="Q86" i="25"/>
  <c r="Q87" i="25"/>
  <c r="Q88" i="25"/>
  <c r="Q89" i="25"/>
  <c r="Q90" i="25"/>
  <c r="Q91" i="25"/>
  <c r="Q92" i="25"/>
  <c r="Q93" i="25"/>
  <c r="Q94" i="25"/>
  <c r="Q95" i="25"/>
  <c r="Q96" i="25"/>
  <c r="Q97" i="25"/>
  <c r="Q98" i="25"/>
  <c r="Q99" i="25"/>
  <c r="Q100" i="25"/>
  <c r="Q101" i="25"/>
  <c r="Q102" i="25"/>
  <c r="Q103" i="25"/>
  <c r="Q104" i="25"/>
  <c r="Q105" i="25"/>
  <c r="Q106" i="25"/>
  <c r="Q107" i="25"/>
  <c r="Q108" i="25"/>
  <c r="Q109" i="25"/>
  <c r="Q110" i="25"/>
  <c r="Q111" i="25"/>
  <c r="Q112" i="25"/>
  <c r="Q113" i="25"/>
  <c r="Q114" i="25"/>
  <c r="Q115" i="25"/>
  <c r="Q116" i="25"/>
  <c r="Q117" i="25"/>
  <c r="Q118" i="25"/>
  <c r="Q119" i="25"/>
  <c r="Q120" i="25"/>
  <c r="Q121" i="25"/>
  <c r="Q122" i="25"/>
  <c r="Q123" i="25"/>
  <c r="Q124" i="25"/>
  <c r="Q125" i="25"/>
  <c r="Q126" i="25"/>
  <c r="Q127" i="25"/>
  <c r="Q128" i="25"/>
  <c r="Q129" i="25"/>
  <c r="Q130" i="25"/>
  <c r="Q131" i="25"/>
  <c r="Q132" i="25"/>
  <c r="Q133" i="25"/>
  <c r="Q134" i="25"/>
  <c r="Q135" i="25"/>
  <c r="Q136" i="25"/>
  <c r="Q137" i="25"/>
  <c r="Q138" i="25"/>
  <c r="Q139" i="25"/>
  <c r="Q140" i="25"/>
  <c r="Q141" i="25"/>
  <c r="Q142" i="25"/>
  <c r="Q143" i="25"/>
  <c r="Q144" i="25"/>
  <c r="Q145" i="25"/>
  <c r="Q146" i="25"/>
  <c r="Q147" i="25"/>
  <c r="Q148" i="25"/>
  <c r="Q149" i="25"/>
  <c r="Q150" i="25"/>
  <c r="Q151" i="25"/>
  <c r="Q152" i="25"/>
  <c r="Q153" i="25"/>
  <c r="Q154" i="25"/>
  <c r="Q155" i="25"/>
  <c r="Q156" i="25"/>
  <c r="Q157" i="25"/>
  <c r="Q158" i="25"/>
  <c r="Q159" i="25"/>
  <c r="Q160" i="25"/>
  <c r="Q161" i="25"/>
  <c r="Q162" i="25"/>
  <c r="Q163" i="25"/>
  <c r="Q164" i="25"/>
  <c r="Q165" i="25"/>
  <c r="Q166" i="25"/>
  <c r="Q167" i="25"/>
  <c r="Q168" i="25"/>
  <c r="Q169" i="25"/>
  <c r="Q170" i="25"/>
  <c r="Q171" i="25"/>
  <c r="Q172" i="25"/>
  <c r="Q173" i="25"/>
  <c r="Q174" i="25"/>
  <c r="Q175" i="25"/>
  <c r="Q176" i="25"/>
  <c r="Q177" i="25"/>
  <c r="Q178" i="25"/>
  <c r="Q179" i="25"/>
  <c r="Q180" i="25"/>
  <c r="Q181" i="25"/>
  <c r="Q182" i="25"/>
  <c r="Q183" i="25"/>
  <c r="Q184" i="25"/>
  <c r="Q185" i="25"/>
  <c r="Q186" i="25"/>
  <c r="Q187" i="25"/>
  <c r="Q188" i="25"/>
  <c r="Q189" i="25"/>
  <c r="Q190" i="25"/>
  <c r="Q191" i="25"/>
  <c r="Q192" i="25"/>
  <c r="Q193" i="25"/>
  <c r="Q194" i="25"/>
  <c r="Q195" i="25"/>
  <c r="Q196" i="25"/>
  <c r="Q197" i="25"/>
  <c r="Q198" i="25"/>
  <c r="Q199" i="25"/>
  <c r="Q200" i="25"/>
  <c r="Q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78" i="25"/>
  <c r="J79" i="25"/>
  <c r="J80" i="25"/>
  <c r="J81" i="25"/>
  <c r="J82" i="25"/>
  <c r="J83" i="25"/>
  <c r="J84" i="25"/>
  <c r="J85" i="25"/>
  <c r="J86" i="25"/>
  <c r="J87" i="25"/>
  <c r="J88" i="25"/>
  <c r="J89" i="25"/>
  <c r="J90" i="25"/>
  <c r="J91" i="2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J195" i="25"/>
  <c r="J196" i="25"/>
  <c r="J197" i="25"/>
  <c r="J198" i="25"/>
  <c r="J199" i="25"/>
  <c r="J200" i="25"/>
  <c r="J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L12" i="25"/>
  <c r="M11" i="25"/>
  <c r="K10" i="25"/>
  <c r="L199" i="25"/>
  <c r="N199" i="25"/>
  <c r="O199" i="25"/>
  <c r="L195" i="25"/>
  <c r="N195" i="25"/>
  <c r="O195" i="25"/>
  <c r="L191" i="25"/>
  <c r="N191" i="25"/>
  <c r="O191" i="25"/>
  <c r="L187" i="25"/>
  <c r="N187" i="25"/>
  <c r="O187" i="25"/>
  <c r="L183" i="25"/>
  <c r="N183" i="25"/>
  <c r="O183" i="25"/>
  <c r="L179" i="25"/>
  <c r="N179" i="25"/>
  <c r="O179" i="25"/>
  <c r="L175" i="25"/>
  <c r="N175" i="25"/>
  <c r="O175" i="25"/>
  <c r="L171" i="25"/>
  <c r="N171" i="25"/>
  <c r="O171" i="25"/>
  <c r="F171" i="25"/>
  <c r="L139" i="25"/>
  <c r="N139" i="25"/>
  <c r="O139" i="25"/>
  <c r="F139" i="25"/>
  <c r="L71" i="25"/>
  <c r="N71" i="25"/>
  <c r="O71" i="25"/>
  <c r="F71" i="25"/>
  <c r="L39" i="25"/>
  <c r="N39" i="25"/>
  <c r="O39" i="25"/>
  <c r="F39" i="25"/>
  <c r="L200" i="25"/>
  <c r="N200" i="25"/>
  <c r="O200" i="25"/>
  <c r="L196" i="25"/>
  <c r="N196" i="25"/>
  <c r="O196" i="25"/>
  <c r="L192" i="25"/>
  <c r="N192" i="25"/>
  <c r="O192" i="25"/>
  <c r="L188" i="25"/>
  <c r="N188" i="25"/>
  <c r="O188" i="25"/>
  <c r="L184" i="25"/>
  <c r="N184" i="25"/>
  <c r="O184" i="25"/>
  <c r="L198" i="25"/>
  <c r="N198" i="25"/>
  <c r="O198" i="25"/>
  <c r="L194" i="25"/>
  <c r="N194" i="25"/>
  <c r="O194" i="25"/>
  <c r="L190" i="25"/>
  <c r="N190" i="25"/>
  <c r="O190" i="25"/>
  <c r="L186" i="25"/>
  <c r="N186" i="25"/>
  <c r="O186" i="25"/>
  <c r="L182" i="25"/>
  <c r="N182" i="25"/>
  <c r="O182" i="25"/>
  <c r="L178" i="25"/>
  <c r="N178" i="25"/>
  <c r="O178" i="25"/>
  <c r="L174" i="25"/>
  <c r="N174" i="25"/>
  <c r="O174" i="25"/>
  <c r="L170" i="25"/>
  <c r="N170" i="25"/>
  <c r="O170" i="25"/>
  <c r="F170" i="25"/>
  <c r="L162" i="25"/>
  <c r="N162" i="25"/>
  <c r="O162" i="25"/>
  <c r="F162" i="25"/>
  <c r="L134" i="25"/>
  <c r="N134" i="25"/>
  <c r="O134" i="25"/>
  <c r="F134" i="25"/>
  <c r="L197" i="25"/>
  <c r="N197" i="25"/>
  <c r="O197" i="25"/>
  <c r="L193" i="25"/>
  <c r="N193" i="25"/>
  <c r="O193" i="25"/>
  <c r="L189" i="25"/>
  <c r="N189" i="25"/>
  <c r="O189" i="25"/>
  <c r="L185" i="25"/>
  <c r="N185" i="25"/>
  <c r="O185" i="25"/>
  <c r="L181" i="25"/>
  <c r="N181" i="25"/>
  <c r="O181" i="25"/>
  <c r="L177" i="25"/>
  <c r="N177" i="25"/>
  <c r="O177" i="25"/>
  <c r="L173" i="25"/>
  <c r="N173" i="25"/>
  <c r="O173" i="25"/>
  <c r="L77" i="25"/>
  <c r="N77" i="25"/>
  <c r="O77" i="25"/>
  <c r="F77" i="25"/>
  <c r="L73" i="25"/>
  <c r="N73" i="25"/>
  <c r="O73" i="25"/>
  <c r="F73" i="25"/>
  <c r="L180" i="25"/>
  <c r="N180" i="25"/>
  <c r="O180" i="25"/>
  <c r="L176" i="25"/>
  <c r="N176" i="25"/>
  <c r="O176" i="25"/>
  <c r="L172" i="25"/>
  <c r="N172" i="25"/>
  <c r="O172" i="25"/>
  <c r="L136" i="25"/>
  <c r="N136" i="25"/>
  <c r="O136" i="25"/>
  <c r="F136" i="25"/>
  <c r="L132" i="25"/>
  <c r="N132" i="25"/>
  <c r="O132" i="25"/>
  <c r="F132" i="25"/>
  <c r="L36" i="25"/>
  <c r="N36" i="25"/>
  <c r="O36" i="25"/>
  <c r="F36" i="25"/>
  <c r="L20" i="25"/>
  <c r="N20" i="25"/>
  <c r="O20" i="25"/>
  <c r="F20" i="25"/>
  <c r="Y200" i="25"/>
  <c r="X200" i="25"/>
  <c r="W200" i="25"/>
  <c r="V200" i="25"/>
  <c r="U200" i="25"/>
  <c r="T200" i="25"/>
  <c r="S200" i="25"/>
  <c r="Y199" i="25"/>
  <c r="X199" i="25"/>
  <c r="W199" i="25"/>
  <c r="V199" i="25"/>
  <c r="U199" i="25"/>
  <c r="T199" i="25"/>
  <c r="S199" i="25"/>
  <c r="Y198" i="25"/>
  <c r="X198" i="25"/>
  <c r="W198" i="25"/>
  <c r="V198" i="25"/>
  <c r="U198" i="25"/>
  <c r="T198" i="25"/>
  <c r="S198" i="25"/>
  <c r="Y197" i="25"/>
  <c r="X197" i="25"/>
  <c r="W197" i="25"/>
  <c r="V197" i="25"/>
  <c r="U197" i="25"/>
  <c r="T197" i="25"/>
  <c r="S197" i="25"/>
  <c r="Y196" i="25"/>
  <c r="X196" i="25"/>
  <c r="W196" i="25"/>
  <c r="V196" i="25"/>
  <c r="U196" i="25"/>
  <c r="T196" i="25"/>
  <c r="S196" i="25"/>
  <c r="Y195" i="25"/>
  <c r="X195" i="25"/>
  <c r="W195" i="25"/>
  <c r="V195" i="25"/>
  <c r="U195" i="25"/>
  <c r="T195" i="25"/>
  <c r="S195" i="25"/>
  <c r="Y194" i="25"/>
  <c r="X194" i="25"/>
  <c r="W194" i="25"/>
  <c r="V194" i="25"/>
  <c r="U194" i="25"/>
  <c r="T194" i="25"/>
  <c r="S194" i="25"/>
  <c r="Y193" i="25"/>
  <c r="X193" i="25"/>
  <c r="W193" i="25"/>
  <c r="V193" i="25"/>
  <c r="U193" i="25"/>
  <c r="T193" i="25"/>
  <c r="S193" i="25"/>
  <c r="Y192" i="25"/>
  <c r="X192" i="25"/>
  <c r="W192" i="25"/>
  <c r="V192" i="25"/>
  <c r="U192" i="25"/>
  <c r="T192" i="25"/>
  <c r="S192" i="25"/>
  <c r="Y191" i="25"/>
  <c r="X191" i="25"/>
  <c r="W191" i="25"/>
  <c r="V191" i="25"/>
  <c r="U191" i="25"/>
  <c r="T191" i="25"/>
  <c r="S191" i="25"/>
  <c r="Y190" i="25"/>
  <c r="X190" i="25"/>
  <c r="W190" i="25"/>
  <c r="V190" i="25"/>
  <c r="U190" i="25"/>
  <c r="T190" i="25"/>
  <c r="S190" i="25"/>
  <c r="Y189" i="25"/>
  <c r="X189" i="25"/>
  <c r="W189" i="25"/>
  <c r="V189" i="25"/>
  <c r="U189" i="25"/>
  <c r="T189" i="25"/>
  <c r="S189" i="25"/>
  <c r="Y188" i="25"/>
  <c r="X188" i="25"/>
  <c r="W188" i="25"/>
  <c r="V188" i="25"/>
  <c r="U188" i="25"/>
  <c r="T188" i="25"/>
  <c r="S188" i="25"/>
  <c r="Y187" i="25"/>
  <c r="X187" i="25"/>
  <c r="W187" i="25"/>
  <c r="V187" i="25"/>
  <c r="U187" i="25"/>
  <c r="T187" i="25"/>
  <c r="S187" i="25"/>
  <c r="Y186" i="25"/>
  <c r="X186" i="25"/>
  <c r="W186" i="25"/>
  <c r="V186" i="25"/>
  <c r="U186" i="25"/>
  <c r="T186" i="25"/>
  <c r="S186" i="25"/>
  <c r="Y185" i="25"/>
  <c r="X185" i="25"/>
  <c r="W185" i="25"/>
  <c r="V185" i="25"/>
  <c r="U185" i="25"/>
  <c r="T185" i="25"/>
  <c r="S185" i="25"/>
  <c r="Y184" i="25"/>
  <c r="X184" i="25"/>
  <c r="W184" i="25"/>
  <c r="V184" i="25"/>
  <c r="U184" i="25"/>
  <c r="T184" i="25"/>
  <c r="S184" i="25"/>
  <c r="Y183" i="25"/>
  <c r="X183" i="25"/>
  <c r="W183" i="25"/>
  <c r="V183" i="25"/>
  <c r="U183" i="25"/>
  <c r="T183" i="25"/>
  <c r="S183" i="25"/>
  <c r="Y182" i="25"/>
  <c r="X182" i="25"/>
  <c r="W182" i="25"/>
  <c r="V182" i="25"/>
  <c r="U182" i="25"/>
  <c r="T182" i="25"/>
  <c r="S182" i="25"/>
  <c r="Y181" i="25"/>
  <c r="X181" i="25"/>
  <c r="W181" i="25"/>
  <c r="V181" i="25"/>
  <c r="U181" i="25"/>
  <c r="T181" i="25"/>
  <c r="S181" i="25"/>
  <c r="Y180" i="25"/>
  <c r="X180" i="25"/>
  <c r="W180" i="25"/>
  <c r="V180" i="25"/>
  <c r="U180" i="25"/>
  <c r="T180" i="25"/>
  <c r="S180" i="25"/>
  <c r="Y179" i="25"/>
  <c r="X179" i="25"/>
  <c r="W179" i="25"/>
  <c r="V179" i="25"/>
  <c r="U179" i="25"/>
  <c r="T179" i="25"/>
  <c r="S179" i="25"/>
  <c r="Y178" i="25"/>
  <c r="X178" i="25"/>
  <c r="W178" i="25"/>
  <c r="V178" i="25"/>
  <c r="U178" i="25"/>
  <c r="T178" i="25"/>
  <c r="S178" i="25"/>
  <c r="Y177" i="25"/>
  <c r="X177" i="25"/>
  <c r="W177" i="25"/>
  <c r="V177" i="25"/>
  <c r="U177" i="25"/>
  <c r="T177" i="25"/>
  <c r="S177" i="25"/>
  <c r="Y176" i="25"/>
  <c r="X176" i="25"/>
  <c r="W176" i="25"/>
  <c r="V176" i="25"/>
  <c r="U176" i="25"/>
  <c r="T176" i="25"/>
  <c r="S176" i="25"/>
  <c r="Y175" i="25"/>
  <c r="X175" i="25"/>
  <c r="W175" i="25"/>
  <c r="V175" i="25"/>
  <c r="U175" i="25"/>
  <c r="T175" i="25"/>
  <c r="S175" i="25"/>
  <c r="Y174" i="25"/>
  <c r="X174" i="25"/>
  <c r="W174" i="25"/>
  <c r="V174" i="25"/>
  <c r="U174" i="25"/>
  <c r="T174" i="25"/>
  <c r="S174" i="25"/>
  <c r="Y173" i="25"/>
  <c r="X173" i="25"/>
  <c r="W173" i="25"/>
  <c r="V173" i="25"/>
  <c r="U173" i="25"/>
  <c r="T173" i="25"/>
  <c r="S173" i="25"/>
  <c r="Y172" i="25"/>
  <c r="X172" i="25"/>
  <c r="W172" i="25"/>
  <c r="V172" i="25"/>
  <c r="U172" i="25"/>
  <c r="T172" i="25"/>
  <c r="S172" i="25"/>
  <c r="Y171" i="25"/>
  <c r="X171" i="25"/>
  <c r="W171" i="25"/>
  <c r="V171" i="25"/>
  <c r="U171" i="25"/>
  <c r="T171" i="25"/>
  <c r="S171" i="25"/>
  <c r="Y170" i="25"/>
  <c r="X170" i="25"/>
  <c r="W170" i="25"/>
  <c r="V170" i="25"/>
  <c r="U170" i="25"/>
  <c r="T170" i="25"/>
  <c r="S170" i="25"/>
  <c r="Y169" i="25"/>
  <c r="X169" i="25"/>
  <c r="W169" i="25"/>
  <c r="V169" i="25"/>
  <c r="U169" i="25"/>
  <c r="T169" i="25"/>
  <c r="S169" i="25"/>
  <c r="Y168" i="25"/>
  <c r="X168" i="25"/>
  <c r="W168" i="25"/>
  <c r="V168" i="25"/>
  <c r="U168" i="25"/>
  <c r="T168" i="25"/>
  <c r="S168" i="25"/>
  <c r="Y167" i="25"/>
  <c r="X167" i="25"/>
  <c r="W167" i="25"/>
  <c r="V167" i="25"/>
  <c r="U167" i="25"/>
  <c r="T167" i="25"/>
  <c r="S167" i="25"/>
  <c r="Y166" i="25"/>
  <c r="X166" i="25"/>
  <c r="W166" i="25"/>
  <c r="V166" i="25"/>
  <c r="U166" i="25"/>
  <c r="T166" i="25"/>
  <c r="S166" i="25"/>
  <c r="Y165" i="25"/>
  <c r="X165" i="25"/>
  <c r="W165" i="25"/>
  <c r="V165" i="25"/>
  <c r="U165" i="25"/>
  <c r="T165" i="25"/>
  <c r="S165" i="25"/>
  <c r="Y164" i="25"/>
  <c r="X164" i="25"/>
  <c r="W164" i="25"/>
  <c r="V164" i="25"/>
  <c r="U164" i="25"/>
  <c r="T164" i="25"/>
  <c r="S164" i="25"/>
  <c r="Y163" i="25"/>
  <c r="X163" i="25"/>
  <c r="W163" i="25"/>
  <c r="V163" i="25"/>
  <c r="U163" i="25"/>
  <c r="T163" i="25"/>
  <c r="S163" i="25"/>
  <c r="Y162" i="25"/>
  <c r="X162" i="25"/>
  <c r="W162" i="25"/>
  <c r="V162" i="25"/>
  <c r="U162" i="25"/>
  <c r="T162" i="25"/>
  <c r="S162" i="25"/>
  <c r="Y161" i="25"/>
  <c r="X161" i="25"/>
  <c r="W161" i="25"/>
  <c r="V161" i="25"/>
  <c r="U161" i="25"/>
  <c r="T161" i="25"/>
  <c r="S161" i="25"/>
  <c r="Y160" i="25"/>
  <c r="X160" i="25"/>
  <c r="W160" i="25"/>
  <c r="V160" i="25"/>
  <c r="U160" i="25"/>
  <c r="T160" i="25"/>
  <c r="S160" i="25"/>
  <c r="Y159" i="25"/>
  <c r="X159" i="25"/>
  <c r="W159" i="25"/>
  <c r="V159" i="25"/>
  <c r="U159" i="25"/>
  <c r="T159" i="25"/>
  <c r="S159" i="25"/>
  <c r="Y158" i="25"/>
  <c r="X158" i="25"/>
  <c r="W158" i="25"/>
  <c r="V158" i="25"/>
  <c r="U158" i="25"/>
  <c r="T158" i="25"/>
  <c r="S158" i="25"/>
  <c r="Y157" i="25"/>
  <c r="X157" i="25"/>
  <c r="W157" i="25"/>
  <c r="V157" i="25"/>
  <c r="U157" i="25"/>
  <c r="T157" i="25"/>
  <c r="S157" i="25"/>
  <c r="Y156" i="25"/>
  <c r="X156" i="25"/>
  <c r="W156" i="25"/>
  <c r="V156" i="25"/>
  <c r="U156" i="25"/>
  <c r="T156" i="25"/>
  <c r="S156" i="25"/>
  <c r="Y155" i="25"/>
  <c r="X155" i="25"/>
  <c r="W155" i="25"/>
  <c r="V155" i="25"/>
  <c r="U155" i="25"/>
  <c r="T155" i="25"/>
  <c r="S155" i="25"/>
  <c r="Y154" i="25"/>
  <c r="X154" i="25"/>
  <c r="W154" i="25"/>
  <c r="V154" i="25"/>
  <c r="U154" i="25"/>
  <c r="T154" i="25"/>
  <c r="S154" i="25"/>
  <c r="Y153" i="25"/>
  <c r="X153" i="25"/>
  <c r="W153" i="25"/>
  <c r="V153" i="25"/>
  <c r="U153" i="25"/>
  <c r="T153" i="25"/>
  <c r="S153" i="25"/>
  <c r="Y152" i="25"/>
  <c r="X152" i="25"/>
  <c r="W152" i="25"/>
  <c r="V152" i="25"/>
  <c r="U152" i="25"/>
  <c r="T152" i="25"/>
  <c r="S152" i="25"/>
  <c r="Y151" i="25"/>
  <c r="X151" i="25"/>
  <c r="W151" i="25"/>
  <c r="V151" i="25"/>
  <c r="U151" i="25"/>
  <c r="T151" i="25"/>
  <c r="S151" i="25"/>
  <c r="Y150" i="25"/>
  <c r="X150" i="25"/>
  <c r="W150" i="25"/>
  <c r="V150" i="25"/>
  <c r="U150" i="25"/>
  <c r="T150" i="25"/>
  <c r="S150" i="25"/>
  <c r="Y149" i="25"/>
  <c r="X149" i="25"/>
  <c r="W149" i="25"/>
  <c r="V149" i="25"/>
  <c r="U149" i="25"/>
  <c r="T149" i="25"/>
  <c r="S149" i="25"/>
  <c r="Y148" i="25"/>
  <c r="X148" i="25"/>
  <c r="W148" i="25"/>
  <c r="V148" i="25"/>
  <c r="U148" i="25"/>
  <c r="T148" i="25"/>
  <c r="S148" i="25"/>
  <c r="Y147" i="25"/>
  <c r="X147" i="25"/>
  <c r="W147" i="25"/>
  <c r="V147" i="25"/>
  <c r="U147" i="25"/>
  <c r="T147" i="25"/>
  <c r="S147" i="25"/>
  <c r="Y146" i="25"/>
  <c r="X146" i="25"/>
  <c r="W146" i="25"/>
  <c r="V146" i="25"/>
  <c r="U146" i="25"/>
  <c r="T146" i="25"/>
  <c r="S146" i="25"/>
  <c r="Y145" i="25"/>
  <c r="X145" i="25"/>
  <c r="W145" i="25"/>
  <c r="V145" i="25"/>
  <c r="U145" i="25"/>
  <c r="T145" i="25"/>
  <c r="S145" i="25"/>
  <c r="Y144" i="25"/>
  <c r="X144" i="25"/>
  <c r="W144" i="25"/>
  <c r="V144" i="25"/>
  <c r="U144" i="25"/>
  <c r="T144" i="25"/>
  <c r="S144" i="25"/>
  <c r="Y143" i="25"/>
  <c r="X143" i="25"/>
  <c r="W143" i="25"/>
  <c r="V143" i="25"/>
  <c r="U143" i="25"/>
  <c r="T143" i="25"/>
  <c r="S143" i="25"/>
  <c r="Y142" i="25"/>
  <c r="X142" i="25"/>
  <c r="W142" i="25"/>
  <c r="V142" i="25"/>
  <c r="U142" i="25"/>
  <c r="T142" i="25"/>
  <c r="S142" i="25"/>
  <c r="Y141" i="25"/>
  <c r="X141" i="25"/>
  <c r="W141" i="25"/>
  <c r="V141" i="25"/>
  <c r="U141" i="25"/>
  <c r="T141" i="25"/>
  <c r="S141" i="25"/>
  <c r="Y140" i="25"/>
  <c r="X140" i="25"/>
  <c r="W140" i="25"/>
  <c r="V140" i="25"/>
  <c r="U140" i="25"/>
  <c r="T140" i="25"/>
  <c r="S140" i="25"/>
  <c r="Y139" i="25"/>
  <c r="X139" i="25"/>
  <c r="W139" i="25"/>
  <c r="V139" i="25"/>
  <c r="U139" i="25"/>
  <c r="T139" i="25"/>
  <c r="S139" i="25"/>
  <c r="Y138" i="25"/>
  <c r="X138" i="25"/>
  <c r="W138" i="25"/>
  <c r="V138" i="25"/>
  <c r="U138" i="25"/>
  <c r="T138" i="25"/>
  <c r="S138" i="25"/>
  <c r="Y137" i="25"/>
  <c r="X137" i="25"/>
  <c r="W137" i="25"/>
  <c r="V137" i="25"/>
  <c r="U137" i="25"/>
  <c r="T137" i="25"/>
  <c r="S137" i="25"/>
  <c r="Y136" i="25"/>
  <c r="X136" i="25"/>
  <c r="W136" i="25"/>
  <c r="V136" i="25"/>
  <c r="U136" i="25"/>
  <c r="T136" i="25"/>
  <c r="S136" i="25"/>
  <c r="Y135" i="25"/>
  <c r="X135" i="25"/>
  <c r="W135" i="25"/>
  <c r="V135" i="25"/>
  <c r="U135" i="25"/>
  <c r="T135" i="25"/>
  <c r="S135" i="25"/>
  <c r="Y134" i="25"/>
  <c r="X134" i="25"/>
  <c r="W134" i="25"/>
  <c r="V134" i="25"/>
  <c r="U134" i="25"/>
  <c r="T134" i="25"/>
  <c r="S134" i="25"/>
  <c r="Y133" i="25"/>
  <c r="X133" i="25"/>
  <c r="W133" i="25"/>
  <c r="V133" i="25"/>
  <c r="U133" i="25"/>
  <c r="T133" i="25"/>
  <c r="S133" i="25"/>
  <c r="Y132" i="25"/>
  <c r="X132" i="25"/>
  <c r="W132" i="25"/>
  <c r="V132" i="25"/>
  <c r="U132" i="25"/>
  <c r="T132" i="25"/>
  <c r="S132" i="25"/>
  <c r="Y131" i="25"/>
  <c r="X131" i="25"/>
  <c r="W131" i="25"/>
  <c r="V131" i="25"/>
  <c r="U131" i="25"/>
  <c r="T131" i="25"/>
  <c r="S131" i="25"/>
  <c r="Y130" i="25"/>
  <c r="X130" i="25"/>
  <c r="W130" i="25"/>
  <c r="V130" i="25"/>
  <c r="U130" i="25"/>
  <c r="T130" i="25"/>
  <c r="S130" i="25"/>
  <c r="Y129" i="25"/>
  <c r="X129" i="25"/>
  <c r="W129" i="25"/>
  <c r="V129" i="25"/>
  <c r="U129" i="25"/>
  <c r="T129" i="25"/>
  <c r="S129" i="25"/>
  <c r="Y128" i="25"/>
  <c r="X128" i="25"/>
  <c r="W128" i="25"/>
  <c r="V128" i="25"/>
  <c r="U128" i="25"/>
  <c r="T128" i="25"/>
  <c r="S128" i="25"/>
  <c r="Y127" i="25"/>
  <c r="X127" i="25"/>
  <c r="W127" i="25"/>
  <c r="V127" i="25"/>
  <c r="U127" i="25"/>
  <c r="T127" i="25"/>
  <c r="S127" i="25"/>
  <c r="Y126" i="25"/>
  <c r="X126" i="25"/>
  <c r="W126" i="25"/>
  <c r="V126" i="25"/>
  <c r="U126" i="25"/>
  <c r="T126" i="25"/>
  <c r="S126" i="25"/>
  <c r="Y125" i="25"/>
  <c r="X125" i="25"/>
  <c r="W125" i="25"/>
  <c r="V125" i="25"/>
  <c r="U125" i="25"/>
  <c r="T125" i="25"/>
  <c r="S125" i="25"/>
  <c r="Y124" i="25"/>
  <c r="X124" i="25"/>
  <c r="W124" i="25"/>
  <c r="V124" i="25"/>
  <c r="U124" i="25"/>
  <c r="T124" i="25"/>
  <c r="S124" i="25"/>
  <c r="Y123" i="25"/>
  <c r="X123" i="25"/>
  <c r="W123" i="25"/>
  <c r="V123" i="25"/>
  <c r="U123" i="25"/>
  <c r="T123" i="25"/>
  <c r="S123" i="25"/>
  <c r="Y122" i="25"/>
  <c r="X122" i="25"/>
  <c r="W122" i="25"/>
  <c r="V122" i="25"/>
  <c r="U122" i="25"/>
  <c r="T122" i="25"/>
  <c r="S122" i="25"/>
  <c r="Y121" i="25"/>
  <c r="X121" i="25"/>
  <c r="W121" i="25"/>
  <c r="V121" i="25"/>
  <c r="U121" i="25"/>
  <c r="T121" i="25"/>
  <c r="S121" i="25"/>
  <c r="Y120" i="25"/>
  <c r="X120" i="25"/>
  <c r="W120" i="25"/>
  <c r="V120" i="25"/>
  <c r="U120" i="25"/>
  <c r="T120" i="25"/>
  <c r="S120" i="25"/>
  <c r="Y119" i="25"/>
  <c r="X119" i="25"/>
  <c r="W119" i="25"/>
  <c r="V119" i="25"/>
  <c r="U119" i="25"/>
  <c r="T119" i="25"/>
  <c r="S119" i="25"/>
  <c r="Y118" i="25"/>
  <c r="X118" i="25"/>
  <c r="W118" i="25"/>
  <c r="V118" i="25"/>
  <c r="U118" i="25"/>
  <c r="T118" i="25"/>
  <c r="S118" i="25"/>
  <c r="Y117" i="25"/>
  <c r="X117" i="25"/>
  <c r="W117" i="25"/>
  <c r="V117" i="25"/>
  <c r="U117" i="25"/>
  <c r="T117" i="25"/>
  <c r="S117" i="25"/>
  <c r="Y116" i="25"/>
  <c r="X116" i="25"/>
  <c r="W116" i="25"/>
  <c r="V116" i="25"/>
  <c r="U116" i="25"/>
  <c r="T116" i="25"/>
  <c r="S116" i="25"/>
  <c r="Y115" i="25"/>
  <c r="X115" i="25"/>
  <c r="W115" i="25"/>
  <c r="V115" i="25"/>
  <c r="U115" i="25"/>
  <c r="T115" i="25"/>
  <c r="S115" i="25"/>
  <c r="Y114" i="25"/>
  <c r="X114" i="25"/>
  <c r="W114" i="25"/>
  <c r="V114" i="25"/>
  <c r="U114" i="25"/>
  <c r="T114" i="25"/>
  <c r="S114" i="25"/>
  <c r="Y113" i="25"/>
  <c r="X113" i="25"/>
  <c r="W113" i="25"/>
  <c r="V113" i="25"/>
  <c r="U113" i="25"/>
  <c r="T113" i="25"/>
  <c r="S113" i="25"/>
  <c r="Y112" i="25"/>
  <c r="X112" i="25"/>
  <c r="W112" i="25"/>
  <c r="V112" i="25"/>
  <c r="U112" i="25"/>
  <c r="T112" i="25"/>
  <c r="S112" i="25"/>
  <c r="Y111" i="25"/>
  <c r="X111" i="25"/>
  <c r="W111" i="25"/>
  <c r="V111" i="25"/>
  <c r="U111" i="25"/>
  <c r="T111" i="25"/>
  <c r="S111" i="25"/>
  <c r="Y110" i="25"/>
  <c r="X110" i="25"/>
  <c r="W110" i="25"/>
  <c r="V110" i="25"/>
  <c r="U110" i="25"/>
  <c r="T110" i="25"/>
  <c r="S110" i="25"/>
  <c r="Y109" i="25"/>
  <c r="X109" i="25"/>
  <c r="W109" i="25"/>
  <c r="V109" i="25"/>
  <c r="U109" i="25"/>
  <c r="T109" i="25"/>
  <c r="S109" i="25"/>
  <c r="Y108" i="25"/>
  <c r="X108" i="25"/>
  <c r="W108" i="25"/>
  <c r="V108" i="25"/>
  <c r="U108" i="25"/>
  <c r="T108" i="25"/>
  <c r="S108" i="25"/>
  <c r="Y107" i="25"/>
  <c r="X107" i="25"/>
  <c r="W107" i="25"/>
  <c r="V107" i="25"/>
  <c r="U107" i="25"/>
  <c r="T107" i="25"/>
  <c r="S107" i="25"/>
  <c r="Y106" i="25"/>
  <c r="X106" i="25"/>
  <c r="W106" i="25"/>
  <c r="V106" i="25"/>
  <c r="U106" i="25"/>
  <c r="T106" i="25"/>
  <c r="S106" i="25"/>
  <c r="Y105" i="25"/>
  <c r="X105" i="25"/>
  <c r="W105" i="25"/>
  <c r="V105" i="25"/>
  <c r="U105" i="25"/>
  <c r="T105" i="25"/>
  <c r="S105" i="25"/>
  <c r="Y104" i="25"/>
  <c r="X104" i="25"/>
  <c r="W104" i="25"/>
  <c r="V104" i="25"/>
  <c r="U104" i="25"/>
  <c r="T104" i="25"/>
  <c r="S104" i="25"/>
  <c r="Y103" i="25"/>
  <c r="X103" i="25"/>
  <c r="W103" i="25"/>
  <c r="V103" i="25"/>
  <c r="U103" i="25"/>
  <c r="T103" i="25"/>
  <c r="S103" i="25"/>
  <c r="Y102" i="25"/>
  <c r="X102" i="25"/>
  <c r="W102" i="25"/>
  <c r="V102" i="25"/>
  <c r="U102" i="25"/>
  <c r="T102" i="25"/>
  <c r="S102" i="25"/>
  <c r="Y101" i="25"/>
  <c r="X101" i="25"/>
  <c r="W101" i="25"/>
  <c r="V101" i="25"/>
  <c r="U101" i="25"/>
  <c r="T101" i="25"/>
  <c r="S101" i="25"/>
  <c r="Y100" i="25"/>
  <c r="X100" i="25"/>
  <c r="W100" i="25"/>
  <c r="V100" i="25"/>
  <c r="U100" i="25"/>
  <c r="T100" i="25"/>
  <c r="S100" i="25"/>
  <c r="Y99" i="25"/>
  <c r="X99" i="25"/>
  <c r="W99" i="25"/>
  <c r="V99" i="25"/>
  <c r="U99" i="25"/>
  <c r="T99" i="25"/>
  <c r="S99" i="25"/>
  <c r="Y98" i="25"/>
  <c r="X98" i="25"/>
  <c r="W98" i="25"/>
  <c r="V98" i="25"/>
  <c r="U98" i="25"/>
  <c r="T98" i="25"/>
  <c r="S98" i="25"/>
  <c r="Y97" i="25"/>
  <c r="X97" i="25"/>
  <c r="W97" i="25"/>
  <c r="V97" i="25"/>
  <c r="U97" i="25"/>
  <c r="T97" i="25"/>
  <c r="S97" i="25"/>
  <c r="Y96" i="25"/>
  <c r="X96" i="25"/>
  <c r="W96" i="25"/>
  <c r="V96" i="25"/>
  <c r="U96" i="25"/>
  <c r="T96" i="25"/>
  <c r="S96" i="25"/>
  <c r="Y95" i="25"/>
  <c r="X95" i="25"/>
  <c r="W95" i="25"/>
  <c r="V95" i="25"/>
  <c r="U95" i="25"/>
  <c r="T95" i="25"/>
  <c r="S95" i="25"/>
  <c r="Y94" i="25"/>
  <c r="X94" i="25"/>
  <c r="W94" i="25"/>
  <c r="V94" i="25"/>
  <c r="U94" i="25"/>
  <c r="T94" i="25"/>
  <c r="S94" i="25"/>
  <c r="Y93" i="25"/>
  <c r="X93" i="25"/>
  <c r="W93" i="25"/>
  <c r="V93" i="25"/>
  <c r="U93" i="25"/>
  <c r="T93" i="25"/>
  <c r="S93" i="25"/>
  <c r="Y92" i="25"/>
  <c r="X92" i="25"/>
  <c r="W92" i="25"/>
  <c r="V92" i="25"/>
  <c r="U92" i="25"/>
  <c r="T92" i="25"/>
  <c r="S92" i="25"/>
  <c r="Y91" i="25"/>
  <c r="X91" i="25"/>
  <c r="W91" i="25"/>
  <c r="V91" i="25"/>
  <c r="U91" i="25"/>
  <c r="T91" i="25"/>
  <c r="S91" i="25"/>
  <c r="Y90" i="25"/>
  <c r="X90" i="25"/>
  <c r="W90" i="25"/>
  <c r="V90" i="25"/>
  <c r="U90" i="25"/>
  <c r="T90" i="25"/>
  <c r="S90" i="25"/>
  <c r="Y89" i="25"/>
  <c r="X89" i="25"/>
  <c r="W89" i="25"/>
  <c r="V89" i="25"/>
  <c r="U89" i="25"/>
  <c r="T89" i="25"/>
  <c r="S89" i="25"/>
  <c r="Y88" i="25"/>
  <c r="X88" i="25"/>
  <c r="W88" i="25"/>
  <c r="V88" i="25"/>
  <c r="U88" i="25"/>
  <c r="T88" i="25"/>
  <c r="S88" i="25"/>
  <c r="Y87" i="25"/>
  <c r="X87" i="25"/>
  <c r="W87" i="25"/>
  <c r="V87" i="25"/>
  <c r="U87" i="25"/>
  <c r="T87" i="25"/>
  <c r="S87" i="25"/>
  <c r="Y86" i="25"/>
  <c r="X86" i="25"/>
  <c r="W86" i="25"/>
  <c r="V86" i="25"/>
  <c r="U86" i="25"/>
  <c r="T86" i="25"/>
  <c r="S86" i="25"/>
  <c r="Y85" i="25"/>
  <c r="X85" i="25"/>
  <c r="W85" i="25"/>
  <c r="V85" i="25"/>
  <c r="U85" i="25"/>
  <c r="T85" i="25"/>
  <c r="S85" i="25"/>
  <c r="Y84" i="25"/>
  <c r="X84" i="25"/>
  <c r="W84" i="25"/>
  <c r="V84" i="25"/>
  <c r="U84" i="25"/>
  <c r="T84" i="25"/>
  <c r="S84" i="25"/>
  <c r="Y83" i="25"/>
  <c r="X83" i="25"/>
  <c r="W83" i="25"/>
  <c r="V83" i="25"/>
  <c r="U83" i="25"/>
  <c r="T83" i="25"/>
  <c r="S83" i="25"/>
  <c r="Y82" i="25"/>
  <c r="X82" i="25"/>
  <c r="W82" i="25"/>
  <c r="V82" i="25"/>
  <c r="U82" i="25"/>
  <c r="T82" i="25"/>
  <c r="S82" i="25"/>
  <c r="Y81" i="25"/>
  <c r="X81" i="25"/>
  <c r="W81" i="25"/>
  <c r="V81" i="25"/>
  <c r="U81" i="25"/>
  <c r="T81" i="25"/>
  <c r="S81" i="25"/>
  <c r="Y80" i="25"/>
  <c r="X80" i="25"/>
  <c r="W80" i="25"/>
  <c r="V80" i="25"/>
  <c r="U80" i="25"/>
  <c r="T80" i="25"/>
  <c r="S80" i="25"/>
  <c r="Y79" i="25"/>
  <c r="X79" i="25"/>
  <c r="W79" i="25"/>
  <c r="V79" i="25"/>
  <c r="U79" i="25"/>
  <c r="T79" i="25"/>
  <c r="S79" i="25"/>
  <c r="Y78" i="25"/>
  <c r="X78" i="25"/>
  <c r="W78" i="25"/>
  <c r="V78" i="25"/>
  <c r="U78" i="25"/>
  <c r="T78" i="25"/>
  <c r="S78" i="25"/>
  <c r="Y77" i="25"/>
  <c r="X77" i="25"/>
  <c r="W77" i="25"/>
  <c r="V77" i="25"/>
  <c r="U77" i="25"/>
  <c r="T77" i="25"/>
  <c r="S77" i="25"/>
  <c r="Y76" i="25"/>
  <c r="X76" i="25"/>
  <c r="W76" i="25"/>
  <c r="V76" i="25"/>
  <c r="U76" i="25"/>
  <c r="T76" i="25"/>
  <c r="S76" i="25"/>
  <c r="Y75" i="25"/>
  <c r="X75" i="25"/>
  <c r="W75" i="25"/>
  <c r="V75" i="25"/>
  <c r="U75" i="25"/>
  <c r="T75" i="25"/>
  <c r="L160" i="25"/>
  <c r="N160" i="25"/>
  <c r="O160" i="25"/>
  <c r="F160" i="25"/>
  <c r="S75" i="25"/>
  <c r="Y74" i="25"/>
  <c r="X74" i="25"/>
  <c r="W74" i="25"/>
  <c r="V74" i="25"/>
  <c r="U74" i="25"/>
  <c r="T74" i="25"/>
  <c r="S74" i="25"/>
  <c r="Y73" i="25"/>
  <c r="X73" i="25"/>
  <c r="W73" i="25"/>
  <c r="V73" i="25"/>
  <c r="U73" i="25"/>
  <c r="T73" i="25"/>
  <c r="S73" i="25"/>
  <c r="Y72" i="25"/>
  <c r="X72" i="25"/>
  <c r="W72" i="25"/>
  <c r="V72" i="25"/>
  <c r="U72" i="25"/>
  <c r="T72" i="25"/>
  <c r="S72" i="25"/>
  <c r="Y71" i="25"/>
  <c r="X71" i="25"/>
  <c r="W71" i="25"/>
  <c r="V71" i="25"/>
  <c r="U71" i="25"/>
  <c r="T71" i="25"/>
  <c r="L138" i="25"/>
  <c r="N138" i="25"/>
  <c r="O138" i="25"/>
  <c r="F138" i="25"/>
  <c r="S71" i="25"/>
  <c r="Y70" i="25"/>
  <c r="X70" i="25"/>
  <c r="W70" i="25"/>
  <c r="V70" i="25"/>
  <c r="U70" i="25"/>
  <c r="T70" i="25"/>
  <c r="L122" i="25"/>
  <c r="N122" i="25"/>
  <c r="O122" i="25"/>
  <c r="F122" i="25"/>
  <c r="S70" i="25"/>
  <c r="Y69" i="25"/>
  <c r="X69" i="25"/>
  <c r="W69" i="25"/>
  <c r="V69" i="25"/>
  <c r="U69" i="25"/>
  <c r="T69" i="25"/>
  <c r="L118" i="25"/>
  <c r="N118" i="25"/>
  <c r="O118" i="25"/>
  <c r="F118" i="25"/>
  <c r="S69" i="25"/>
  <c r="Y68" i="25"/>
  <c r="X68" i="25"/>
  <c r="W68" i="25"/>
  <c r="V68" i="25"/>
  <c r="U68" i="25"/>
  <c r="T68" i="25"/>
  <c r="S68" i="25"/>
  <c r="Y67" i="25"/>
  <c r="X67" i="25"/>
  <c r="W67" i="25"/>
  <c r="V67" i="25"/>
  <c r="U67" i="25"/>
  <c r="T67" i="25"/>
  <c r="S67" i="25"/>
  <c r="Y66" i="25"/>
  <c r="X66" i="25"/>
  <c r="W66" i="25"/>
  <c r="V66" i="25"/>
  <c r="U66" i="25"/>
  <c r="T66" i="25"/>
  <c r="S66" i="25"/>
  <c r="Y65" i="25"/>
  <c r="X65" i="25"/>
  <c r="W65" i="25"/>
  <c r="V65" i="25"/>
  <c r="U65" i="25"/>
  <c r="T65" i="25"/>
  <c r="S65" i="25"/>
  <c r="Y64" i="25"/>
  <c r="X64" i="25"/>
  <c r="W64" i="25"/>
  <c r="V64" i="25"/>
  <c r="U64" i="25"/>
  <c r="T64" i="25"/>
  <c r="S64" i="25"/>
  <c r="Y63" i="25"/>
  <c r="X63" i="25"/>
  <c r="W63" i="25"/>
  <c r="V63" i="25"/>
  <c r="U63" i="25"/>
  <c r="T63" i="25"/>
  <c r="S63" i="25"/>
  <c r="Y62" i="25"/>
  <c r="X62" i="25"/>
  <c r="W62" i="25"/>
  <c r="V62" i="25"/>
  <c r="U62" i="25"/>
  <c r="T62" i="25"/>
  <c r="L137" i="25"/>
  <c r="N137" i="25"/>
  <c r="O137" i="25"/>
  <c r="F137" i="25"/>
  <c r="S62" i="25"/>
  <c r="Y61" i="25"/>
  <c r="X61" i="25"/>
  <c r="W61" i="25"/>
  <c r="V61" i="25"/>
  <c r="U61" i="25"/>
  <c r="T61" i="25"/>
  <c r="S61" i="25"/>
  <c r="Y60" i="25"/>
  <c r="X60" i="25"/>
  <c r="W60" i="25"/>
  <c r="V60" i="25"/>
  <c r="U60" i="25"/>
  <c r="T60" i="25"/>
  <c r="L135" i="25"/>
  <c r="N135" i="25"/>
  <c r="O135" i="25"/>
  <c r="F135" i="25"/>
  <c r="S60" i="25"/>
  <c r="Y59" i="25"/>
  <c r="X59" i="25"/>
  <c r="W59" i="25"/>
  <c r="V59" i="25"/>
  <c r="U59" i="25"/>
  <c r="T59" i="25"/>
  <c r="L133" i="25"/>
  <c r="N133" i="25"/>
  <c r="O133" i="25"/>
  <c r="F133" i="25"/>
  <c r="S59" i="25"/>
  <c r="Y58" i="25"/>
  <c r="X58" i="25"/>
  <c r="W58" i="25"/>
  <c r="V58" i="25"/>
  <c r="U58" i="25"/>
  <c r="T58" i="25"/>
  <c r="S58" i="25"/>
  <c r="Y57" i="25"/>
  <c r="X57" i="25"/>
  <c r="W57" i="25"/>
  <c r="V57" i="25"/>
  <c r="U57" i="25"/>
  <c r="T57" i="25"/>
  <c r="S57" i="25"/>
  <c r="Y56" i="25"/>
  <c r="X56" i="25"/>
  <c r="W56" i="25"/>
  <c r="V56" i="25"/>
  <c r="U56" i="25"/>
  <c r="T56" i="25"/>
  <c r="S56" i="25"/>
  <c r="Y55" i="25"/>
  <c r="X55" i="25"/>
  <c r="W55" i="25"/>
  <c r="V55" i="25"/>
  <c r="U55" i="25"/>
  <c r="T55" i="25"/>
  <c r="S55" i="25"/>
  <c r="Y54" i="25"/>
  <c r="X54" i="25"/>
  <c r="W54" i="25"/>
  <c r="V54" i="25"/>
  <c r="U54" i="25"/>
  <c r="T54" i="25"/>
  <c r="S54" i="25"/>
  <c r="Y53" i="25"/>
  <c r="X53" i="25"/>
  <c r="W53" i="25"/>
  <c r="V53" i="25"/>
  <c r="U53" i="25"/>
  <c r="T53" i="25"/>
  <c r="S53" i="25"/>
  <c r="Y52" i="25"/>
  <c r="X52" i="25"/>
  <c r="W52" i="25"/>
  <c r="V52" i="25"/>
  <c r="U52" i="25"/>
  <c r="T52" i="25"/>
  <c r="S52" i="25"/>
  <c r="Y51" i="25"/>
  <c r="X51" i="25"/>
  <c r="W51" i="25"/>
  <c r="V51" i="25"/>
  <c r="U51" i="25"/>
  <c r="T51" i="25"/>
  <c r="S51" i="25"/>
  <c r="Y50" i="25"/>
  <c r="X50" i="25"/>
  <c r="W50" i="25"/>
  <c r="V50" i="25"/>
  <c r="U50" i="25"/>
  <c r="T50" i="25"/>
  <c r="S50" i="25"/>
  <c r="Y49" i="25"/>
  <c r="X49" i="25"/>
  <c r="W49" i="25"/>
  <c r="V49" i="25"/>
  <c r="U49" i="25"/>
  <c r="T49" i="25"/>
  <c r="S49" i="25"/>
  <c r="Y48" i="25"/>
  <c r="X48" i="25"/>
  <c r="W48" i="25"/>
  <c r="V48" i="25"/>
  <c r="U48" i="25"/>
  <c r="T48" i="25"/>
  <c r="S48" i="25"/>
  <c r="Y47" i="25"/>
  <c r="X47" i="25"/>
  <c r="W47" i="25"/>
  <c r="V47" i="25"/>
  <c r="U47" i="25"/>
  <c r="T47" i="25"/>
  <c r="S47" i="25"/>
  <c r="Y46" i="25"/>
  <c r="X46" i="25"/>
  <c r="W46" i="25"/>
  <c r="V46" i="25"/>
  <c r="U46" i="25"/>
  <c r="T46" i="25"/>
  <c r="S46" i="25"/>
  <c r="Y45" i="25"/>
  <c r="X45" i="25"/>
  <c r="W45" i="25"/>
  <c r="V45" i="25"/>
  <c r="U45" i="25"/>
  <c r="T45" i="25"/>
  <c r="S45" i="25"/>
  <c r="Y44" i="25"/>
  <c r="X44" i="25"/>
  <c r="W44" i="25"/>
  <c r="V44" i="25"/>
  <c r="U44" i="25"/>
  <c r="T44" i="25"/>
  <c r="S44" i="25"/>
  <c r="Y43" i="25"/>
  <c r="X43" i="25"/>
  <c r="W43" i="25"/>
  <c r="V43" i="25"/>
  <c r="U43" i="25"/>
  <c r="T43" i="25"/>
  <c r="S43" i="25"/>
  <c r="Y42" i="25"/>
  <c r="X42" i="25"/>
  <c r="W42" i="25"/>
  <c r="V42" i="25"/>
  <c r="U42" i="25"/>
  <c r="T42" i="25"/>
  <c r="S42" i="25"/>
  <c r="Y41" i="25"/>
  <c r="X41" i="25"/>
  <c r="W41" i="25"/>
  <c r="V41" i="25"/>
  <c r="U41" i="25"/>
  <c r="T41" i="25"/>
  <c r="L80" i="25"/>
  <c r="N80" i="25"/>
  <c r="O80" i="25"/>
  <c r="F80" i="25"/>
  <c r="S41" i="25"/>
  <c r="Y40" i="25"/>
  <c r="X40" i="25"/>
  <c r="W40" i="25"/>
  <c r="V40" i="25"/>
  <c r="U40" i="25"/>
  <c r="T40" i="25"/>
  <c r="S40" i="25"/>
  <c r="Y39" i="25"/>
  <c r="X39" i="25"/>
  <c r="W39" i="25"/>
  <c r="V39" i="25"/>
  <c r="U39" i="25"/>
  <c r="T39" i="25"/>
  <c r="S39" i="25"/>
  <c r="Y38" i="25"/>
  <c r="X38" i="25"/>
  <c r="W38" i="25"/>
  <c r="V38" i="25"/>
  <c r="U38" i="25"/>
  <c r="T38" i="25"/>
  <c r="S38" i="25"/>
  <c r="Y37" i="25"/>
  <c r="X37" i="25"/>
  <c r="W37" i="25"/>
  <c r="V37" i="25"/>
  <c r="U37" i="25"/>
  <c r="T37" i="25"/>
  <c r="S37" i="25"/>
  <c r="Y36" i="25"/>
  <c r="X36" i="25"/>
  <c r="W36" i="25"/>
  <c r="V36" i="25"/>
  <c r="U36" i="25"/>
  <c r="T36" i="25"/>
  <c r="L40" i="25"/>
  <c r="N40" i="25"/>
  <c r="O40" i="25"/>
  <c r="F40" i="25"/>
  <c r="S36" i="25"/>
  <c r="Y35" i="25"/>
  <c r="X35" i="25"/>
  <c r="W35" i="25"/>
  <c r="V35" i="25"/>
  <c r="U35" i="25"/>
  <c r="T35" i="25"/>
  <c r="L169" i="25"/>
  <c r="N169" i="25"/>
  <c r="O169" i="25"/>
  <c r="F169" i="25"/>
  <c r="S35" i="25"/>
  <c r="Y34" i="25"/>
  <c r="X34" i="25"/>
  <c r="W34" i="25"/>
  <c r="V34" i="25"/>
  <c r="U34" i="25"/>
  <c r="T34" i="25"/>
  <c r="S34" i="25"/>
  <c r="Y33" i="25"/>
  <c r="X33" i="25"/>
  <c r="W33" i="25"/>
  <c r="V33" i="25"/>
  <c r="U33" i="25"/>
  <c r="T33" i="25"/>
  <c r="L156" i="25"/>
  <c r="N156" i="25"/>
  <c r="O156" i="25"/>
  <c r="F156" i="25"/>
  <c r="S33" i="25"/>
  <c r="Y32" i="25"/>
  <c r="X32" i="25"/>
  <c r="W32" i="25"/>
  <c r="V32" i="25"/>
  <c r="U32" i="25"/>
  <c r="T32" i="25"/>
  <c r="S32" i="25"/>
  <c r="Y31" i="25"/>
  <c r="X31" i="25"/>
  <c r="W31" i="25"/>
  <c r="V31" i="25"/>
  <c r="U31" i="25"/>
  <c r="T31" i="25"/>
  <c r="L76" i="25"/>
  <c r="N76" i="25"/>
  <c r="O76" i="25"/>
  <c r="F76" i="25"/>
  <c r="S31" i="25"/>
  <c r="Y30" i="25"/>
  <c r="X30" i="25"/>
  <c r="W30" i="25"/>
  <c r="V30" i="25"/>
  <c r="U30" i="25"/>
  <c r="T30" i="25"/>
  <c r="L38" i="25"/>
  <c r="N38" i="25"/>
  <c r="O38" i="25"/>
  <c r="F38" i="25"/>
  <c r="S30" i="25"/>
  <c r="Y29" i="25"/>
  <c r="X29" i="25"/>
  <c r="W29" i="25"/>
  <c r="V29" i="25"/>
  <c r="U29" i="25"/>
  <c r="T29" i="25"/>
  <c r="S29" i="25"/>
  <c r="Y28" i="25"/>
  <c r="X28" i="25"/>
  <c r="W28" i="25"/>
  <c r="V28" i="25"/>
  <c r="U28" i="25"/>
  <c r="T28" i="25"/>
  <c r="S28" i="25"/>
  <c r="Y27" i="25"/>
  <c r="X27" i="25"/>
  <c r="W27" i="25"/>
  <c r="V27" i="25"/>
  <c r="U27" i="25"/>
  <c r="T27" i="25"/>
  <c r="S27" i="25"/>
  <c r="Y26" i="25"/>
  <c r="X26" i="25"/>
  <c r="W26" i="25"/>
  <c r="V26" i="25"/>
  <c r="U26" i="25"/>
  <c r="T26" i="25"/>
  <c r="L142" i="25"/>
  <c r="N142" i="25"/>
  <c r="O142" i="25"/>
  <c r="F142" i="25"/>
  <c r="S26" i="25"/>
  <c r="Y25" i="25"/>
  <c r="X25" i="25"/>
  <c r="W25" i="25"/>
  <c r="V25" i="25"/>
  <c r="U25" i="25"/>
  <c r="T25" i="25"/>
  <c r="S25" i="25"/>
  <c r="Y24" i="25"/>
  <c r="X24" i="25"/>
  <c r="W24" i="25"/>
  <c r="V24" i="25"/>
  <c r="U24" i="25"/>
  <c r="T24" i="25"/>
  <c r="L131" i="25"/>
  <c r="N131" i="25"/>
  <c r="O131" i="25"/>
  <c r="F131" i="25"/>
  <c r="S24" i="25"/>
  <c r="L145" i="25"/>
  <c r="N145" i="25"/>
  <c r="O145" i="25"/>
  <c r="F145" i="25"/>
  <c r="Y23" i="25"/>
  <c r="X23" i="25"/>
  <c r="W23" i="25"/>
  <c r="V23" i="25"/>
  <c r="U23" i="25"/>
  <c r="T23" i="25"/>
  <c r="S23" i="25"/>
  <c r="Y22" i="25"/>
  <c r="X22" i="25"/>
  <c r="W22" i="25"/>
  <c r="V22" i="25"/>
  <c r="U22" i="25"/>
  <c r="T22" i="25"/>
  <c r="S22" i="25"/>
  <c r="Y21" i="25"/>
  <c r="X21" i="25"/>
  <c r="W21" i="25"/>
  <c r="V21" i="25"/>
  <c r="U21" i="25"/>
  <c r="T21" i="25"/>
  <c r="S21" i="25"/>
  <c r="Y20" i="25"/>
  <c r="X20" i="25"/>
  <c r="W20" i="25"/>
  <c r="V20" i="25"/>
  <c r="U20" i="25"/>
  <c r="T20" i="25"/>
  <c r="S20" i="25"/>
  <c r="Y19" i="25"/>
  <c r="X19" i="25"/>
  <c r="W19" i="25"/>
  <c r="V19" i="25"/>
  <c r="U19" i="25"/>
  <c r="T19" i="25"/>
  <c r="S19" i="25"/>
  <c r="Y18" i="25"/>
  <c r="X18" i="25"/>
  <c r="W18" i="25"/>
  <c r="V18" i="25"/>
  <c r="U18" i="25"/>
  <c r="T18" i="25"/>
  <c r="S18" i="25"/>
  <c r="Y17" i="25"/>
  <c r="X17" i="25"/>
  <c r="W17" i="25"/>
  <c r="V17" i="25"/>
  <c r="U17" i="25"/>
  <c r="T17" i="25"/>
  <c r="S17" i="25"/>
  <c r="Y16" i="25"/>
  <c r="X16" i="25"/>
  <c r="W16" i="25"/>
  <c r="V16" i="25"/>
  <c r="U16" i="25"/>
  <c r="T16" i="25"/>
  <c r="L25" i="25"/>
  <c r="N25" i="25"/>
  <c r="O25" i="25"/>
  <c r="F25" i="25"/>
  <c r="S16" i="25"/>
  <c r="Y15" i="25"/>
  <c r="X15" i="25"/>
  <c r="W15" i="25"/>
  <c r="V15" i="25"/>
  <c r="U15" i="25"/>
  <c r="T15" i="25"/>
  <c r="S15" i="25"/>
  <c r="Y14" i="25"/>
  <c r="X14" i="25"/>
  <c r="W14" i="25"/>
  <c r="V14" i="25"/>
  <c r="U14" i="25"/>
  <c r="T14" i="25"/>
  <c r="L21" i="25"/>
  <c r="N21" i="25"/>
  <c r="O21" i="25"/>
  <c r="F21" i="25"/>
  <c r="S14" i="25"/>
  <c r="Y13" i="25"/>
  <c r="X13" i="25"/>
  <c r="W13" i="25"/>
  <c r="V13" i="25"/>
  <c r="U13" i="25"/>
  <c r="T13" i="25"/>
  <c r="S13" i="25"/>
  <c r="Y12" i="25"/>
  <c r="X12" i="25"/>
  <c r="W12" i="25"/>
  <c r="V12" i="25"/>
  <c r="U12" i="25"/>
  <c r="T12" i="25"/>
  <c r="L74" i="25"/>
  <c r="N74" i="25"/>
  <c r="O74" i="25"/>
  <c r="F74" i="25"/>
  <c r="S12" i="25"/>
  <c r="Y11" i="25"/>
  <c r="X11" i="25"/>
  <c r="W11" i="25"/>
  <c r="V11" i="25"/>
  <c r="U11" i="25"/>
  <c r="T11" i="25"/>
  <c r="S11" i="25"/>
  <c r="L153" i="25"/>
  <c r="N153" i="25"/>
  <c r="O153" i="25"/>
  <c r="F153" i="25"/>
  <c r="L124" i="25"/>
  <c r="N124" i="25"/>
  <c r="O124" i="25"/>
  <c r="F124" i="25"/>
  <c r="L166" i="25"/>
  <c r="N166" i="25"/>
  <c r="O166" i="25"/>
  <c r="F166" i="25"/>
  <c r="L168" i="25"/>
  <c r="N168" i="25"/>
  <c r="O168" i="25"/>
  <c r="F168" i="25"/>
  <c r="L167" i="25"/>
  <c r="N167" i="25"/>
  <c r="O167" i="25"/>
  <c r="F167" i="25"/>
  <c r="L165" i="25"/>
  <c r="N165" i="25"/>
  <c r="O165" i="25"/>
  <c r="F165" i="25"/>
  <c r="L94" i="25"/>
  <c r="N94" i="25"/>
  <c r="O94" i="25"/>
  <c r="F94" i="25"/>
  <c r="L116" i="25"/>
  <c r="N116" i="25"/>
  <c r="O116" i="25"/>
  <c r="F116" i="25"/>
  <c r="L152" i="25"/>
  <c r="N152" i="25"/>
  <c r="O152" i="25"/>
  <c r="F152" i="25"/>
  <c r="L117" i="25"/>
  <c r="N117" i="25"/>
  <c r="O117" i="25"/>
  <c r="F117" i="25"/>
  <c r="L75" i="25"/>
  <c r="N75" i="25"/>
  <c r="O75" i="25"/>
  <c r="F75" i="25"/>
  <c r="L110" i="25"/>
  <c r="N110" i="25"/>
  <c r="O110" i="25"/>
  <c r="F110" i="25"/>
  <c r="L164" i="25"/>
  <c r="N164" i="25"/>
  <c r="O164" i="25"/>
  <c r="F164" i="25"/>
  <c r="L22" i="25"/>
  <c r="N22" i="25"/>
  <c r="O22" i="25"/>
  <c r="F22" i="25"/>
  <c r="L123" i="25"/>
  <c r="N123" i="25"/>
  <c r="O123" i="25"/>
  <c r="F123" i="25"/>
  <c r="L65" i="25"/>
  <c r="N65" i="25"/>
  <c r="O65" i="25"/>
  <c r="F65" i="25"/>
  <c r="L79" i="25"/>
  <c r="N79" i="25"/>
  <c r="O79" i="25"/>
  <c r="F79" i="25"/>
  <c r="L24" i="25"/>
  <c r="N24" i="25"/>
  <c r="O24" i="25"/>
  <c r="F24" i="25"/>
  <c r="L147" i="25"/>
  <c r="N147" i="25"/>
  <c r="O147" i="25"/>
  <c r="F147" i="25"/>
  <c r="L41" i="25"/>
  <c r="N41" i="25"/>
  <c r="O41" i="25"/>
  <c r="F41" i="25"/>
  <c r="L154" i="25"/>
  <c r="N154" i="25"/>
  <c r="O154" i="25"/>
  <c r="F154" i="25"/>
  <c r="L43" i="25"/>
  <c r="N43" i="25"/>
  <c r="O43" i="25"/>
  <c r="F43" i="25"/>
  <c r="L78" i="25"/>
  <c r="N78" i="25"/>
  <c r="O78" i="25"/>
  <c r="F78" i="25"/>
  <c r="L84" i="25"/>
  <c r="N84" i="25"/>
  <c r="O84" i="25"/>
  <c r="F84" i="25"/>
  <c r="N12" i="25"/>
  <c r="O12" i="25"/>
  <c r="F12" i="25"/>
  <c r="L69" i="25"/>
  <c r="N69" i="25"/>
  <c r="O69" i="25"/>
  <c r="F69" i="25"/>
  <c r="L16" i="25"/>
  <c r="N16" i="25"/>
  <c r="O16" i="25"/>
  <c r="F16" i="25"/>
  <c r="L13" i="25"/>
  <c r="N13" i="25"/>
  <c r="O13" i="25"/>
  <c r="F13" i="25"/>
  <c r="L140" i="25"/>
  <c r="N140" i="25"/>
  <c r="O140" i="25"/>
  <c r="F140" i="25"/>
  <c r="L111" i="25"/>
  <c r="N111" i="25"/>
  <c r="O111" i="25"/>
  <c r="F111" i="25"/>
  <c r="L55" i="25"/>
  <c r="N55" i="25"/>
  <c r="O55" i="25"/>
  <c r="F55" i="25"/>
  <c r="L102" i="25"/>
  <c r="N102" i="25"/>
  <c r="O102" i="25"/>
  <c r="F102" i="25"/>
  <c r="L48" i="25"/>
  <c r="N48" i="25"/>
  <c r="O48" i="25"/>
  <c r="F48" i="25"/>
  <c r="L29" i="25"/>
  <c r="N29" i="25"/>
  <c r="O29" i="25"/>
  <c r="F29" i="25"/>
  <c r="L56" i="25"/>
  <c r="N56" i="25"/>
  <c r="O56" i="25"/>
  <c r="F56" i="25"/>
  <c r="L42" i="25"/>
  <c r="N42" i="25"/>
  <c r="O42" i="25"/>
  <c r="F42" i="25"/>
  <c r="L161" i="25"/>
  <c r="N161" i="25"/>
  <c r="O161" i="25"/>
  <c r="F161" i="25"/>
  <c r="L149" i="25"/>
  <c r="N149" i="25"/>
  <c r="O149" i="25"/>
  <c r="F149" i="25"/>
  <c r="L23" i="25"/>
  <c r="N23" i="25"/>
  <c r="O23" i="25"/>
  <c r="F23" i="25"/>
  <c r="L51" i="25"/>
  <c r="N51" i="25"/>
  <c r="O51" i="25"/>
  <c r="F51" i="25"/>
  <c r="L19" i="25"/>
  <c r="N19" i="25"/>
  <c r="O19" i="25"/>
  <c r="F19" i="25"/>
  <c r="L96" i="25"/>
  <c r="N96" i="25"/>
  <c r="O96" i="25"/>
  <c r="F96" i="25"/>
  <c r="L101" i="25"/>
  <c r="N101" i="25"/>
  <c r="O101" i="25"/>
  <c r="F101" i="25"/>
  <c r="L125" i="25"/>
  <c r="N125" i="25"/>
  <c r="O125" i="25"/>
  <c r="F125" i="25"/>
  <c r="L95" i="25"/>
  <c r="N95" i="25"/>
  <c r="O95" i="25"/>
  <c r="F95" i="25"/>
  <c r="L141" i="25"/>
  <c r="N141" i="25"/>
  <c r="O141" i="25"/>
  <c r="F141" i="25"/>
  <c r="L70" i="25"/>
  <c r="N70" i="25"/>
  <c r="O70" i="25"/>
  <c r="F70" i="25"/>
  <c r="L87" i="25"/>
  <c r="N87" i="25"/>
  <c r="O87" i="25"/>
  <c r="F87" i="25"/>
  <c r="L104" i="25"/>
  <c r="N104" i="25"/>
  <c r="O104" i="25"/>
  <c r="F104" i="25"/>
  <c r="L85" i="25"/>
  <c r="N85" i="25"/>
  <c r="O85" i="25"/>
  <c r="F85" i="25"/>
  <c r="L157" i="25"/>
  <c r="N157" i="25"/>
  <c r="O157" i="25"/>
  <c r="F157" i="25"/>
  <c r="L11" i="25"/>
  <c r="N11" i="25"/>
  <c r="O11" i="25"/>
  <c r="F11" i="25"/>
  <c r="L18" i="25"/>
  <c r="N18" i="25"/>
  <c r="O18" i="25"/>
  <c r="F18" i="25"/>
  <c r="L60" i="25"/>
  <c r="N60" i="25"/>
  <c r="O60" i="25"/>
  <c r="F60" i="25"/>
  <c r="L88" i="25"/>
  <c r="N88" i="25"/>
  <c r="O88" i="25"/>
  <c r="F88" i="25"/>
  <c r="L33" i="25"/>
  <c r="N33" i="25"/>
  <c r="O33" i="25"/>
  <c r="F33" i="25"/>
  <c r="L46" i="25"/>
  <c r="N46" i="25"/>
  <c r="O46" i="25"/>
  <c r="F46" i="25"/>
  <c r="L61" i="25"/>
  <c r="N61" i="25"/>
  <c r="O61" i="25"/>
  <c r="F61" i="25"/>
  <c r="L114" i="25"/>
  <c r="N114" i="25"/>
  <c r="O114" i="25"/>
  <c r="F114" i="25"/>
  <c r="L159" i="25"/>
  <c r="N159" i="25"/>
  <c r="O159" i="25"/>
  <c r="F159" i="25"/>
  <c r="L45" i="25"/>
  <c r="N45" i="25"/>
  <c r="O45" i="25"/>
  <c r="F45" i="25"/>
  <c r="L100" i="25"/>
  <c r="N100" i="25"/>
  <c r="O100" i="25"/>
  <c r="F100" i="25"/>
  <c r="L107" i="25"/>
  <c r="N107" i="25"/>
  <c r="O107" i="25"/>
  <c r="F107" i="25"/>
  <c r="L120" i="25"/>
  <c r="N120" i="25"/>
  <c r="O120" i="25"/>
  <c r="F120" i="25"/>
  <c r="L64" i="25"/>
  <c r="N64" i="25"/>
  <c r="O64" i="25"/>
  <c r="F64" i="25"/>
  <c r="L81" i="25"/>
  <c r="N81" i="25"/>
  <c r="O81" i="25"/>
  <c r="F81" i="25"/>
  <c r="L66" i="25"/>
  <c r="N66" i="25"/>
  <c r="O66" i="25"/>
  <c r="F66" i="25"/>
  <c r="L49" i="25"/>
  <c r="N49" i="25"/>
  <c r="O49" i="25"/>
  <c r="F49" i="25"/>
  <c r="L90" i="25"/>
  <c r="N90" i="25"/>
  <c r="O90" i="25"/>
  <c r="F90" i="25"/>
  <c r="L99" i="25"/>
  <c r="N99" i="25"/>
  <c r="O99" i="25"/>
  <c r="F99" i="25"/>
  <c r="L31" i="25"/>
  <c r="N31" i="25"/>
  <c r="O31" i="25"/>
  <c r="F31" i="25"/>
  <c r="L113" i="25"/>
  <c r="N113" i="25"/>
  <c r="O113" i="25"/>
  <c r="F113" i="25"/>
  <c r="L146" i="25"/>
  <c r="N146" i="25"/>
  <c r="O146" i="25"/>
  <c r="F146" i="25"/>
  <c r="L106" i="25"/>
  <c r="N106" i="25"/>
  <c r="O106" i="25"/>
  <c r="F106" i="25"/>
  <c r="L103" i="25"/>
  <c r="N103" i="25"/>
  <c r="O103" i="25"/>
  <c r="F103" i="25"/>
  <c r="L67" i="25"/>
  <c r="N67" i="25"/>
  <c r="O67" i="25"/>
  <c r="F67" i="25"/>
  <c r="L144" i="25"/>
  <c r="N144" i="25"/>
  <c r="O144" i="25"/>
  <c r="F144" i="25"/>
  <c r="L44" i="25"/>
  <c r="N44" i="25"/>
  <c r="O44" i="25"/>
  <c r="F44" i="25"/>
  <c r="L119" i="25"/>
  <c r="N119" i="25"/>
  <c r="O119" i="25"/>
  <c r="F119" i="25"/>
  <c r="L143" i="25"/>
  <c r="N143" i="25"/>
  <c r="O143" i="25"/>
  <c r="F143" i="25"/>
  <c r="L14" i="25"/>
  <c r="N14" i="25"/>
  <c r="O14" i="25"/>
  <c r="F14" i="25"/>
  <c r="L52" i="25"/>
  <c r="N52" i="25"/>
  <c r="O52" i="25"/>
  <c r="F52" i="25"/>
  <c r="L112" i="25"/>
  <c r="N112" i="25"/>
  <c r="O112" i="25"/>
  <c r="F112" i="25"/>
  <c r="L57" i="25"/>
  <c r="N57" i="25"/>
  <c r="O57" i="25"/>
  <c r="F57" i="25"/>
  <c r="L37" i="25"/>
  <c r="N37" i="25"/>
  <c r="O37" i="25"/>
  <c r="F37" i="25"/>
  <c r="L109" i="25"/>
  <c r="N109" i="25"/>
  <c r="O109" i="25"/>
  <c r="F109" i="25"/>
  <c r="L27" i="25"/>
  <c r="N27" i="25"/>
  <c r="O27" i="25"/>
  <c r="F27" i="25"/>
  <c r="L92" i="25"/>
  <c r="N92" i="25"/>
  <c r="O92" i="25"/>
  <c r="F92" i="25"/>
  <c r="L72" i="25"/>
  <c r="N72" i="25"/>
  <c r="O72" i="25"/>
  <c r="F72" i="25"/>
  <c r="L148" i="25"/>
  <c r="N148" i="25"/>
  <c r="O148" i="25"/>
  <c r="F148" i="25"/>
  <c r="L30" i="25"/>
  <c r="N30" i="25"/>
  <c r="O30" i="25"/>
  <c r="F30" i="25"/>
  <c r="L163" i="25"/>
  <c r="N163" i="25"/>
  <c r="O163" i="25"/>
  <c r="F163" i="25"/>
  <c r="L28" i="25"/>
  <c r="N28" i="25"/>
  <c r="O28" i="25"/>
  <c r="F28" i="25"/>
  <c r="L58" i="25"/>
  <c r="N58" i="25"/>
  <c r="O58" i="25"/>
  <c r="F58" i="25"/>
  <c r="L35" i="25"/>
  <c r="N35" i="25"/>
  <c r="O35" i="25"/>
  <c r="F35" i="25"/>
  <c r="L91" i="25"/>
  <c r="N91" i="25"/>
  <c r="O91" i="25"/>
  <c r="F91" i="25"/>
  <c r="L68" i="25"/>
  <c r="N68" i="25"/>
  <c r="O68" i="25"/>
  <c r="F68" i="25"/>
  <c r="L130" i="25"/>
  <c r="N130" i="25"/>
  <c r="O130" i="25"/>
  <c r="F130" i="25"/>
  <c r="L128" i="25"/>
  <c r="N128" i="25"/>
  <c r="O128" i="25"/>
  <c r="F128" i="25"/>
  <c r="L82" i="25"/>
  <c r="N82" i="25"/>
  <c r="O82" i="25"/>
  <c r="F82" i="25"/>
  <c r="L97" i="25"/>
  <c r="N97" i="25"/>
  <c r="O97" i="25"/>
  <c r="F97" i="25"/>
  <c r="L126" i="25"/>
  <c r="N126" i="25"/>
  <c r="O126" i="25"/>
  <c r="F126" i="25"/>
  <c r="L54" i="25"/>
  <c r="N54" i="25"/>
  <c r="O54" i="25"/>
  <c r="F54" i="25"/>
  <c r="L17" i="25"/>
  <c r="N17" i="25"/>
  <c r="O17" i="25"/>
  <c r="F17" i="25"/>
  <c r="L83" i="25"/>
  <c r="N83" i="25"/>
  <c r="O83" i="25"/>
  <c r="F83" i="25"/>
  <c r="L151" i="25"/>
  <c r="N151" i="25"/>
  <c r="O151" i="25"/>
  <c r="F151" i="25"/>
  <c r="L86" i="25"/>
  <c r="N86" i="25"/>
  <c r="O86" i="25"/>
  <c r="F86" i="25"/>
  <c r="L63" i="25"/>
  <c r="N63" i="25"/>
  <c r="O63" i="25"/>
  <c r="F63" i="25"/>
  <c r="L158" i="25"/>
  <c r="N158" i="25"/>
  <c r="O158" i="25"/>
  <c r="F158" i="25"/>
  <c r="L93" i="25"/>
  <c r="N93" i="25"/>
  <c r="O93" i="25"/>
  <c r="F93" i="25"/>
  <c r="L108" i="25"/>
  <c r="N108" i="25"/>
  <c r="O108" i="25"/>
  <c r="F108" i="25"/>
  <c r="L121" i="25"/>
  <c r="N121" i="25"/>
  <c r="O121" i="25"/>
  <c r="F121" i="25"/>
  <c r="L129" i="25"/>
  <c r="N129" i="25"/>
  <c r="O129" i="25"/>
  <c r="F129" i="25"/>
  <c r="L32" i="25"/>
  <c r="N32" i="25"/>
  <c r="O32" i="25"/>
  <c r="F32" i="25"/>
  <c r="L155" i="25"/>
  <c r="N155" i="25"/>
  <c r="O155" i="25"/>
  <c r="F155" i="25"/>
  <c r="L15" i="25"/>
  <c r="N15" i="25"/>
  <c r="O15" i="25"/>
  <c r="F15" i="25"/>
  <c r="L59" i="25"/>
  <c r="N59" i="25"/>
  <c r="O59" i="25"/>
  <c r="F59" i="25"/>
  <c r="L34" i="25"/>
  <c r="N34" i="25"/>
  <c r="O34" i="25"/>
  <c r="F34" i="25"/>
  <c r="L50" i="25"/>
  <c r="N50" i="25"/>
  <c r="O50" i="25"/>
  <c r="F50" i="25"/>
  <c r="L47" i="25"/>
  <c r="N47" i="25"/>
  <c r="O47" i="25"/>
  <c r="F47" i="25"/>
  <c r="L53" i="25"/>
  <c r="N53" i="25"/>
  <c r="O53" i="25"/>
  <c r="F53" i="25"/>
  <c r="L62" i="25"/>
  <c r="N62" i="25"/>
  <c r="O62" i="25"/>
  <c r="F62" i="25"/>
  <c r="L26" i="25"/>
  <c r="N26" i="25"/>
  <c r="O26" i="25"/>
  <c r="F26" i="25"/>
  <c r="L89" i="25"/>
  <c r="N89" i="25"/>
  <c r="O89" i="25"/>
  <c r="F89" i="25"/>
  <c r="L98" i="25"/>
  <c r="N98" i="25"/>
  <c r="O98" i="25"/>
  <c r="F98" i="25"/>
  <c r="L105" i="25"/>
  <c r="N105" i="25"/>
  <c r="O105" i="25"/>
  <c r="F105" i="25"/>
  <c r="L115" i="25"/>
  <c r="N115" i="25"/>
  <c r="O115" i="25"/>
  <c r="F115" i="25"/>
  <c r="L127" i="25"/>
  <c r="N127" i="25"/>
  <c r="O127" i="25"/>
  <c r="F127" i="25"/>
  <c r="L150" i="25"/>
  <c r="N150" i="25"/>
  <c r="O150" i="25"/>
  <c r="F150" i="25"/>
  <c r="BX32" i="5"/>
  <c r="BX33" i="5"/>
  <c r="BX34" i="5"/>
  <c r="BX35" i="5"/>
  <c r="BX36" i="5"/>
  <c r="BX37" i="5"/>
  <c r="BX38" i="5"/>
  <c r="BX39" i="5"/>
  <c r="BX40" i="5"/>
  <c r="BX41" i="5"/>
  <c r="BX42" i="5"/>
  <c r="BX43" i="5"/>
  <c r="BX44" i="5"/>
  <c r="BX45" i="5"/>
  <c r="BX46" i="5"/>
  <c r="BX47" i="5"/>
  <c r="BX48" i="5"/>
  <c r="BX49" i="5"/>
  <c r="BX50" i="5"/>
  <c r="BX51" i="5"/>
  <c r="BX52" i="5"/>
  <c r="BX53" i="5"/>
  <c r="BX54" i="5"/>
  <c r="BX55" i="5"/>
  <c r="BX56" i="5"/>
  <c r="BX57" i="5"/>
  <c r="BX58" i="5"/>
  <c r="BX59" i="5"/>
  <c r="AR75" i="5"/>
  <c r="AR101" i="5"/>
  <c r="AT75" i="5"/>
  <c r="BM197" i="5"/>
  <c r="AD197" i="5" s="1"/>
  <c r="BM198" i="5"/>
  <c r="AD198" i="5" s="1"/>
  <c r="BM199" i="5"/>
  <c r="AD199" i="5" s="1"/>
  <c r="BM200" i="5"/>
  <c r="AD200" i="5" s="1"/>
  <c r="BM201" i="5"/>
  <c r="AD201" i="5" s="1"/>
  <c r="BM202" i="5"/>
  <c r="AD202" i="5" s="1"/>
  <c r="BM203" i="5"/>
  <c r="AD203" i="5" s="1"/>
  <c r="BM204" i="5"/>
  <c r="AD204" i="5" s="1"/>
  <c r="BM205" i="5"/>
  <c r="AD205" i="5" s="1"/>
  <c r="BM206" i="5"/>
  <c r="AD206" i="5" s="1"/>
  <c r="BM207" i="5"/>
  <c r="AD207" i="5" s="1"/>
  <c r="BM208" i="5"/>
  <c r="AD208" i="5" s="1"/>
  <c r="BM209" i="5"/>
  <c r="AD209" i="5" s="1"/>
  <c r="BM210" i="5"/>
  <c r="AD210" i="5" s="1"/>
  <c r="BM211" i="5"/>
  <c r="AD211" i="5" s="1"/>
  <c r="AS75" i="5"/>
  <c r="AQ101" i="5"/>
  <c r="BR14" i="5"/>
  <c r="BR12" i="5"/>
  <c r="BR13" i="5"/>
  <c r="BR15" i="5"/>
  <c r="BB75" i="5"/>
  <c r="AD185" i="5" l="1"/>
  <c r="AD186" i="5"/>
  <c r="BW234" i="5"/>
  <c r="BX235" i="5" s="1"/>
  <c r="AL195" i="5"/>
  <c r="AL21" i="5"/>
  <c r="AS26" i="5"/>
  <c r="U4" i="5"/>
  <c r="U27" i="5"/>
  <c r="U28" i="5"/>
  <c r="U24" i="5"/>
  <c r="S1" i="5"/>
  <c r="S2" i="5" s="1"/>
  <c r="U20" i="5"/>
  <c r="U23" i="5"/>
  <c r="U31" i="5"/>
  <c r="R2" i="5"/>
  <c r="T1" i="5" s="1"/>
  <c r="AL116" i="5"/>
  <c r="AL210" i="5"/>
  <c r="AN210" i="5"/>
  <c r="AL208" i="5"/>
  <c r="AN208" i="5"/>
  <c r="BC31" i="5"/>
  <c r="AR51" i="5"/>
  <c r="AQ31" i="5"/>
  <c r="AT47" i="5"/>
  <c r="BB25" i="5"/>
  <c r="AQ51" i="5"/>
  <c r="BC51" i="5"/>
  <c r="AY47" i="5"/>
  <c r="U7" i="5"/>
  <c r="AV39" i="5"/>
  <c r="AV96" i="5"/>
  <c r="AS65" i="5"/>
  <c r="AW25" i="5"/>
  <c r="AS31" i="5"/>
  <c r="AY85" i="5"/>
  <c r="AW88" i="5"/>
  <c r="BB96" i="5"/>
  <c r="AQ81" i="5"/>
  <c r="BC69" i="5"/>
  <c r="AV116" i="5"/>
  <c r="AT128" i="5"/>
  <c r="AT73" i="5"/>
  <c r="AR104" i="5"/>
  <c r="BC100" i="5"/>
  <c r="AT85" i="5"/>
  <c r="AR69" i="5"/>
  <c r="BC73" i="5"/>
  <c r="AR108" i="5"/>
  <c r="BB88" i="5"/>
  <c r="AQ104" i="5"/>
  <c r="AT61" i="5"/>
  <c r="AR96" i="5"/>
  <c r="BC136" i="5"/>
  <c r="AZ73" i="5"/>
  <c r="AX136" i="5"/>
  <c r="AV61" i="5"/>
  <c r="AR61" i="5"/>
  <c r="AS61" i="5"/>
  <c r="BB61" i="5"/>
  <c r="AQ88" i="5"/>
  <c r="AR88" i="5"/>
  <c r="AR77" i="5"/>
  <c r="BC88" i="5"/>
  <c r="BC65" i="5"/>
  <c r="AZ96" i="5"/>
  <c r="AY136" i="5"/>
  <c r="AY61" i="5"/>
  <c r="AX73" i="5"/>
  <c r="AW73" i="5"/>
  <c r="AQ61" i="5"/>
  <c r="BB85" i="5"/>
  <c r="AQ65" i="5"/>
  <c r="AQ85" i="5"/>
  <c r="AQ120" i="5"/>
  <c r="BB116" i="5"/>
  <c r="AQ92" i="5"/>
  <c r="AQ69" i="5"/>
  <c r="AT104" i="5"/>
  <c r="AR92" i="5"/>
  <c r="BC85" i="5"/>
  <c r="AZ85" i="5"/>
  <c r="AY88" i="5"/>
  <c r="AW136" i="5"/>
  <c r="AV73" i="5"/>
  <c r="AS108" i="5"/>
  <c r="AR180" i="5"/>
  <c r="AS88" i="5"/>
  <c r="BC112" i="5"/>
  <c r="BC81" i="5"/>
  <c r="AZ88" i="5"/>
  <c r="AZ61" i="5"/>
  <c r="AX88" i="5"/>
  <c r="AW61" i="5"/>
  <c r="AV88" i="5"/>
  <c r="AS69" i="5"/>
  <c r="AR85" i="5"/>
  <c r="BB73" i="5"/>
  <c r="AQ136" i="5"/>
  <c r="AQ77" i="5"/>
  <c r="AT88" i="5"/>
  <c r="AR73" i="5"/>
  <c r="AR65" i="5"/>
  <c r="AQ73" i="5"/>
  <c r="BC92" i="5"/>
  <c r="BC61" i="5"/>
  <c r="AZ116" i="5"/>
  <c r="AY73" i="5"/>
  <c r="AX61" i="5"/>
  <c r="AW85" i="5"/>
  <c r="AS73" i="5"/>
  <c r="AQ39" i="5"/>
  <c r="AT55" i="5"/>
  <c r="AT25" i="5"/>
  <c r="AR39" i="5"/>
  <c r="BC25" i="5"/>
  <c r="BB55" i="5"/>
  <c r="BC55" i="5"/>
  <c r="AZ25" i="5"/>
  <c r="AY55" i="5"/>
  <c r="AX55" i="5"/>
  <c r="AW39" i="5"/>
  <c r="AT287" i="5"/>
  <c r="AS283" i="5"/>
  <c r="U26" i="5"/>
  <c r="U21" i="5"/>
  <c r="U25" i="5"/>
  <c r="BB47" i="5"/>
  <c r="AQ26" i="5"/>
  <c r="AQ55" i="5"/>
  <c r="AQ47" i="5"/>
  <c r="AR47" i="5"/>
  <c r="AR35" i="5"/>
  <c r="BC47" i="5"/>
  <c r="BC26" i="5"/>
  <c r="U6" i="5"/>
  <c r="T2" i="5"/>
  <c r="AZ55" i="5"/>
  <c r="AY25" i="5"/>
  <c r="AX47" i="5"/>
  <c r="AS55" i="5"/>
  <c r="AR43" i="5"/>
  <c r="U30" i="5"/>
  <c r="U29" i="5"/>
  <c r="U22" i="5"/>
  <c r="BB39" i="5"/>
  <c r="AQ25" i="5"/>
  <c r="AQ43" i="5"/>
  <c r="AR25" i="5"/>
  <c r="AR26" i="5"/>
  <c r="AR31" i="5"/>
  <c r="BC43" i="5"/>
  <c r="U5" i="5"/>
  <c r="AZ47" i="5"/>
  <c r="AW47" i="5"/>
  <c r="BB153" i="5"/>
  <c r="BW139" i="5"/>
  <c r="BX140" i="5" s="1"/>
  <c r="AQ36" i="5"/>
  <c r="AX287" i="5"/>
  <c r="AY320" i="5"/>
  <c r="AM206" i="5"/>
  <c r="BW244" i="5"/>
  <c r="BX245" i="5" s="1"/>
  <c r="AL206" i="5"/>
  <c r="BW239" i="5"/>
  <c r="BX240" i="5" s="1"/>
  <c r="BW108" i="5"/>
  <c r="BX109" i="5" s="1"/>
  <c r="AR177" i="5"/>
  <c r="AQ52" i="5"/>
  <c r="AS40" i="5"/>
  <c r="BC105" i="5"/>
  <c r="BC52" i="5"/>
  <c r="AR165" i="5"/>
  <c r="BB205" i="5"/>
  <c r="AT153" i="5"/>
  <c r="AR52" i="5"/>
  <c r="BB201" i="5"/>
  <c r="AQ27" i="5"/>
  <c r="BC157" i="5"/>
  <c r="AZ149" i="5"/>
  <c r="AY177" i="5"/>
  <c r="AX205" i="5"/>
  <c r="AW173" i="5"/>
  <c r="AS36" i="5"/>
  <c r="AR292" i="5"/>
  <c r="AQ141" i="5"/>
  <c r="AR157" i="5"/>
  <c r="AQ161" i="5"/>
  <c r="BB193" i="5"/>
  <c r="AQ185" i="5"/>
  <c r="BC28" i="5"/>
  <c r="AX173" i="5"/>
  <c r="AS52" i="5"/>
  <c r="AR213" i="5"/>
  <c r="AT241" i="5"/>
  <c r="BB177" i="5"/>
  <c r="AT177" i="5"/>
  <c r="BB252" i="5"/>
  <c r="BB157" i="5"/>
  <c r="AQ201" i="5"/>
  <c r="BC44" i="5"/>
  <c r="AT209" i="5"/>
  <c r="AQ205" i="5"/>
  <c r="AT213" i="5"/>
  <c r="AQ44" i="5"/>
  <c r="AR141" i="5"/>
  <c r="BB213" i="5"/>
  <c r="BB149" i="5"/>
  <c r="AR36" i="5"/>
  <c r="BC141" i="5"/>
  <c r="BC36" i="5"/>
  <c r="AW145" i="5"/>
  <c r="AV292" i="5"/>
  <c r="AR209" i="5"/>
  <c r="AQ157" i="5"/>
  <c r="AR44" i="5"/>
  <c r="BB209" i="5"/>
  <c r="AQ28" i="5"/>
  <c r="AQ62" i="5"/>
  <c r="AT125" i="5"/>
  <c r="AR28" i="5"/>
  <c r="AW40" i="5"/>
  <c r="AS44" i="5"/>
  <c r="AS28" i="5"/>
  <c r="BA307" i="5"/>
  <c r="AT307" i="5" s="1"/>
  <c r="BC252" i="5"/>
  <c r="AQ252" i="5"/>
  <c r="AR260" i="5"/>
  <c r="AR312" i="5"/>
  <c r="BB256" i="5"/>
  <c r="AQ312" i="5"/>
  <c r="AR163" i="5"/>
  <c r="AR120" i="5"/>
  <c r="AT116" i="5"/>
  <c r="AR100" i="5"/>
  <c r="AR116" i="5"/>
  <c r="AW128" i="5"/>
  <c r="AR204" i="5"/>
  <c r="AR315" i="5"/>
  <c r="AR331" i="5"/>
  <c r="BB128" i="5"/>
  <c r="AR343" i="5"/>
  <c r="BB136" i="5"/>
  <c r="BB104" i="5"/>
  <c r="AQ96" i="5"/>
  <c r="AQ112" i="5"/>
  <c r="AT363" i="5"/>
  <c r="AT96" i="5"/>
  <c r="AT136" i="5"/>
  <c r="AR136" i="5"/>
  <c r="AR112" i="5"/>
  <c r="BC319" i="5"/>
  <c r="BC120" i="5"/>
  <c r="AZ128" i="5"/>
  <c r="AZ104" i="5"/>
  <c r="AY287" i="5"/>
  <c r="AY120" i="5"/>
  <c r="AY100" i="5"/>
  <c r="AX120" i="5"/>
  <c r="AX100" i="5"/>
  <c r="AW120" i="5"/>
  <c r="AW100" i="5"/>
  <c r="AV212" i="5"/>
  <c r="AV104" i="5"/>
  <c r="AS116" i="5"/>
  <c r="AS100" i="5"/>
  <c r="AR287" i="5"/>
  <c r="AR128" i="5"/>
  <c r="BB343" i="5"/>
  <c r="BB251" i="5"/>
  <c r="AQ108" i="5"/>
  <c r="AQ180" i="5"/>
  <c r="BC331" i="5"/>
  <c r="BC212" i="5"/>
  <c r="BC128" i="5"/>
  <c r="BC108" i="5"/>
  <c r="BC96" i="5"/>
  <c r="AY128" i="5"/>
  <c r="AY104" i="5"/>
  <c r="AX128" i="5"/>
  <c r="AX104" i="5"/>
  <c r="AW104" i="5"/>
  <c r="AS104" i="5"/>
  <c r="AT108" i="5"/>
  <c r="AQ331" i="5"/>
  <c r="AQ128" i="5"/>
  <c r="AT351" i="5"/>
  <c r="AT120" i="5"/>
  <c r="BB120" i="5"/>
  <c r="BB100" i="5"/>
  <c r="AQ100" i="5"/>
  <c r="AQ116" i="5"/>
  <c r="AQ363" i="5"/>
  <c r="AT100" i="5"/>
  <c r="BC116" i="5"/>
  <c r="BC104" i="5"/>
  <c r="AZ100" i="5"/>
  <c r="AY116" i="5"/>
  <c r="AY96" i="5"/>
  <c r="AX116" i="5"/>
  <c r="AX96" i="5"/>
  <c r="AW343" i="5"/>
  <c r="AW116" i="5"/>
  <c r="AW96" i="5"/>
  <c r="AV100" i="5"/>
  <c r="AS112" i="5"/>
  <c r="AS96" i="5"/>
  <c r="BB80" i="5"/>
  <c r="AQ80" i="5"/>
  <c r="AT159" i="5"/>
  <c r="AS215" i="5"/>
  <c r="AQ50" i="5"/>
  <c r="AR235" i="5"/>
  <c r="AV24" i="5"/>
  <c r="AQ139" i="5"/>
  <c r="AZ239" i="5"/>
  <c r="AT239" i="5"/>
  <c r="AQ54" i="5"/>
  <c r="AX243" i="5"/>
  <c r="BC247" i="5"/>
  <c r="AS247" i="5"/>
  <c r="AQ247" i="5"/>
  <c r="AU223" i="5"/>
  <c r="AS223" i="5"/>
  <c r="AY223" i="5"/>
  <c r="AT223" i="5"/>
  <c r="AX223" i="5"/>
  <c r="AQ223" i="5"/>
  <c r="BB223" i="5"/>
  <c r="AV223" i="5"/>
  <c r="AW223" i="5"/>
  <c r="AZ223" i="5"/>
  <c r="AU199" i="5"/>
  <c r="AY199" i="5"/>
  <c r="AR199" i="5"/>
  <c r="AQ199" i="5"/>
  <c r="AS199" i="5"/>
  <c r="AX199" i="5"/>
  <c r="AZ199" i="5"/>
  <c r="AV199" i="5"/>
  <c r="AW199" i="5"/>
  <c r="AU187" i="5"/>
  <c r="BC187" i="5"/>
  <c r="AT187" i="5"/>
  <c r="AQ187" i="5"/>
  <c r="AY187" i="5"/>
  <c r="AS187" i="5"/>
  <c r="AX187" i="5"/>
  <c r="AZ187" i="5"/>
  <c r="AR187" i="5"/>
  <c r="AT175" i="5"/>
  <c r="AS175" i="5"/>
  <c r="AR175" i="5"/>
  <c r="BC175" i="5"/>
  <c r="AQ175" i="5"/>
  <c r="AU163" i="5"/>
  <c r="AS163" i="5"/>
  <c r="AX163" i="5"/>
  <c r="AZ163" i="5"/>
  <c r="AW163" i="5"/>
  <c r="BB163" i="5"/>
  <c r="AT151" i="5"/>
  <c r="AS151" i="5"/>
  <c r="AQ151" i="5"/>
  <c r="AT143" i="5"/>
  <c r="BC143" i="5"/>
  <c r="AQ143" i="5"/>
  <c r="AR143" i="5"/>
  <c r="AU127" i="5"/>
  <c r="AY127" i="5"/>
  <c r="AR127" i="5"/>
  <c r="AZ127" i="5"/>
  <c r="AV127" i="5"/>
  <c r="AX127" i="5"/>
  <c r="BC127" i="5"/>
  <c r="AQ127" i="5"/>
  <c r="AR115" i="5"/>
  <c r="AT115" i="5"/>
  <c r="AY115" i="5"/>
  <c r="BC115" i="5"/>
  <c r="AZ115" i="5"/>
  <c r="AQ115" i="5"/>
  <c r="AZ103" i="5"/>
  <c r="AT103" i="5"/>
  <c r="AQ87" i="5"/>
  <c r="AR87" i="5"/>
  <c r="BB87" i="5"/>
  <c r="AW87" i="5"/>
  <c r="AX76" i="5"/>
  <c r="AY76" i="5"/>
  <c r="AT46" i="5"/>
  <c r="AQ46" i="5"/>
  <c r="AV46" i="5"/>
  <c r="AY46" i="5"/>
  <c r="AW46" i="5"/>
  <c r="AR46" i="5"/>
  <c r="AR38" i="5"/>
  <c r="AQ38" i="5"/>
  <c r="AT34" i="5"/>
  <c r="BC34" i="5"/>
  <c r="AQ22" i="5"/>
  <c r="BC22" i="5"/>
  <c r="BB50" i="5"/>
  <c r="AT50" i="5"/>
  <c r="BB24" i="5"/>
  <c r="AR247" i="5"/>
  <c r="BB191" i="5"/>
  <c r="BB115" i="5"/>
  <c r="AQ243" i="5"/>
  <c r="AT191" i="5"/>
  <c r="AR155" i="5"/>
  <c r="AR54" i="5"/>
  <c r="BC199" i="5"/>
  <c r="BC151" i="5"/>
  <c r="BC46" i="5"/>
  <c r="AX207" i="5"/>
  <c r="AS191" i="5"/>
  <c r="AS143" i="5"/>
  <c r="AS34" i="5"/>
  <c r="AV262" i="5"/>
  <c r="AW262" i="5"/>
  <c r="AX262" i="5"/>
  <c r="AQ262" i="5"/>
  <c r="AR262" i="5"/>
  <c r="AT262" i="5"/>
  <c r="AY239" i="5"/>
  <c r="BB239" i="5"/>
  <c r="AX239" i="5"/>
  <c r="BC239" i="5"/>
  <c r="AR239" i="5"/>
  <c r="AQ239" i="5"/>
  <c r="AT227" i="5"/>
  <c r="BC227" i="5"/>
  <c r="AQ227" i="5"/>
  <c r="AS227" i="5"/>
  <c r="AU215" i="5"/>
  <c r="AX215" i="5"/>
  <c r="AZ215" i="5"/>
  <c r="AV215" i="5"/>
  <c r="AW215" i="5"/>
  <c r="AT215" i="5"/>
  <c r="AY215" i="5"/>
  <c r="BC215" i="5"/>
  <c r="AU207" i="5"/>
  <c r="BC207" i="5"/>
  <c r="AY207" i="5"/>
  <c r="BB207" i="5"/>
  <c r="AT207" i="5"/>
  <c r="AS207" i="5"/>
  <c r="AZ207" i="5"/>
  <c r="AQ207" i="5"/>
  <c r="AR207" i="5"/>
  <c r="AU195" i="5"/>
  <c r="AS195" i="5"/>
  <c r="AX195" i="5"/>
  <c r="AZ195" i="5"/>
  <c r="AV195" i="5"/>
  <c r="AW195" i="5"/>
  <c r="AR195" i="5"/>
  <c r="AQ195" i="5"/>
  <c r="BC195" i="5"/>
  <c r="AT195" i="5"/>
  <c r="BB195" i="5"/>
  <c r="AU183" i="5"/>
  <c r="AY183" i="5"/>
  <c r="AS183" i="5"/>
  <c r="AX183" i="5"/>
  <c r="AZ183" i="5"/>
  <c r="AT183" i="5"/>
  <c r="AV183" i="5"/>
  <c r="AW183" i="5"/>
  <c r="AQ183" i="5"/>
  <c r="AU171" i="5"/>
  <c r="AV171" i="5"/>
  <c r="BC171" i="5"/>
  <c r="AY171" i="5"/>
  <c r="AQ171" i="5"/>
  <c r="AX171" i="5"/>
  <c r="AR171" i="5"/>
  <c r="AT171" i="5"/>
  <c r="AU159" i="5"/>
  <c r="AX159" i="5"/>
  <c r="AZ159" i="5"/>
  <c r="AR159" i="5"/>
  <c r="AW159" i="5"/>
  <c r="AV159" i="5"/>
  <c r="AY159" i="5"/>
  <c r="BC159" i="5"/>
  <c r="AQ159" i="5"/>
  <c r="AS147" i="5"/>
  <c r="AY147" i="5"/>
  <c r="AQ147" i="5"/>
  <c r="AZ147" i="5"/>
  <c r="AT147" i="5"/>
  <c r="AX147" i="5"/>
  <c r="BC147" i="5"/>
  <c r="AR147" i="5"/>
  <c r="AT135" i="5"/>
  <c r="AS135" i="5"/>
  <c r="BC135" i="5"/>
  <c r="AQ135" i="5"/>
  <c r="AT123" i="5"/>
  <c r="BC123" i="5"/>
  <c r="AQ123" i="5"/>
  <c r="AS123" i="5"/>
  <c r="AT119" i="5"/>
  <c r="AS119" i="5"/>
  <c r="AU107" i="5"/>
  <c r="AX107" i="5"/>
  <c r="AR95" i="5"/>
  <c r="BC95" i="5"/>
  <c r="BC72" i="5"/>
  <c r="AQ72" i="5"/>
  <c r="AR72" i="5"/>
  <c r="AT42" i="5"/>
  <c r="BC42" i="5"/>
  <c r="AQ42" i="5"/>
  <c r="AS42" i="5"/>
  <c r="AR42" i="5"/>
  <c r="AR215" i="5"/>
  <c r="AR123" i="5"/>
  <c r="AR183" i="5"/>
  <c r="AQ34" i="5"/>
  <c r="BB187" i="5"/>
  <c r="BB127" i="5"/>
  <c r="BB111" i="5"/>
  <c r="AQ111" i="5"/>
  <c r="AT87" i="5"/>
  <c r="AT243" i="5"/>
  <c r="AR223" i="5"/>
  <c r="AR227" i="5"/>
  <c r="AR151" i="5"/>
  <c r="BC183" i="5"/>
  <c r="AZ46" i="5"/>
  <c r="AY163" i="5"/>
  <c r="AX115" i="5"/>
  <c r="AW171" i="5"/>
  <c r="AW127" i="5"/>
  <c r="AV187" i="5"/>
  <c r="AS171" i="5"/>
  <c r="AS127" i="5"/>
  <c r="AT311" i="5"/>
  <c r="AR311" i="5"/>
  <c r="AW243" i="5"/>
  <c r="AZ243" i="5"/>
  <c r="AR243" i="5"/>
  <c r="AY243" i="5"/>
  <c r="BB243" i="5"/>
  <c r="AT231" i="5"/>
  <c r="BC231" i="5"/>
  <c r="AS231" i="5"/>
  <c r="AU219" i="5"/>
  <c r="AZ219" i="5"/>
  <c r="AU191" i="5"/>
  <c r="AV191" i="5"/>
  <c r="AW191" i="5"/>
  <c r="AQ191" i="5"/>
  <c r="BC191" i="5"/>
  <c r="AR191" i="5"/>
  <c r="AY191" i="5"/>
  <c r="AX179" i="5"/>
  <c r="AZ179" i="5"/>
  <c r="AV179" i="5"/>
  <c r="AW179" i="5"/>
  <c r="AR179" i="5"/>
  <c r="AT179" i="5"/>
  <c r="BB179" i="5"/>
  <c r="BC179" i="5"/>
  <c r="AQ179" i="5"/>
  <c r="AU167" i="5"/>
  <c r="AY167" i="5"/>
  <c r="AS167" i="5"/>
  <c r="AZ167" i="5"/>
  <c r="BC155" i="5"/>
  <c r="AT155" i="5"/>
  <c r="AS155" i="5"/>
  <c r="AQ155" i="5"/>
  <c r="AU139" i="5"/>
  <c r="AV139" i="5"/>
  <c r="AZ139" i="5"/>
  <c r="AX139" i="5"/>
  <c r="BB139" i="5"/>
  <c r="AS139" i="5"/>
  <c r="AW139" i="5"/>
  <c r="AT139" i="5"/>
  <c r="AT131" i="5"/>
  <c r="AS131" i="5"/>
  <c r="BC131" i="5"/>
  <c r="AQ131" i="5"/>
  <c r="AV111" i="5"/>
  <c r="AW111" i="5"/>
  <c r="AY111" i="5"/>
  <c r="AZ111" i="5"/>
  <c r="AR111" i="5"/>
  <c r="AT111" i="5"/>
  <c r="AX111" i="5"/>
  <c r="AS80" i="5"/>
  <c r="AW80" i="5"/>
  <c r="BC80" i="5"/>
  <c r="AY80" i="5"/>
  <c r="AR80" i="5"/>
  <c r="AU50" i="5"/>
  <c r="AW50" i="5"/>
  <c r="AS50" i="5"/>
  <c r="AZ50" i="5"/>
  <c r="BC50" i="5"/>
  <c r="AV50" i="5"/>
  <c r="AX50" i="5"/>
  <c r="AR50" i="5"/>
  <c r="AU24" i="5"/>
  <c r="AS24" i="5"/>
  <c r="BC24" i="5"/>
  <c r="AZ24" i="5"/>
  <c r="AT24" i="5"/>
  <c r="AR24" i="5"/>
  <c r="AW24" i="5"/>
  <c r="AQ24" i="5"/>
  <c r="AT199" i="5"/>
  <c r="AT163" i="5"/>
  <c r="AR119" i="5"/>
  <c r="BB183" i="5"/>
  <c r="AR231" i="5"/>
  <c r="AR34" i="5"/>
  <c r="AT80" i="5"/>
  <c r="BB215" i="5"/>
  <c r="BB199" i="5"/>
  <c r="BB159" i="5"/>
  <c r="BB147" i="5"/>
  <c r="AQ76" i="5"/>
  <c r="AQ30" i="5"/>
  <c r="AT127" i="5"/>
  <c r="AR135" i="5"/>
  <c r="BC223" i="5"/>
  <c r="BC163" i="5"/>
  <c r="BC139" i="5"/>
  <c r="BC119" i="5"/>
  <c r="BC30" i="5"/>
  <c r="AZ171" i="5"/>
  <c r="AZ87" i="5"/>
  <c r="AY195" i="5"/>
  <c r="AY139" i="5"/>
  <c r="AX191" i="5"/>
  <c r="AX24" i="5"/>
  <c r="AW207" i="5"/>
  <c r="AV243" i="5"/>
  <c r="AV163" i="5"/>
  <c r="AS239" i="5"/>
  <c r="AN207" i="5"/>
  <c r="BW245" i="5"/>
  <c r="BX246" i="5" s="1"/>
  <c r="AL207" i="5"/>
  <c r="AM207" i="5"/>
  <c r="AN211" i="5"/>
  <c r="AM211" i="5"/>
  <c r="AL211" i="5"/>
  <c r="BW249" i="5"/>
  <c r="BX250" i="5" s="1"/>
  <c r="AL209" i="5"/>
  <c r="AM209" i="5"/>
  <c r="BW247" i="5"/>
  <c r="BX248" i="5" s="1"/>
  <c r="AN209" i="5"/>
  <c r="AM192" i="5"/>
  <c r="BW230" i="5"/>
  <c r="BX231" i="5" s="1"/>
  <c r="BW78" i="5"/>
  <c r="BX79" i="5" s="1"/>
  <c r="AM210" i="5"/>
  <c r="AM208" i="5"/>
  <c r="BW114" i="5"/>
  <c r="BX115" i="5" s="1"/>
  <c r="BW246" i="5"/>
  <c r="BX247" i="5" s="1"/>
  <c r="BW248" i="5"/>
  <c r="BX249" i="5" s="1"/>
  <c r="AN206" i="5"/>
  <c r="AM197" i="5"/>
  <c r="BW235" i="5"/>
  <c r="BX236" i="5" s="1"/>
  <c r="AN192" i="5"/>
  <c r="AL205" i="5"/>
  <c r="AN205" i="5"/>
  <c r="BW243" i="5"/>
  <c r="BX244" i="5" s="1"/>
  <c r="AL202" i="5"/>
  <c r="BW240" i="5"/>
  <c r="BX241" i="5" s="1"/>
  <c r="AN202" i="5"/>
  <c r="AL189" i="5"/>
  <c r="AN189" i="5"/>
  <c r="BW227" i="5"/>
  <c r="BX228" i="5" s="1"/>
  <c r="AL198" i="5"/>
  <c r="AN198" i="5"/>
  <c r="BW236" i="5"/>
  <c r="BX237" i="5" s="1"/>
  <c r="AM203" i="5"/>
  <c r="AL203" i="5"/>
  <c r="BW241" i="5"/>
  <c r="BX242" i="5" s="1"/>
  <c r="AN203" i="5"/>
  <c r="AM188" i="5"/>
  <c r="AN188" i="5"/>
  <c r="BW226" i="5"/>
  <c r="BX227" i="5" s="1"/>
  <c r="AN201" i="5"/>
  <c r="AN197" i="5"/>
  <c r="AN200" i="5"/>
  <c r="BW238" i="5"/>
  <c r="BX239" i="5" s="1"/>
  <c r="AL200" i="5"/>
  <c r="AM200" i="5"/>
  <c r="AL190" i="5"/>
  <c r="AM190" i="5"/>
  <c r="AN190" i="5"/>
  <c r="BW228" i="5"/>
  <c r="BX229" i="5" s="1"/>
  <c r="AM204" i="5"/>
  <c r="BW242" i="5"/>
  <c r="BX243" i="5" s="1"/>
  <c r="AN204" i="5"/>
  <c r="AL204" i="5"/>
  <c r="AL193" i="5"/>
  <c r="AM193" i="5"/>
  <c r="BW231" i="5"/>
  <c r="BX232" i="5" s="1"/>
  <c r="AN193" i="5"/>
  <c r="AN191" i="5"/>
  <c r="BW229" i="5"/>
  <c r="BX230" i="5" s="1"/>
  <c r="AL191" i="5"/>
  <c r="AM191" i="5"/>
  <c r="AL194" i="5"/>
  <c r="AM194" i="5"/>
  <c r="BW232" i="5"/>
  <c r="BX233" i="5" s="1"/>
  <c r="AN194" i="5"/>
  <c r="AL199" i="5"/>
  <c r="BW237" i="5"/>
  <c r="BX238" i="5" s="1"/>
  <c r="AM199" i="5"/>
  <c r="AN199" i="5"/>
  <c r="AL201" i="5"/>
  <c r="AL197" i="5"/>
  <c r="AL192" i="5"/>
  <c r="AL188" i="5"/>
  <c r="AM205" i="5"/>
  <c r="AM202" i="5"/>
  <c r="AM198" i="5"/>
  <c r="AM189" i="5"/>
  <c r="BC371" i="5"/>
  <c r="AZ309" i="5"/>
  <c r="AX309" i="5"/>
  <c r="AZ349" i="5"/>
  <c r="AT321" i="5"/>
  <c r="AY162" i="5"/>
  <c r="AQ325" i="5"/>
  <c r="BB257" i="5"/>
  <c r="AR178" i="5"/>
  <c r="AY357" i="5"/>
  <c r="BB333" i="5"/>
  <c r="AT357" i="5"/>
  <c r="AQ186" i="5"/>
  <c r="AR321" i="5"/>
  <c r="AZ170" i="5"/>
  <c r="AY321" i="5"/>
  <c r="AX333" i="5"/>
  <c r="AW321" i="5"/>
  <c r="AT313" i="5"/>
  <c r="AR317" i="5"/>
  <c r="BB325" i="5"/>
  <c r="BC297" i="5"/>
  <c r="BC150" i="5"/>
  <c r="AS321" i="5"/>
  <c r="AS170" i="5"/>
  <c r="AS162" i="5"/>
  <c r="AR301" i="5"/>
  <c r="BB182" i="5"/>
  <c r="BB170" i="5"/>
  <c r="BC333" i="5"/>
  <c r="AX150" i="5"/>
  <c r="AR313" i="5"/>
  <c r="AR333" i="5"/>
  <c r="AR357" i="5"/>
  <c r="AQ317" i="5"/>
  <c r="BB349" i="5"/>
  <c r="BB321" i="5"/>
  <c r="BB190" i="5"/>
  <c r="AQ297" i="5"/>
  <c r="AQ349" i="5"/>
  <c r="AQ234" i="5"/>
  <c r="AT190" i="5"/>
  <c r="AT325" i="5"/>
  <c r="AR349" i="5"/>
  <c r="BC317" i="5"/>
  <c r="AZ333" i="5"/>
  <c r="AZ86" i="5"/>
  <c r="AY349" i="5"/>
  <c r="AX325" i="5"/>
  <c r="AX285" i="5"/>
  <c r="AX162" i="5"/>
  <c r="AW357" i="5"/>
  <c r="AW222" i="5"/>
  <c r="AV182" i="5"/>
  <c r="AS317" i="5"/>
  <c r="AS182" i="5"/>
  <c r="BB357" i="5"/>
  <c r="AQ313" i="5"/>
  <c r="AQ365" i="5"/>
  <c r="AT349" i="5"/>
  <c r="AR162" i="5"/>
  <c r="AQ301" i="5"/>
  <c r="BC325" i="5"/>
  <c r="BC313" i="5"/>
  <c r="AZ325" i="5"/>
  <c r="AY333" i="5"/>
  <c r="AX357" i="5"/>
  <c r="AX321" i="5"/>
  <c r="AX234" i="5"/>
  <c r="AV325" i="5"/>
  <c r="AS357" i="5"/>
  <c r="AS313" i="5"/>
  <c r="AS146" i="5"/>
  <c r="AT285" i="5"/>
  <c r="AT333" i="5"/>
  <c r="BB313" i="5"/>
  <c r="AQ142" i="5"/>
  <c r="AR325" i="5"/>
  <c r="AQ333" i="5"/>
  <c r="AQ357" i="5"/>
  <c r="AQ321" i="5"/>
  <c r="AQ162" i="5"/>
  <c r="AT186" i="5"/>
  <c r="AT257" i="5"/>
  <c r="AT170" i="5"/>
  <c r="AR190" i="5"/>
  <c r="AR297" i="5"/>
  <c r="BC357" i="5"/>
  <c r="BC321" i="5"/>
  <c r="BC301" i="5"/>
  <c r="BC142" i="5"/>
  <c r="AZ357" i="5"/>
  <c r="AZ321" i="5"/>
  <c r="AY325" i="5"/>
  <c r="AY257" i="5"/>
  <c r="AY150" i="5"/>
  <c r="AX186" i="5"/>
  <c r="AV234" i="5"/>
  <c r="AS297" i="5"/>
  <c r="AS154" i="5"/>
  <c r="AT320" i="5"/>
  <c r="BB150" i="5"/>
  <c r="AQ146" i="5"/>
  <c r="AQ170" i="5"/>
  <c r="AQ190" i="5"/>
  <c r="AR170" i="5"/>
  <c r="BC257" i="5"/>
  <c r="BC234" i="5"/>
  <c r="BC222" i="5"/>
  <c r="BC202" i="5"/>
  <c r="BC190" i="5"/>
  <c r="BC182" i="5"/>
  <c r="BC174" i="5"/>
  <c r="BC162" i="5"/>
  <c r="AZ288" i="5"/>
  <c r="AZ158" i="5"/>
  <c r="AY309" i="5"/>
  <c r="AY170" i="5"/>
  <c r="AX288" i="5"/>
  <c r="AW186" i="5"/>
  <c r="AW162" i="5"/>
  <c r="AW150" i="5"/>
  <c r="AW130" i="5"/>
  <c r="AV162" i="5"/>
  <c r="AV150" i="5"/>
  <c r="AS178" i="5"/>
  <c r="BB222" i="5"/>
  <c r="AT202" i="5"/>
  <c r="AQ292" i="5"/>
  <c r="AR166" i="5"/>
  <c r="AQ154" i="5"/>
  <c r="AQ371" i="5"/>
  <c r="AR154" i="5"/>
  <c r="BB292" i="5"/>
  <c r="BB202" i="5"/>
  <c r="BB186" i="5"/>
  <c r="BB162" i="5"/>
  <c r="AQ90" i="5"/>
  <c r="AQ150" i="5"/>
  <c r="AQ178" i="5"/>
  <c r="AQ202" i="5"/>
  <c r="AT222" i="5"/>
  <c r="AT288" i="5"/>
  <c r="AT110" i="5"/>
  <c r="AT150" i="5"/>
  <c r="AR257" i="5"/>
  <c r="AR150" i="5"/>
  <c r="AR182" i="5"/>
  <c r="AR222" i="5"/>
  <c r="AR146" i="5"/>
  <c r="BC320" i="5"/>
  <c r="BC312" i="5"/>
  <c r="BC292" i="5"/>
  <c r="BC154" i="5"/>
  <c r="BC146" i="5"/>
  <c r="AY288" i="5"/>
  <c r="AY158" i="5"/>
  <c r="AX222" i="5"/>
  <c r="AX202" i="5"/>
  <c r="AX190" i="5"/>
  <c r="AX182" i="5"/>
  <c r="AX170" i="5"/>
  <c r="AX158" i="5"/>
  <c r="AW309" i="5"/>
  <c r="AW234" i="5"/>
  <c r="AV257" i="5"/>
  <c r="AV222" i="5"/>
  <c r="AV186" i="5"/>
  <c r="AS312" i="5"/>
  <c r="AS186" i="5"/>
  <c r="AS158" i="5"/>
  <c r="AS150" i="5"/>
  <c r="AS142" i="5"/>
  <c r="BB86" i="5"/>
  <c r="BB309" i="5"/>
  <c r="BB158" i="5"/>
  <c r="BB110" i="5"/>
  <c r="AQ320" i="5"/>
  <c r="AQ309" i="5"/>
  <c r="AT309" i="5"/>
  <c r="AT130" i="5"/>
  <c r="AT182" i="5"/>
  <c r="AR202" i="5"/>
  <c r="AR320" i="5"/>
  <c r="BB320" i="5"/>
  <c r="BB234" i="5"/>
  <c r="AQ257" i="5"/>
  <c r="AQ158" i="5"/>
  <c r="AQ182" i="5"/>
  <c r="AQ222" i="5"/>
  <c r="AT234" i="5"/>
  <c r="AT162" i="5"/>
  <c r="AT158" i="5"/>
  <c r="AR309" i="5"/>
  <c r="AR158" i="5"/>
  <c r="AR186" i="5"/>
  <c r="AR142" i="5"/>
  <c r="BC309" i="5"/>
  <c r="BC178" i="5"/>
  <c r="BC170" i="5"/>
  <c r="BC158" i="5"/>
  <c r="BC90" i="5"/>
  <c r="AZ320" i="5"/>
  <c r="AZ202" i="5"/>
  <c r="AZ190" i="5"/>
  <c r="AZ162" i="5"/>
  <c r="AZ150" i="5"/>
  <c r="AY190" i="5"/>
  <c r="AX90" i="5"/>
  <c r="AW170" i="5"/>
  <c r="AW158" i="5"/>
  <c r="AV309" i="5"/>
  <c r="AV170" i="5"/>
  <c r="AV158" i="5"/>
  <c r="AS309" i="5"/>
  <c r="AR134" i="5"/>
  <c r="BC134" i="5"/>
  <c r="AT122" i="5"/>
  <c r="AQ122" i="5"/>
  <c r="AS122" i="5"/>
  <c r="AS110" i="5"/>
  <c r="AY110" i="5"/>
  <c r="AZ110" i="5"/>
  <c r="AT98" i="5"/>
  <c r="BC98" i="5"/>
  <c r="AR98" i="5"/>
  <c r="AQ98" i="5"/>
  <c r="AT67" i="5"/>
  <c r="AQ67" i="5"/>
  <c r="AS67" i="5"/>
  <c r="BC67" i="5"/>
  <c r="AS29" i="5"/>
  <c r="AQ29" i="5"/>
  <c r="AT283" i="5"/>
  <c r="AQ283" i="5"/>
  <c r="BC283" i="5"/>
  <c r="AX260" i="5"/>
  <c r="AT260" i="5"/>
  <c r="AY260" i="5"/>
  <c r="BC260" i="5"/>
  <c r="AU245" i="5"/>
  <c r="AV245" i="5"/>
  <c r="AQ245" i="5"/>
  <c r="AS245" i="5"/>
  <c r="BC245" i="5"/>
  <c r="AR245" i="5"/>
  <c r="AT245" i="5"/>
  <c r="AX245" i="5"/>
  <c r="AY245" i="5"/>
  <c r="AT237" i="5"/>
  <c r="BC237" i="5"/>
  <c r="AS237" i="5"/>
  <c r="AT229" i="5"/>
  <c r="AS229" i="5"/>
  <c r="BC229" i="5"/>
  <c r="AT225" i="5"/>
  <c r="BC225" i="5"/>
  <c r="AS225" i="5"/>
  <c r="AS213" i="5"/>
  <c r="AQ213" i="5"/>
  <c r="AX213" i="5"/>
  <c r="AW209" i="5"/>
  <c r="AX209" i="5"/>
  <c r="BC209" i="5"/>
  <c r="AY209" i="5"/>
  <c r="AS205" i="5"/>
  <c r="AW205" i="5"/>
  <c r="AU201" i="5"/>
  <c r="AS201" i="5"/>
  <c r="AW201" i="5"/>
  <c r="AZ201" i="5"/>
  <c r="AV201" i="5"/>
  <c r="AX201" i="5"/>
  <c r="BC201" i="5"/>
  <c r="BC197" i="5"/>
  <c r="AT197" i="5"/>
  <c r="AQ197" i="5"/>
  <c r="AY197" i="5"/>
  <c r="AS197" i="5"/>
  <c r="AZ197" i="5"/>
  <c r="AU193" i="5"/>
  <c r="AS193" i="5"/>
  <c r="AZ193" i="5"/>
  <c r="AW193" i="5"/>
  <c r="AX193" i="5"/>
  <c r="AQ193" i="5"/>
  <c r="AV193" i="5"/>
  <c r="BC193" i="5"/>
  <c r="AR193" i="5"/>
  <c r="AU185" i="5"/>
  <c r="AS185" i="5"/>
  <c r="AW185" i="5"/>
  <c r="AX185" i="5"/>
  <c r="AZ185" i="5"/>
  <c r="AR185" i="5"/>
  <c r="BC185" i="5"/>
  <c r="AT185" i="5"/>
  <c r="AV185" i="5"/>
  <c r="AU181" i="5"/>
  <c r="AY181" i="5"/>
  <c r="AZ181" i="5"/>
  <c r="AU177" i="5"/>
  <c r="AS177" i="5"/>
  <c r="AW177" i="5"/>
  <c r="AX177" i="5"/>
  <c r="AZ177" i="5"/>
  <c r="BC177" i="5"/>
  <c r="AV177" i="5"/>
  <c r="AU173" i="5"/>
  <c r="AQ173" i="5"/>
  <c r="AV173" i="5"/>
  <c r="BC173" i="5"/>
  <c r="AR173" i="5"/>
  <c r="AS173" i="5"/>
  <c r="AY173" i="5"/>
  <c r="AT173" i="5"/>
  <c r="AT169" i="5"/>
  <c r="AR169" i="5"/>
  <c r="AQ169" i="5"/>
  <c r="BC169" i="5"/>
  <c r="AT165" i="5"/>
  <c r="AS165" i="5"/>
  <c r="BC165" i="5"/>
  <c r="AT161" i="5"/>
  <c r="AS161" i="5"/>
  <c r="BC161" i="5"/>
  <c r="AU157" i="5"/>
  <c r="AW157" i="5"/>
  <c r="AX157" i="5"/>
  <c r="AV157" i="5"/>
  <c r="AY157" i="5"/>
  <c r="AU153" i="5"/>
  <c r="AS153" i="5"/>
  <c r="AV153" i="5"/>
  <c r="AY153" i="5"/>
  <c r="BC153" i="5"/>
  <c r="AZ153" i="5"/>
  <c r="AW153" i="5"/>
  <c r="AX153" i="5"/>
  <c r="AR153" i="5"/>
  <c r="AU149" i="5"/>
  <c r="AW149" i="5"/>
  <c r="AX149" i="5"/>
  <c r="AT149" i="5"/>
  <c r="AQ149" i="5"/>
  <c r="AS149" i="5"/>
  <c r="BC149" i="5"/>
  <c r="AV149" i="5"/>
  <c r="AY149" i="5"/>
  <c r="AU145" i="5"/>
  <c r="AY145" i="5"/>
  <c r="AR145" i="5"/>
  <c r="AV145" i="5"/>
  <c r="AZ145" i="5"/>
  <c r="AT145" i="5"/>
  <c r="AQ145" i="5"/>
  <c r="AS145" i="5"/>
  <c r="AX145" i="5"/>
  <c r="BC145" i="5"/>
  <c r="AU138" i="5"/>
  <c r="AX138" i="5"/>
  <c r="AS138" i="5"/>
  <c r="AW138" i="5"/>
  <c r="BC138" i="5"/>
  <c r="AQ138" i="5"/>
  <c r="AY138" i="5"/>
  <c r="AR138" i="5"/>
  <c r="AT138" i="5"/>
  <c r="AU130" i="5"/>
  <c r="AY130" i="5"/>
  <c r="BC130" i="5"/>
  <c r="AZ130" i="5"/>
  <c r="AS130" i="5"/>
  <c r="AV130" i="5"/>
  <c r="AX130" i="5"/>
  <c r="AT118" i="5"/>
  <c r="AS118" i="5"/>
  <c r="BC118" i="5"/>
  <c r="AR118" i="5"/>
  <c r="AU106" i="5"/>
  <c r="AX106" i="5"/>
  <c r="BC106" i="5"/>
  <c r="AY106" i="5"/>
  <c r="AT94" i="5"/>
  <c r="AR94" i="5"/>
  <c r="AS94" i="5"/>
  <c r="BC94" i="5"/>
  <c r="AW79" i="5"/>
  <c r="AY79" i="5"/>
  <c r="BC79" i="5"/>
  <c r="AZ79" i="5"/>
  <c r="AT79" i="5"/>
  <c r="AQ79" i="5"/>
  <c r="BB130" i="5"/>
  <c r="AQ134" i="5"/>
  <c r="AY86" i="5"/>
  <c r="AV126" i="5"/>
  <c r="AV106" i="5"/>
  <c r="AS98" i="5"/>
  <c r="AW347" i="5"/>
  <c r="AZ347" i="5"/>
  <c r="AV347" i="5"/>
  <c r="AT347" i="5"/>
  <c r="AX347" i="5"/>
  <c r="AS335" i="5"/>
  <c r="AX335" i="5"/>
  <c r="BC335" i="5"/>
  <c r="AW335" i="5"/>
  <c r="AY335" i="5"/>
  <c r="AR335" i="5"/>
  <c r="AT335" i="5"/>
  <c r="AQ299" i="5"/>
  <c r="AS299" i="5"/>
  <c r="AU287" i="5"/>
  <c r="AS287" i="5"/>
  <c r="AZ287" i="5"/>
  <c r="AW287" i="5"/>
  <c r="AQ287" i="5"/>
  <c r="AZ252" i="5"/>
  <c r="AT252" i="5"/>
  <c r="AU241" i="5"/>
  <c r="AS241" i="5"/>
  <c r="AX241" i="5"/>
  <c r="AY241" i="5"/>
  <c r="AW241" i="5"/>
  <c r="AZ241" i="5"/>
  <c r="AQ241" i="5"/>
  <c r="AV241" i="5"/>
  <c r="AW221" i="5"/>
  <c r="AY221" i="5"/>
  <c r="BC221" i="5"/>
  <c r="AV221" i="5"/>
  <c r="AZ221" i="5"/>
  <c r="AR221" i="5"/>
  <c r="AT221" i="5"/>
  <c r="AQ106" i="5"/>
  <c r="AQ237" i="5"/>
  <c r="AR319" i="5"/>
  <c r="AT106" i="5"/>
  <c r="AQ229" i="5"/>
  <c r="AR237" i="5"/>
  <c r="AT343" i="5"/>
  <c r="AQ343" i="5"/>
  <c r="BB260" i="5"/>
  <c r="BB241" i="5"/>
  <c r="BB221" i="5"/>
  <c r="BB197" i="5"/>
  <c r="AQ209" i="5"/>
  <c r="AQ110" i="5"/>
  <c r="AQ83" i="5"/>
  <c r="AQ335" i="5"/>
  <c r="AT201" i="5"/>
  <c r="AR347" i="5"/>
  <c r="AR130" i="5"/>
  <c r="BC347" i="5"/>
  <c r="BC272" i="5"/>
  <c r="BC241" i="5"/>
  <c r="BC213" i="5"/>
  <c r="AZ335" i="5"/>
  <c r="AZ106" i="5"/>
  <c r="AY347" i="5"/>
  <c r="AY193" i="5"/>
  <c r="AY185" i="5"/>
  <c r="AW245" i="5"/>
  <c r="AV287" i="5"/>
  <c r="AV138" i="5"/>
  <c r="AS157" i="5"/>
  <c r="AS106" i="5"/>
  <c r="AU126" i="5"/>
  <c r="AS126" i="5"/>
  <c r="AW126" i="5"/>
  <c r="AR126" i="5"/>
  <c r="AQ126" i="5"/>
  <c r="AY126" i="5"/>
  <c r="BC126" i="5"/>
  <c r="AZ126" i="5"/>
  <c r="AT126" i="5"/>
  <c r="AU102" i="5"/>
  <c r="AY102" i="5"/>
  <c r="AQ102" i="5"/>
  <c r="AS102" i="5"/>
  <c r="AV102" i="5"/>
  <c r="AW102" i="5"/>
  <c r="AZ102" i="5"/>
  <c r="AR102" i="5"/>
  <c r="AX102" i="5"/>
  <c r="BC102" i="5"/>
  <c r="AS90" i="5"/>
  <c r="AT90" i="5"/>
  <c r="AY90" i="5"/>
  <c r="AW90" i="5"/>
  <c r="AZ90" i="5"/>
  <c r="AR90" i="5"/>
  <c r="AU86" i="5"/>
  <c r="AT86" i="5"/>
  <c r="AQ86" i="5"/>
  <c r="AV86" i="5"/>
  <c r="AX86" i="5"/>
  <c r="BC86" i="5"/>
  <c r="AR86" i="5"/>
  <c r="AS86" i="5"/>
  <c r="AT71" i="5"/>
  <c r="BC71" i="5"/>
  <c r="AQ71" i="5"/>
  <c r="AR71" i="5"/>
  <c r="AT63" i="5"/>
  <c r="BC63" i="5"/>
  <c r="AR63" i="5"/>
  <c r="AQ63" i="5"/>
  <c r="AX33" i="5"/>
  <c r="BC33" i="5"/>
  <c r="BB79" i="5"/>
  <c r="AQ94" i="5"/>
  <c r="AT102" i="5"/>
  <c r="AR122" i="5"/>
  <c r="BC122" i="5"/>
  <c r="AZ138" i="5"/>
  <c r="AW363" i="5"/>
  <c r="AZ363" i="5"/>
  <c r="AX363" i="5"/>
  <c r="BC363" i="5"/>
  <c r="AX351" i="5"/>
  <c r="BC351" i="5"/>
  <c r="AW351" i="5"/>
  <c r="AY351" i="5"/>
  <c r="AS351" i="5"/>
  <c r="AZ351" i="5"/>
  <c r="AX331" i="5"/>
  <c r="AV331" i="5"/>
  <c r="AW331" i="5"/>
  <c r="AT279" i="5"/>
  <c r="BC279" i="5"/>
  <c r="AX256" i="5"/>
  <c r="AY256" i="5"/>
  <c r="BC256" i="5"/>
  <c r="AZ256" i="5"/>
  <c r="AT256" i="5"/>
  <c r="AR256" i="5"/>
  <c r="BC248" i="5"/>
  <c r="AR248" i="5"/>
  <c r="AR110" i="5"/>
  <c r="AR351" i="5"/>
  <c r="AR272" i="5"/>
  <c r="AR363" i="5"/>
  <c r="AR217" i="5"/>
  <c r="AT331" i="5"/>
  <c r="BB106" i="5"/>
  <c r="BB287" i="5"/>
  <c r="AR106" i="5"/>
  <c r="AT205" i="5"/>
  <c r="AR229" i="5"/>
  <c r="AR252" i="5"/>
  <c r="AR299" i="5"/>
  <c r="AQ279" i="5"/>
  <c r="AQ351" i="5"/>
  <c r="BB126" i="5"/>
  <c r="BB102" i="5"/>
  <c r="AQ260" i="5"/>
  <c r="AQ221" i="5"/>
  <c r="AQ118" i="5"/>
  <c r="AQ347" i="5"/>
  <c r="AR225" i="5"/>
  <c r="AR79" i="5"/>
  <c r="BC83" i="5"/>
  <c r="AZ245" i="5"/>
  <c r="AZ173" i="5"/>
  <c r="AZ157" i="5"/>
  <c r="AY363" i="5"/>
  <c r="AY252" i="5"/>
  <c r="AY201" i="5"/>
  <c r="AX197" i="5"/>
  <c r="AX79" i="5"/>
  <c r="AW106" i="5"/>
  <c r="AV209" i="5"/>
  <c r="AS141" i="5"/>
  <c r="AT60" i="5"/>
  <c r="AS60" i="5"/>
  <c r="AR251" i="5"/>
  <c r="AT259" i="5"/>
  <c r="AV363" i="5"/>
  <c r="BB212" i="5"/>
  <c r="AQ334" i="5"/>
  <c r="AY366" i="5"/>
  <c r="AZ366" i="5"/>
  <c r="BC366" i="5"/>
  <c r="AV366" i="5"/>
  <c r="AX366" i="5"/>
  <c r="AY263" i="5"/>
  <c r="AZ263" i="5"/>
  <c r="AR263" i="5"/>
  <c r="AU251" i="5"/>
  <c r="AW251" i="5"/>
  <c r="AS251" i="5"/>
  <c r="BC251" i="5"/>
  <c r="AV251" i="5"/>
  <c r="AX232" i="5"/>
  <c r="AR232" i="5"/>
  <c r="AV232" i="5"/>
  <c r="AY232" i="5"/>
  <c r="AZ232" i="5"/>
  <c r="AW232" i="5"/>
  <c r="BB232" i="5"/>
  <c r="BC224" i="5"/>
  <c r="AR224" i="5"/>
  <c r="AT212" i="5"/>
  <c r="AW212" i="5"/>
  <c r="AR212" i="5"/>
  <c r="AY184" i="5"/>
  <c r="AZ184" i="5"/>
  <c r="BC184" i="5"/>
  <c r="AT184" i="5"/>
  <c r="AX184" i="5"/>
  <c r="AR184" i="5"/>
  <c r="AQ184" i="5"/>
  <c r="AQ176" i="5"/>
  <c r="BC176" i="5"/>
  <c r="AR176" i="5"/>
  <c r="AU129" i="5"/>
  <c r="BC129" i="5"/>
  <c r="AT129" i="5"/>
  <c r="BC117" i="5"/>
  <c r="AR117" i="5"/>
  <c r="AQ117" i="5"/>
  <c r="AT109" i="5"/>
  <c r="AS109" i="5"/>
  <c r="BC109" i="5"/>
  <c r="AU89" i="5"/>
  <c r="AX89" i="5"/>
  <c r="AZ89" i="5"/>
  <c r="BC89" i="5"/>
  <c r="AS89" i="5"/>
  <c r="AV89" i="5"/>
  <c r="AY89" i="5"/>
  <c r="AT82" i="5"/>
  <c r="AR82" i="5"/>
  <c r="AT59" i="5"/>
  <c r="AS59" i="5"/>
  <c r="AU49" i="5"/>
  <c r="AV49" i="5"/>
  <c r="AZ49" i="5"/>
  <c r="AT49" i="5"/>
  <c r="AQ49" i="5"/>
  <c r="AY49" i="5"/>
  <c r="AX49" i="5"/>
  <c r="AU41" i="5"/>
  <c r="AW41" i="5"/>
  <c r="AX41" i="5"/>
  <c r="BC41" i="5"/>
  <c r="AR41" i="5"/>
  <c r="AT41" i="5"/>
  <c r="AZ41" i="5"/>
  <c r="AS41" i="5"/>
  <c r="AV41" i="5"/>
  <c r="AY41" i="5"/>
  <c r="AQ41" i="5"/>
  <c r="BB41" i="5"/>
  <c r="AT37" i="5"/>
  <c r="AS37" i="5"/>
  <c r="BC37" i="5"/>
  <c r="AU23" i="5"/>
  <c r="AS23" i="5"/>
  <c r="AX23" i="5"/>
  <c r="BC23" i="5"/>
  <c r="AZ23" i="5"/>
  <c r="AR23" i="5"/>
  <c r="AV23" i="5"/>
  <c r="AW23" i="5"/>
  <c r="AY23" i="5"/>
  <c r="BB23" i="5"/>
  <c r="AR89" i="5"/>
  <c r="AT244" i="5"/>
  <c r="AQ366" i="5"/>
  <c r="AQ259" i="5"/>
  <c r="BB180" i="5"/>
  <c r="AQ192" i="5"/>
  <c r="AQ232" i="5"/>
  <c r="AQ37" i="5"/>
  <c r="AQ23" i="5"/>
  <c r="AR37" i="5"/>
  <c r="AS49" i="5"/>
  <c r="AS370" i="5"/>
  <c r="BC370" i="5"/>
  <c r="AX350" i="5"/>
  <c r="AY350" i="5"/>
  <c r="AZ350" i="5"/>
  <c r="BC350" i="5"/>
  <c r="AQ350" i="5"/>
  <c r="AR278" i="5"/>
  <c r="BB278" i="5"/>
  <c r="AX278" i="5"/>
  <c r="AY278" i="5"/>
  <c r="AZ278" i="5"/>
  <c r="AQ278" i="5"/>
  <c r="AT267" i="5"/>
  <c r="AS267" i="5"/>
  <c r="BC267" i="5"/>
  <c r="AQ267" i="5"/>
  <c r="AU255" i="5"/>
  <c r="AX255" i="5"/>
  <c r="AV228" i="5"/>
  <c r="AY228" i="5"/>
  <c r="AZ228" i="5"/>
  <c r="BC228" i="5"/>
  <c r="AQ228" i="5"/>
  <c r="AQ216" i="5"/>
  <c r="BC216" i="5"/>
  <c r="AV204" i="5"/>
  <c r="AY204" i="5"/>
  <c r="AZ204" i="5"/>
  <c r="BB204" i="5"/>
  <c r="AW204" i="5"/>
  <c r="AV180" i="5"/>
  <c r="AY180" i="5"/>
  <c r="AZ180" i="5"/>
  <c r="BC180" i="5"/>
  <c r="AT180" i="5"/>
  <c r="BC168" i="5"/>
  <c r="AQ168" i="5"/>
  <c r="AS133" i="5"/>
  <c r="AQ133" i="5"/>
  <c r="AR133" i="5"/>
  <c r="AY105" i="5"/>
  <c r="AR105" i="5"/>
  <c r="AT105" i="5"/>
  <c r="AS105" i="5"/>
  <c r="AW105" i="5"/>
  <c r="AX105" i="5"/>
  <c r="AZ105" i="5"/>
  <c r="AR97" i="5"/>
  <c r="BC97" i="5"/>
  <c r="AW78" i="5"/>
  <c r="AY78" i="5"/>
  <c r="AV78" i="5"/>
  <c r="AT78" i="5"/>
  <c r="AZ78" i="5"/>
  <c r="AT57" i="5"/>
  <c r="AS57" i="5"/>
  <c r="AR57" i="5"/>
  <c r="BC57" i="5"/>
  <c r="AQ57" i="5"/>
  <c r="AU33" i="5"/>
  <c r="AV33" i="5"/>
  <c r="AZ33" i="5"/>
  <c r="AQ33" i="5"/>
  <c r="BB33" i="5"/>
  <c r="AS33" i="5"/>
  <c r="AW33" i="5"/>
  <c r="AY33" i="5"/>
  <c r="AR33" i="5"/>
  <c r="AT33" i="5"/>
  <c r="AT228" i="5"/>
  <c r="AT263" i="5"/>
  <c r="AQ370" i="5"/>
  <c r="AT278" i="5"/>
  <c r="AR140" i="5"/>
  <c r="AR228" i="5"/>
  <c r="AR267" i="5"/>
  <c r="BB366" i="5"/>
  <c r="AR109" i="5"/>
  <c r="AR259" i="5"/>
  <c r="BB350" i="5"/>
  <c r="BB334" i="5"/>
  <c r="BB263" i="5"/>
  <c r="BB228" i="5"/>
  <c r="AQ140" i="5"/>
  <c r="AQ204" i="5"/>
  <c r="AQ105" i="5"/>
  <c r="AQ59" i="5"/>
  <c r="AT23" i="5"/>
  <c r="AT172" i="5"/>
  <c r="AR78" i="5"/>
  <c r="BC263" i="5"/>
  <c r="BC232" i="5"/>
  <c r="BC192" i="5"/>
  <c r="BC82" i="5"/>
  <c r="BC78" i="5"/>
  <c r="AZ259" i="5"/>
  <c r="AZ251" i="5"/>
  <c r="AY251" i="5"/>
  <c r="AX251" i="5"/>
  <c r="AX180" i="5"/>
  <c r="AW263" i="5"/>
  <c r="AW49" i="5"/>
  <c r="AV350" i="5"/>
  <c r="BC300" i="5"/>
  <c r="AR300" i="5"/>
  <c r="AW292" i="5"/>
  <c r="AX292" i="5"/>
  <c r="AY292" i="5"/>
  <c r="AZ292" i="5"/>
  <c r="BC334" i="5"/>
  <c r="AY334" i="5"/>
  <c r="AZ334" i="5"/>
  <c r="AR334" i="5"/>
  <c r="AT334" i="5"/>
  <c r="AR271" i="5"/>
  <c r="BC271" i="5"/>
  <c r="AU259" i="5"/>
  <c r="AV259" i="5"/>
  <c r="AW259" i="5"/>
  <c r="BC259" i="5"/>
  <c r="AS259" i="5"/>
  <c r="BB259" i="5"/>
  <c r="AR244" i="5"/>
  <c r="AX244" i="5"/>
  <c r="AY244" i="5"/>
  <c r="AZ244" i="5"/>
  <c r="BC244" i="5"/>
  <c r="BB244" i="5"/>
  <c r="AQ236" i="5"/>
  <c r="BC236" i="5"/>
  <c r="AR236" i="5"/>
  <c r="BC208" i="5"/>
  <c r="AR208" i="5"/>
  <c r="AQ208" i="5"/>
  <c r="AW200" i="5"/>
  <c r="AX200" i="5"/>
  <c r="BC200" i="5"/>
  <c r="AR200" i="5"/>
  <c r="AQ200" i="5"/>
  <c r="AY200" i="5"/>
  <c r="AZ200" i="5"/>
  <c r="AT200" i="5"/>
  <c r="AV200" i="5"/>
  <c r="AW172" i="5"/>
  <c r="AY172" i="5"/>
  <c r="AZ172" i="5"/>
  <c r="BC172" i="5"/>
  <c r="BB172" i="5"/>
  <c r="AT160" i="5"/>
  <c r="AV160" i="5"/>
  <c r="AU137" i="5"/>
  <c r="AZ137" i="5"/>
  <c r="AX125" i="5"/>
  <c r="AZ125" i="5"/>
  <c r="BC125" i="5"/>
  <c r="BB125" i="5"/>
  <c r="AT101" i="5"/>
  <c r="AT66" i="5"/>
  <c r="BC66" i="5"/>
  <c r="AS66" i="5"/>
  <c r="AR66" i="5"/>
  <c r="AQ66" i="5"/>
  <c r="AT53" i="5"/>
  <c r="AS53" i="5"/>
  <c r="AR53" i="5"/>
  <c r="AT45" i="5"/>
  <c r="BC45" i="5"/>
  <c r="AS45" i="5"/>
  <c r="AR45" i="5"/>
  <c r="AT29" i="5"/>
  <c r="BC29" i="5"/>
  <c r="AR29" i="5"/>
  <c r="AR59" i="5"/>
  <c r="AQ263" i="5"/>
  <c r="AR370" i="5"/>
  <c r="AR172" i="5"/>
  <c r="AT204" i="5"/>
  <c r="AT251" i="5"/>
  <c r="AR62" i="5"/>
  <c r="AT350" i="5"/>
  <c r="AQ89" i="5"/>
  <c r="AR366" i="5"/>
  <c r="AQ109" i="5"/>
  <c r="BB184" i="5"/>
  <c r="BB89" i="5"/>
  <c r="BB78" i="5"/>
  <c r="BB49" i="5"/>
  <c r="AQ172" i="5"/>
  <c r="AQ212" i="5"/>
  <c r="AQ53" i="5"/>
  <c r="AQ125" i="5"/>
  <c r="AQ271" i="5"/>
  <c r="AT232" i="5"/>
  <c r="AR49" i="5"/>
  <c r="BC204" i="5"/>
  <c r="BC53" i="5"/>
  <c r="BC49" i="5"/>
  <c r="AZ212" i="5"/>
  <c r="AY212" i="5"/>
  <c r="AX259" i="5"/>
  <c r="AW89" i="5"/>
  <c r="AS263" i="5"/>
  <c r="AT319" i="5"/>
  <c r="AQ319" i="5"/>
  <c r="AT315" i="5"/>
  <c r="AS315" i="5"/>
  <c r="BC315" i="5"/>
  <c r="AS308" i="5"/>
  <c r="AV308" i="5"/>
  <c r="BC308" i="5"/>
  <c r="AW308" i="5"/>
  <c r="AX308" i="5"/>
  <c r="AY308" i="5"/>
  <c r="AZ308" i="5"/>
  <c r="AR308" i="5"/>
  <c r="AT308" i="5"/>
  <c r="BB308" i="5"/>
  <c r="BC295" i="5"/>
  <c r="AQ295" i="5"/>
  <c r="AT271" i="5"/>
  <c r="AS271" i="5"/>
  <c r="AU263" i="5"/>
  <c r="AV263" i="5"/>
  <c r="AX263" i="5"/>
  <c r="AW228" i="5"/>
  <c r="AX228" i="5"/>
  <c r="AU180" i="5"/>
  <c r="AW180" i="5"/>
  <c r="AT133" i="5"/>
  <c r="BC133" i="5"/>
  <c r="AU125" i="5"/>
  <c r="AV125" i="5"/>
  <c r="AS125" i="5"/>
  <c r="AW125" i="5"/>
  <c r="AY125" i="5"/>
  <c r="AT117" i="5"/>
  <c r="AS117" i="5"/>
  <c r="AX320" i="5"/>
  <c r="AX221" i="5"/>
  <c r="AW320" i="5"/>
  <c r="AV320" i="5"/>
  <c r="AS349" i="5"/>
  <c r="AW349" i="5"/>
  <c r="BC349" i="5"/>
  <c r="AT299" i="5"/>
  <c r="BC299" i="5"/>
  <c r="AT295" i="5"/>
  <c r="AS295" i="5"/>
  <c r="AY262" i="5"/>
  <c r="AZ262" i="5"/>
  <c r="BC262" i="5"/>
  <c r="AU243" i="5"/>
  <c r="AS243" i="5"/>
  <c r="AU239" i="5"/>
  <c r="AV239" i="5"/>
  <c r="AT235" i="5"/>
  <c r="AS235" i="5"/>
  <c r="BC235" i="5"/>
  <c r="AU179" i="5"/>
  <c r="AS179" i="5"/>
  <c r="AV334" i="5"/>
  <c r="AS371" i="5"/>
  <c r="AT371" i="5"/>
  <c r="AU313" i="5"/>
  <c r="AW313" i="5"/>
  <c r="AX313" i="5"/>
  <c r="AY313" i="5"/>
  <c r="AZ313" i="5"/>
  <c r="AU257" i="5"/>
  <c r="AS257" i="5"/>
  <c r="AW257" i="5"/>
  <c r="AX257" i="5"/>
  <c r="AY234" i="5"/>
  <c r="AZ234" i="5"/>
  <c r="AU222" i="5"/>
  <c r="AY222" i="5"/>
  <c r="AZ222" i="5"/>
  <c r="AU190" i="5"/>
  <c r="AS190" i="5"/>
  <c r="AV190" i="5"/>
  <c r="AU186" i="5"/>
  <c r="AY186" i="5"/>
  <c r="AZ186" i="5"/>
  <c r="AU182" i="5"/>
  <c r="AY182" i="5"/>
  <c r="AZ182" i="5"/>
  <c r="AT95" i="5"/>
  <c r="AS95" i="5"/>
  <c r="AT91" i="5"/>
  <c r="BC91" i="5"/>
  <c r="AV87" i="5"/>
  <c r="AX87" i="5"/>
  <c r="AY87" i="5"/>
  <c r="BC87" i="5"/>
  <c r="AU80" i="5"/>
  <c r="AV80" i="5"/>
  <c r="AZ80" i="5"/>
  <c r="AT72" i="5"/>
  <c r="AS72" i="5"/>
  <c r="AU55" i="5"/>
  <c r="AV55" i="5"/>
  <c r="AW55" i="5"/>
  <c r="AU47" i="5"/>
  <c r="AV47" i="5"/>
  <c r="AU39" i="5"/>
  <c r="AS39" i="5"/>
  <c r="AX39" i="5"/>
  <c r="AY39" i="5"/>
  <c r="AZ39" i="5"/>
  <c r="BC39" i="5"/>
  <c r="AT35" i="5"/>
  <c r="BC35" i="5"/>
  <c r="AU25" i="5"/>
  <c r="AV25" i="5"/>
  <c r="AU343" i="5"/>
  <c r="AS343" i="5"/>
  <c r="AV343" i="5"/>
  <c r="AX343" i="5"/>
  <c r="AY343" i="5"/>
  <c r="AZ343" i="5"/>
  <c r="AU221" i="5"/>
  <c r="AS221" i="5"/>
  <c r="AT217" i="5"/>
  <c r="AS217" i="5"/>
  <c r="BC217" i="5"/>
  <c r="AU213" i="5"/>
  <c r="AV213" i="5"/>
  <c r="AY213" i="5"/>
  <c r="AZ213" i="5"/>
  <c r="AU209" i="5"/>
  <c r="AS209" i="5"/>
  <c r="AU205" i="5"/>
  <c r="AV205" i="5"/>
  <c r="AY205" i="5"/>
  <c r="AZ205" i="5"/>
  <c r="BC205" i="5"/>
  <c r="AT114" i="5"/>
  <c r="AS114" i="5"/>
  <c r="AU110" i="5"/>
  <c r="AV110" i="5"/>
  <c r="AW110" i="5"/>
  <c r="AX110" i="5"/>
  <c r="AT247" i="5"/>
  <c r="AZ331" i="5"/>
  <c r="AY331" i="5"/>
  <c r="AV321" i="5"/>
  <c r="AS279" i="5"/>
  <c r="AT291" i="5"/>
  <c r="AQ291" i="5"/>
  <c r="BC291" i="5"/>
  <c r="AR291" i="5"/>
  <c r="AS291" i="5"/>
  <c r="AT226" i="5"/>
  <c r="BC226" i="5"/>
  <c r="AR226" i="5"/>
  <c r="AS226" i="5"/>
  <c r="AQ226" i="5"/>
  <c r="AT314" i="5"/>
  <c r="AQ314" i="5"/>
  <c r="BC314" i="5"/>
  <c r="AR314" i="5"/>
  <c r="AS314" i="5"/>
  <c r="BC286" i="5"/>
  <c r="AQ286" i="5"/>
  <c r="BB286" i="5"/>
  <c r="AX286" i="5"/>
  <c r="AY286" i="5"/>
  <c r="AZ286" i="5"/>
  <c r="AR286" i="5"/>
  <c r="AT286" i="5"/>
  <c r="AV296" i="5"/>
  <c r="AX296" i="5"/>
  <c r="AZ296" i="5"/>
  <c r="AY296" i="5"/>
  <c r="AR296" i="5"/>
  <c r="AT296" i="5"/>
  <c r="AQ296" i="5"/>
  <c r="BB296" i="5"/>
  <c r="BC296" i="5"/>
  <c r="AW296" i="5"/>
  <c r="AT58" i="5"/>
  <c r="BC58" i="5"/>
  <c r="AQ58" i="5"/>
  <c r="AR58" i="5"/>
  <c r="AS58" i="5"/>
  <c r="AW302" i="5"/>
  <c r="AV302" i="5"/>
  <c r="AX302" i="5"/>
  <c r="AZ302" i="5"/>
  <c r="BB302" i="5"/>
  <c r="AR302" i="5"/>
  <c r="AY302" i="5"/>
  <c r="BC302" i="5"/>
  <c r="AT302" i="5"/>
  <c r="AQ302" i="5"/>
  <c r="AU194" i="5"/>
  <c r="AT194" i="5"/>
  <c r="AY194" i="5"/>
  <c r="AZ194" i="5"/>
  <c r="AR194" i="5"/>
  <c r="AQ194" i="5"/>
  <c r="AV194" i="5"/>
  <c r="BC194" i="5"/>
  <c r="BB194" i="5"/>
  <c r="AS194" i="5"/>
  <c r="AW194" i="5"/>
  <c r="AX194" i="5"/>
  <c r="AT164" i="5"/>
  <c r="AQ164" i="5"/>
  <c r="AR164" i="5"/>
  <c r="AS164" i="5"/>
  <c r="BC164" i="5"/>
  <c r="AU358" i="5"/>
  <c r="AS358" i="5"/>
  <c r="AR358" i="5"/>
  <c r="AX358" i="5"/>
  <c r="AZ358" i="5"/>
  <c r="AY358" i="5"/>
  <c r="BB358" i="5"/>
  <c r="AV358" i="5"/>
  <c r="AT358" i="5"/>
  <c r="AQ358" i="5"/>
  <c r="AW358" i="5"/>
  <c r="BC358" i="5"/>
  <c r="AT326" i="5"/>
  <c r="AR326" i="5"/>
  <c r="BC326" i="5"/>
  <c r="AQ326" i="5"/>
  <c r="AS326" i="5"/>
  <c r="AR294" i="5"/>
  <c r="AY294" i="5"/>
  <c r="AQ294" i="5"/>
  <c r="BB294" i="5"/>
  <c r="AT273" i="5"/>
  <c r="AS273" i="5"/>
  <c r="AR273" i="5"/>
  <c r="AQ273" i="5"/>
  <c r="BC273" i="5"/>
  <c r="AQ211" i="5"/>
  <c r="BB40" i="5"/>
  <c r="BB107" i="5"/>
  <c r="BB56" i="5"/>
  <c r="AQ84" i="5"/>
  <c r="AQ137" i="5"/>
  <c r="AQ323" i="5"/>
  <c r="AQ203" i="5"/>
  <c r="AT137" i="5"/>
  <c r="AR129" i="5"/>
  <c r="AR160" i="5"/>
  <c r="AR167" i="5"/>
  <c r="AR196" i="5"/>
  <c r="AR91" i="5"/>
  <c r="BC219" i="5"/>
  <c r="BC181" i="5"/>
  <c r="BC137" i="5"/>
  <c r="AY365" i="5"/>
  <c r="AY152" i="5"/>
  <c r="AY137" i="5"/>
  <c r="AX40" i="5"/>
  <c r="AW137" i="5"/>
  <c r="AW56" i="5"/>
  <c r="AV219" i="5"/>
  <c r="AQ114" i="5"/>
  <c r="AR211" i="5"/>
  <c r="AR288" i="5"/>
  <c r="AR114" i="5"/>
  <c r="AR365" i="5"/>
  <c r="AQ48" i="5"/>
  <c r="AQ40" i="5"/>
  <c r="BB144" i="5"/>
  <c r="AQ32" i="5"/>
  <c r="AQ189" i="5"/>
  <c r="AQ167" i="5"/>
  <c r="AQ219" i="5"/>
  <c r="AR137" i="5"/>
  <c r="AR121" i="5"/>
  <c r="AR60" i="5"/>
  <c r="BC189" i="5"/>
  <c r="BC144" i="5"/>
  <c r="BC21" i="5"/>
  <c r="AZ365" i="5"/>
  <c r="AZ233" i="5"/>
  <c r="AZ40" i="5"/>
  <c r="AY233" i="5"/>
  <c r="AX365" i="5"/>
  <c r="AX219" i="5"/>
  <c r="AX181" i="5"/>
  <c r="AX167" i="5"/>
  <c r="AX137" i="5"/>
  <c r="AW288" i="5"/>
  <c r="AW181" i="5"/>
  <c r="AW167" i="5"/>
  <c r="AS211" i="5"/>
  <c r="AS121" i="5"/>
  <c r="AS48" i="5"/>
  <c r="AT370" i="5"/>
  <c r="AT219" i="5"/>
  <c r="AT365" i="5"/>
  <c r="AT40" i="5"/>
  <c r="BB288" i="5"/>
  <c r="BB233" i="5"/>
  <c r="BB84" i="5"/>
  <c r="AQ21" i="5"/>
  <c r="AQ233" i="5"/>
  <c r="AQ91" i="5"/>
  <c r="AT56" i="5"/>
  <c r="AT233" i="5"/>
  <c r="AR56" i="5"/>
  <c r="AR233" i="5"/>
  <c r="AR107" i="5"/>
  <c r="AR219" i="5"/>
  <c r="AR189" i="5"/>
  <c r="AR32" i="5"/>
  <c r="BC304" i="5"/>
  <c r="BC275" i="5"/>
  <c r="BC196" i="5"/>
  <c r="BC60" i="5"/>
  <c r="AZ160" i="5"/>
  <c r="AZ129" i="5"/>
  <c r="AZ84" i="5"/>
  <c r="AZ56" i="5"/>
  <c r="AY160" i="5"/>
  <c r="AY40" i="5"/>
  <c r="AX56" i="5"/>
  <c r="AV233" i="5"/>
  <c r="AV137" i="5"/>
  <c r="AS174" i="5"/>
  <c r="AS68" i="5"/>
  <c r="BB219" i="5"/>
  <c r="BB365" i="5"/>
  <c r="AR240" i="5"/>
  <c r="AR40" i="5"/>
  <c r="AQ56" i="5"/>
  <c r="AQ144" i="5"/>
  <c r="AQ107" i="5"/>
  <c r="AT76" i="5"/>
  <c r="AR76" i="5"/>
  <c r="AR27" i="5"/>
  <c r="AR21" i="5"/>
  <c r="AR275" i="5"/>
  <c r="BC107" i="5"/>
  <c r="BC68" i="5"/>
  <c r="AY129" i="5"/>
  <c r="AY84" i="5"/>
  <c r="AY56" i="5"/>
  <c r="AX233" i="5"/>
  <c r="AX84" i="5"/>
  <c r="AW219" i="5"/>
  <c r="AW129" i="5"/>
  <c r="AS323" i="5"/>
  <c r="AS311" i="5"/>
  <c r="AS129" i="5"/>
  <c r="AS84" i="5"/>
  <c r="AS56" i="5"/>
  <c r="AS27" i="5"/>
  <c r="AQ304" i="5"/>
  <c r="AQ174" i="5"/>
  <c r="BB167" i="5"/>
  <c r="BB137" i="5"/>
  <c r="AQ60" i="5"/>
  <c r="AQ160" i="5"/>
  <c r="AQ268" i="5"/>
  <c r="AQ121" i="5"/>
  <c r="AT107" i="5"/>
  <c r="AT167" i="5"/>
  <c r="AT84" i="5"/>
  <c r="AR84" i="5"/>
  <c r="BC288" i="5"/>
  <c r="BC233" i="5"/>
  <c r="BC203" i="5"/>
  <c r="BC160" i="5"/>
  <c r="AZ144" i="5"/>
  <c r="AX160" i="5"/>
  <c r="AX129" i="5"/>
  <c r="AW160" i="5"/>
  <c r="AV167" i="5"/>
  <c r="AV129" i="5"/>
  <c r="AV40" i="5"/>
  <c r="AS233" i="5"/>
  <c r="AS181" i="5"/>
  <c r="AS107" i="5"/>
  <c r="AR174" i="5"/>
  <c r="BB181" i="5"/>
  <c r="BB76" i="5"/>
  <c r="AQ68" i="5"/>
  <c r="AT144" i="5"/>
  <c r="AT181" i="5"/>
  <c r="AR268" i="5"/>
  <c r="AR144" i="5"/>
  <c r="BC323" i="5"/>
  <c r="BC114" i="5"/>
  <c r="AZ107" i="5"/>
  <c r="AY144" i="5"/>
  <c r="AW233" i="5"/>
  <c r="AW144" i="5"/>
  <c r="AW107" i="5"/>
  <c r="AV181" i="5"/>
  <c r="AV107" i="5"/>
  <c r="AV56" i="5"/>
  <c r="AS275" i="5"/>
  <c r="AS219" i="5"/>
  <c r="AS203" i="5"/>
  <c r="AS76" i="5"/>
  <c r="AS32" i="5"/>
  <c r="AS21" i="5"/>
  <c r="AR323" i="5"/>
  <c r="AR48" i="5"/>
  <c r="BB129" i="5"/>
  <c r="AQ240" i="5"/>
  <c r="AQ129" i="5"/>
  <c r="AQ275" i="5"/>
  <c r="AQ311" i="5"/>
  <c r="AR181" i="5"/>
  <c r="AR203" i="5"/>
  <c r="AR68" i="5"/>
  <c r="BC365" i="5"/>
  <c r="BC311" i="5"/>
  <c r="BC211" i="5"/>
  <c r="BC167" i="5"/>
  <c r="BC121" i="5"/>
  <c r="BC76" i="5"/>
  <c r="BC56" i="5"/>
  <c r="BC48" i="5"/>
  <c r="BC40" i="5"/>
  <c r="BC32" i="5"/>
  <c r="BC27" i="5"/>
  <c r="AZ76" i="5"/>
  <c r="AY107" i="5"/>
  <c r="AW365" i="5"/>
  <c r="AS189" i="5"/>
  <c r="AS137" i="5"/>
  <c r="AS91" i="5"/>
  <c r="AT316" i="5"/>
  <c r="AS316" i="5"/>
  <c r="AQ316" i="5"/>
  <c r="BC316" i="5"/>
  <c r="AR316" i="5"/>
  <c r="AQ298" i="5"/>
  <c r="BC298" i="5"/>
  <c r="AR298" i="5"/>
  <c r="AT293" i="5"/>
  <c r="BC293" i="5"/>
  <c r="AS293" i="5"/>
  <c r="AR293" i="5"/>
  <c r="AQ293" i="5"/>
  <c r="BC282" i="5"/>
  <c r="AR282" i="5"/>
  <c r="AQ282" i="5"/>
  <c r="AT261" i="5"/>
  <c r="AQ261" i="5"/>
  <c r="AR261" i="5"/>
  <c r="AS261" i="5"/>
  <c r="BC261" i="5"/>
  <c r="BC254" i="5"/>
  <c r="AX254" i="5"/>
  <c r="AZ254" i="5"/>
  <c r="AR254" i="5"/>
  <c r="AY254" i="5"/>
  <c r="AT254" i="5"/>
  <c r="BB254" i="5"/>
  <c r="AV254" i="5"/>
  <c r="AW254" i="5"/>
  <c r="AQ254" i="5"/>
  <c r="AU99" i="5"/>
  <c r="AW99" i="5"/>
  <c r="BC99" i="5"/>
  <c r="AR99" i="5"/>
  <c r="AS99" i="5"/>
  <c r="AV99" i="5"/>
  <c r="AX99" i="5"/>
  <c r="AY99" i="5"/>
  <c r="AZ99" i="5"/>
  <c r="AT99" i="5"/>
  <c r="AQ99" i="5"/>
  <c r="BB99" i="5"/>
  <c r="AT281" i="5"/>
  <c r="AS281" i="5"/>
  <c r="AQ281" i="5"/>
  <c r="AR281" i="5"/>
  <c r="BC281" i="5"/>
  <c r="BC274" i="5"/>
  <c r="AQ274" i="5"/>
  <c r="AR274" i="5"/>
  <c r="AU253" i="5"/>
  <c r="BC253" i="5"/>
  <c r="AX253" i="5"/>
  <c r="AZ253" i="5"/>
  <c r="AY253" i="5"/>
  <c r="AS253" i="5"/>
  <c r="BB253" i="5"/>
  <c r="AV253" i="5"/>
  <c r="AQ253" i="5"/>
  <c r="AW253" i="5"/>
  <c r="AT253" i="5"/>
  <c r="AR253" i="5"/>
  <c r="AR218" i="5"/>
  <c r="BC218" i="5"/>
  <c r="AQ218" i="5"/>
  <c r="AT210" i="5"/>
  <c r="AQ210" i="5"/>
  <c r="AR210" i="5"/>
  <c r="BC210" i="5"/>
  <c r="AS210" i="5"/>
  <c r="AU188" i="5"/>
  <c r="BC188" i="5"/>
  <c r="AV188" i="5"/>
  <c r="AX188" i="5"/>
  <c r="AZ188" i="5"/>
  <c r="AQ188" i="5"/>
  <c r="AW188" i="5"/>
  <c r="AY188" i="5"/>
  <c r="AR188" i="5"/>
  <c r="AS188" i="5"/>
  <c r="AT188" i="5"/>
  <c r="BB188" i="5"/>
  <c r="AT113" i="5"/>
  <c r="AS113" i="5"/>
  <c r="AR113" i="5"/>
  <c r="BC113" i="5"/>
  <c r="AQ113" i="5"/>
  <c r="AU327" i="5"/>
  <c r="AS327" i="5"/>
  <c r="AV327" i="5"/>
  <c r="AW327" i="5"/>
  <c r="AZ327" i="5"/>
  <c r="AT327" i="5"/>
  <c r="BB327" i="5"/>
  <c r="AQ327" i="5"/>
  <c r="AX327" i="5"/>
  <c r="AY327" i="5"/>
  <c r="BC327" i="5"/>
  <c r="AR327" i="5"/>
  <c r="AR266" i="5"/>
  <c r="AZ266" i="5"/>
  <c r="BC266" i="5"/>
  <c r="AT266" i="5"/>
  <c r="AV266" i="5"/>
  <c r="AX266" i="5"/>
  <c r="AY266" i="5"/>
  <c r="AQ266" i="5"/>
  <c r="BB266" i="5"/>
  <c r="AW266" i="5"/>
  <c r="AU246" i="5"/>
  <c r="AQ246" i="5"/>
  <c r="BC246" i="5"/>
  <c r="AV246" i="5"/>
  <c r="AR246" i="5"/>
  <c r="AW246" i="5"/>
  <c r="AT246" i="5"/>
  <c r="AX246" i="5"/>
  <c r="AZ246" i="5"/>
  <c r="AS246" i="5"/>
  <c r="AY246" i="5"/>
  <c r="BB246" i="5"/>
  <c r="AU238" i="5"/>
  <c r="AX238" i="5"/>
  <c r="AZ238" i="5"/>
  <c r="AS238" i="5"/>
  <c r="AY238" i="5"/>
  <c r="BC238" i="5"/>
  <c r="BB238" i="5"/>
  <c r="AT238" i="5"/>
  <c r="AV238" i="5"/>
  <c r="AW238" i="5"/>
  <c r="AQ238" i="5"/>
  <c r="AR238" i="5"/>
  <c r="AU342" i="5"/>
  <c r="AW342" i="5"/>
  <c r="AZ342" i="5"/>
  <c r="AR342" i="5"/>
  <c r="AX342" i="5"/>
  <c r="AY342" i="5"/>
  <c r="AS342" i="5"/>
  <c r="BC342" i="5"/>
  <c r="AT342" i="5"/>
  <c r="AQ342" i="5"/>
  <c r="AV342" i="5"/>
  <c r="BB342" i="5"/>
  <c r="AU265" i="5"/>
  <c r="AS265" i="5"/>
  <c r="AT265" i="5"/>
  <c r="AZ265" i="5"/>
  <c r="BC265" i="5"/>
  <c r="AV265" i="5"/>
  <c r="AX265" i="5"/>
  <c r="AY265" i="5"/>
  <c r="AQ265" i="5"/>
  <c r="BB265" i="5"/>
  <c r="AW265" i="5"/>
  <c r="AR265" i="5"/>
  <c r="AW258" i="5"/>
  <c r="AR258" i="5"/>
  <c r="BC258" i="5"/>
  <c r="AZ258" i="5"/>
  <c r="AT258" i="5"/>
  <c r="AQ258" i="5"/>
  <c r="AX258" i="5"/>
  <c r="AY258" i="5"/>
  <c r="BB258" i="5"/>
  <c r="AU230" i="5"/>
  <c r="BC230" i="5"/>
  <c r="AV230" i="5"/>
  <c r="AW230" i="5"/>
  <c r="AQ230" i="5"/>
  <c r="AS230" i="5"/>
  <c r="AX230" i="5"/>
  <c r="AZ230" i="5"/>
  <c r="AY230" i="5"/>
  <c r="BB230" i="5"/>
  <c r="AR230" i="5"/>
  <c r="AT230" i="5"/>
  <c r="AU341" i="5"/>
  <c r="AZ341" i="5"/>
  <c r="AQ341" i="5"/>
  <c r="AX341" i="5"/>
  <c r="AY341" i="5"/>
  <c r="AT341" i="5"/>
  <c r="AS341" i="5"/>
  <c r="BC341" i="5"/>
  <c r="BB341" i="5"/>
  <c r="AW341" i="5"/>
  <c r="AR341" i="5"/>
  <c r="AQ250" i="5"/>
  <c r="BC250" i="5"/>
  <c r="AR250" i="5"/>
  <c r="AU156" i="5"/>
  <c r="BC156" i="5"/>
  <c r="AR156" i="5"/>
  <c r="AT156" i="5"/>
  <c r="AQ156" i="5"/>
  <c r="BB156" i="5"/>
  <c r="AS156" i="5"/>
  <c r="AX156" i="5"/>
  <c r="AZ156" i="5"/>
  <c r="AW156" i="5"/>
  <c r="AY156" i="5"/>
  <c r="AV156" i="5"/>
  <c r="AU148" i="5"/>
  <c r="AX148" i="5"/>
  <c r="AY148" i="5"/>
  <c r="AZ148" i="5"/>
  <c r="AQ148" i="5"/>
  <c r="AW148" i="5"/>
  <c r="AV148" i="5"/>
  <c r="BC148" i="5"/>
  <c r="AR148" i="5"/>
  <c r="AT148" i="5"/>
  <c r="BB148" i="5"/>
  <c r="AS148" i="5"/>
  <c r="AT64" i="5"/>
  <c r="BC64" i="5"/>
  <c r="AR64" i="5"/>
  <c r="BB64" i="5"/>
  <c r="AY64" i="5"/>
  <c r="AZ64" i="5"/>
  <c r="AQ64" i="5"/>
  <c r="AX64" i="5"/>
  <c r="AT284" i="5"/>
  <c r="BC284" i="5"/>
  <c r="AR284" i="5"/>
  <c r="AV284" i="5"/>
  <c r="AZ284" i="5"/>
  <c r="BB284" i="5"/>
  <c r="AX284" i="5"/>
  <c r="AY284" i="5"/>
  <c r="AW284" i="5"/>
  <c r="AQ284" i="5"/>
  <c r="AT249" i="5"/>
  <c r="AS249" i="5"/>
  <c r="BC249" i="5"/>
  <c r="AQ249" i="5"/>
  <c r="AR249" i="5"/>
  <c r="AU214" i="5"/>
  <c r="AT214" i="5"/>
  <c r="BB214" i="5"/>
  <c r="AS214" i="5"/>
  <c r="BC214" i="5"/>
  <c r="AV214" i="5"/>
  <c r="AW214" i="5"/>
  <c r="AR214" i="5"/>
  <c r="AX214" i="5"/>
  <c r="AZ214" i="5"/>
  <c r="AY214" i="5"/>
  <c r="AQ214" i="5"/>
  <c r="AU206" i="5"/>
  <c r="AX206" i="5"/>
  <c r="AZ206" i="5"/>
  <c r="AR206" i="5"/>
  <c r="AY206" i="5"/>
  <c r="AQ206" i="5"/>
  <c r="BC206" i="5"/>
  <c r="AT206" i="5"/>
  <c r="AS206" i="5"/>
  <c r="BB206" i="5"/>
  <c r="AV206" i="5"/>
  <c r="AW206" i="5"/>
  <c r="AT132" i="5"/>
  <c r="AS132" i="5"/>
  <c r="BC132" i="5"/>
  <c r="AR132" i="5"/>
  <c r="AQ132" i="5"/>
  <c r="AU124" i="5"/>
  <c r="AQ124" i="5"/>
  <c r="AS124" i="5"/>
  <c r="AX124" i="5"/>
  <c r="AY124" i="5"/>
  <c r="AZ124" i="5"/>
  <c r="BC124" i="5"/>
  <c r="AR124" i="5"/>
  <c r="BB124" i="5"/>
  <c r="AW124" i="5"/>
  <c r="AT124" i="5"/>
  <c r="AV124" i="5"/>
  <c r="AU359" i="5"/>
  <c r="AS359" i="5"/>
  <c r="AZ359" i="5"/>
  <c r="AV359" i="5"/>
  <c r="AQ359" i="5"/>
  <c r="AX359" i="5"/>
  <c r="AY359" i="5"/>
  <c r="BC359" i="5"/>
  <c r="BB359" i="5"/>
  <c r="AT359" i="5"/>
  <c r="AR359" i="5"/>
  <c r="AW359" i="5"/>
  <c r="AU339" i="5"/>
  <c r="AR339" i="5"/>
  <c r="AX339" i="5"/>
  <c r="AY339" i="5"/>
  <c r="AS339" i="5"/>
  <c r="BC339" i="5"/>
  <c r="AV339" i="5"/>
  <c r="AQ339" i="5"/>
  <c r="BB339" i="5"/>
  <c r="AT339" i="5"/>
  <c r="AW339" i="5"/>
  <c r="AZ339" i="5"/>
  <c r="BC306" i="5"/>
  <c r="AR306" i="5"/>
  <c r="AQ306" i="5"/>
  <c r="AT277" i="5"/>
  <c r="AQ277" i="5"/>
  <c r="BC277" i="5"/>
  <c r="AR277" i="5"/>
  <c r="AS277" i="5"/>
  <c r="AT242" i="5"/>
  <c r="AR242" i="5"/>
  <c r="AS242" i="5"/>
  <c r="BC242" i="5"/>
  <c r="AQ242" i="5"/>
  <c r="AT198" i="5"/>
  <c r="BC198" i="5"/>
  <c r="AQ198" i="5"/>
  <c r="AR198" i="5"/>
  <c r="AS198" i="5"/>
  <c r="AU93" i="5"/>
  <c r="AS93" i="5"/>
  <c r="AR93" i="5"/>
  <c r="AT93" i="5"/>
  <c r="AV93" i="5"/>
  <c r="AX93" i="5"/>
  <c r="AY93" i="5"/>
  <c r="AZ93" i="5"/>
  <c r="BB93" i="5"/>
  <c r="BC93" i="5"/>
  <c r="AW93" i="5"/>
  <c r="AQ93" i="5"/>
  <c r="AT70" i="5"/>
  <c r="BC70" i="5"/>
  <c r="AS70" i="5"/>
  <c r="AQ70" i="5"/>
  <c r="AR70" i="5"/>
  <c r="AT289" i="5"/>
  <c r="AR289" i="5"/>
  <c r="AS289" i="5"/>
  <c r="BC289" i="5"/>
  <c r="AQ289" i="5"/>
  <c r="AT269" i="5"/>
  <c r="AR269" i="5"/>
  <c r="AS269" i="5"/>
  <c r="AQ269" i="5"/>
  <c r="BC269" i="5"/>
  <c r="AS92" i="5"/>
  <c r="AS25" i="5"/>
  <c r="AS63" i="5"/>
  <c r="AS35" i="5"/>
  <c r="AS43" i="5"/>
  <c r="AS51" i="5"/>
  <c r="AU308" i="5"/>
  <c r="AU280" i="5"/>
  <c r="AS280" i="5"/>
  <c r="AY280" i="5"/>
  <c r="AR280" i="5"/>
  <c r="AV280" i="5"/>
  <c r="AQ280" i="5"/>
  <c r="BB280" i="5"/>
  <c r="AW280" i="5"/>
  <c r="AZ280" i="5"/>
  <c r="AT280" i="5"/>
  <c r="BC280" i="5"/>
  <c r="AX280" i="5"/>
  <c r="AU264" i="5"/>
  <c r="AS264" i="5"/>
  <c r="AT264" i="5"/>
  <c r="AY264" i="5"/>
  <c r="AV264" i="5"/>
  <c r="AX264" i="5"/>
  <c r="BC264" i="5"/>
  <c r="AZ264" i="5"/>
  <c r="AQ264" i="5"/>
  <c r="BB264" i="5"/>
  <c r="AW264" i="5"/>
  <c r="AR264" i="5"/>
  <c r="AU276" i="5"/>
  <c r="AS276" i="5"/>
  <c r="AU152" i="5"/>
  <c r="AW152" i="5"/>
  <c r="AS152" i="5"/>
  <c r="AV152" i="5"/>
  <c r="AU74" i="5"/>
  <c r="AV74" i="5"/>
  <c r="AS74" i="5"/>
  <c r="AR152" i="5"/>
  <c r="AR303" i="5"/>
  <c r="BB285" i="5"/>
  <c r="AR270" i="5"/>
  <c r="AR285" i="5"/>
  <c r="BC290" i="5"/>
  <c r="AY276" i="5"/>
  <c r="AY220" i="5"/>
  <c r="AX166" i="5"/>
  <c r="AW220" i="5"/>
  <c r="AV276" i="5"/>
  <c r="AV255" i="5"/>
  <c r="AS82" i="5"/>
  <c r="AS347" i="5"/>
  <c r="AU347" i="5"/>
  <c r="AU335" i="5"/>
  <c r="AV335" i="5"/>
  <c r="AU302" i="5"/>
  <c r="AS302" i="5"/>
  <c r="AU284" i="5"/>
  <c r="AS284" i="5"/>
  <c r="AU260" i="5"/>
  <c r="AS260" i="5"/>
  <c r="AW260" i="5"/>
  <c r="AV260" i="5"/>
  <c r="AU254" i="5"/>
  <c r="AS254" i="5"/>
  <c r="AU232" i="5"/>
  <c r="AS232" i="5"/>
  <c r="AU200" i="5"/>
  <c r="AS200" i="5"/>
  <c r="AU172" i="5"/>
  <c r="AS172" i="5"/>
  <c r="AV172" i="5"/>
  <c r="AU144" i="5"/>
  <c r="AV144" i="5"/>
  <c r="AS144" i="5"/>
  <c r="AT81" i="5"/>
  <c r="AS81" i="5"/>
  <c r="AT270" i="5"/>
  <c r="AQ303" i="5"/>
  <c r="AR74" i="5"/>
  <c r="AZ285" i="5"/>
  <c r="AZ255" i="5"/>
  <c r="AY355" i="5"/>
  <c r="AY270" i="5"/>
  <c r="AW285" i="5"/>
  <c r="AV355" i="5"/>
  <c r="AU366" i="5"/>
  <c r="AS366" i="5"/>
  <c r="AW366" i="5"/>
  <c r="AU334" i="5"/>
  <c r="AS334" i="5"/>
  <c r="AW334" i="5"/>
  <c r="AT274" i="5"/>
  <c r="AS274" i="5"/>
  <c r="AU244" i="5"/>
  <c r="AS244" i="5"/>
  <c r="AV244" i="5"/>
  <c r="AW244" i="5"/>
  <c r="AT218" i="5"/>
  <c r="AS218" i="5"/>
  <c r="AU212" i="5"/>
  <c r="AS212" i="5"/>
  <c r="AU136" i="5"/>
  <c r="AV136" i="5"/>
  <c r="AS136" i="5"/>
  <c r="AU115" i="5"/>
  <c r="AV115" i="5"/>
  <c r="AW115" i="5"/>
  <c r="AU87" i="5"/>
  <c r="AS87" i="5"/>
  <c r="AT54" i="5"/>
  <c r="AS54" i="5"/>
  <c r="AU46" i="5"/>
  <c r="AS46" i="5"/>
  <c r="AX46" i="5"/>
  <c r="AT38" i="5"/>
  <c r="AS38" i="5"/>
  <c r="AT30" i="5"/>
  <c r="AS30" i="5"/>
  <c r="AS290" i="5"/>
  <c r="AT290" i="5"/>
  <c r="AU103" i="5"/>
  <c r="AV103" i="5"/>
  <c r="AS103" i="5"/>
  <c r="AW103" i="5"/>
  <c r="AT355" i="5"/>
  <c r="AR290" i="5"/>
  <c r="BB74" i="5"/>
  <c r="AR220" i="5"/>
  <c r="BC355" i="5"/>
  <c r="BC152" i="5"/>
  <c r="AZ166" i="5"/>
  <c r="AZ74" i="5"/>
  <c r="AX294" i="5"/>
  <c r="AX152" i="5"/>
  <c r="AV220" i="5"/>
  <c r="AU365" i="5"/>
  <c r="AV365" i="5"/>
  <c r="AU333" i="5"/>
  <c r="AV333" i="5"/>
  <c r="AT306" i="5"/>
  <c r="AS306" i="5"/>
  <c r="AU296" i="5"/>
  <c r="AS296" i="5"/>
  <c r="AU258" i="5"/>
  <c r="AS258" i="5"/>
  <c r="AV258" i="5"/>
  <c r="AT248" i="5"/>
  <c r="AS248" i="5"/>
  <c r="AT224" i="5"/>
  <c r="AS224" i="5"/>
  <c r="AT192" i="5"/>
  <c r="AS192" i="5"/>
  <c r="AU128" i="5"/>
  <c r="AS128" i="5"/>
  <c r="AU79" i="5"/>
  <c r="AV79" i="5"/>
  <c r="AS79" i="5"/>
  <c r="AU64" i="5"/>
  <c r="AS64" i="5"/>
  <c r="AW64" i="5"/>
  <c r="AV64" i="5"/>
  <c r="AT22" i="5"/>
  <c r="AS22" i="5"/>
  <c r="AQ255" i="5"/>
  <c r="BB220" i="5"/>
  <c r="AQ82" i="5"/>
  <c r="AQ270" i="5"/>
  <c r="AT74" i="5"/>
  <c r="AR355" i="5"/>
  <c r="AR103" i="5"/>
  <c r="BC303" i="5"/>
  <c r="BC255" i="5"/>
  <c r="BC103" i="5"/>
  <c r="AY103" i="5"/>
  <c r="AX276" i="5"/>
  <c r="AW355" i="5"/>
  <c r="AW166" i="5"/>
  <c r="AV166" i="5"/>
  <c r="AS333" i="5"/>
  <c r="AU320" i="5"/>
  <c r="AT300" i="5"/>
  <c r="AS300" i="5"/>
  <c r="AU292" i="5"/>
  <c r="AS292" i="5"/>
  <c r="AU288" i="5"/>
  <c r="AV288" i="5"/>
  <c r="AS288" i="5"/>
  <c r="AU278" i="5"/>
  <c r="AW278" i="5"/>
  <c r="AS278" i="5"/>
  <c r="AV278" i="5"/>
  <c r="AT268" i="5"/>
  <c r="AS268" i="5"/>
  <c r="AT236" i="5"/>
  <c r="AS236" i="5"/>
  <c r="AU204" i="5"/>
  <c r="AS204" i="5"/>
  <c r="AU184" i="5"/>
  <c r="AV184" i="5"/>
  <c r="AS184" i="5"/>
  <c r="AT134" i="5"/>
  <c r="AS134" i="5"/>
  <c r="AU120" i="5"/>
  <c r="AV120" i="5"/>
  <c r="AS120" i="5"/>
  <c r="AU78" i="5"/>
  <c r="AX78" i="5"/>
  <c r="AS78" i="5"/>
  <c r="AU220" i="5"/>
  <c r="AS220" i="5"/>
  <c r="AT294" i="5"/>
  <c r="AT255" i="5"/>
  <c r="AQ276" i="5"/>
  <c r="AQ103" i="5"/>
  <c r="AT220" i="5"/>
  <c r="BC294" i="5"/>
  <c r="BC270" i="5"/>
  <c r="AZ294" i="5"/>
  <c r="AZ152" i="5"/>
  <c r="AY285" i="5"/>
  <c r="AY255" i="5"/>
  <c r="AX270" i="5"/>
  <c r="AW276" i="5"/>
  <c r="AS303" i="5"/>
  <c r="AS255" i="5"/>
  <c r="AS363" i="5"/>
  <c r="AU363" i="5"/>
  <c r="AU351" i="5"/>
  <c r="AV351" i="5"/>
  <c r="AU331" i="5"/>
  <c r="AS331" i="5"/>
  <c r="AU325" i="5"/>
  <c r="AW325" i="5"/>
  <c r="AT282" i="5"/>
  <c r="AS282" i="5"/>
  <c r="AU262" i="5"/>
  <c r="AS262" i="5"/>
  <c r="AU252" i="5"/>
  <c r="AS252" i="5"/>
  <c r="AW252" i="5"/>
  <c r="AV252" i="5"/>
  <c r="AT216" i="5"/>
  <c r="AS216" i="5"/>
  <c r="AU197" i="5"/>
  <c r="AW197" i="5"/>
  <c r="AV197" i="5"/>
  <c r="AT176" i="5"/>
  <c r="AS176" i="5"/>
  <c r="AT140" i="5"/>
  <c r="AS140" i="5"/>
  <c r="AU85" i="5"/>
  <c r="AS85" i="5"/>
  <c r="AX85" i="5"/>
  <c r="AT77" i="5"/>
  <c r="AS77" i="5"/>
  <c r="AU355" i="5"/>
  <c r="AS355" i="5"/>
  <c r="AU166" i="5"/>
  <c r="AS166" i="5"/>
  <c r="AR255" i="5"/>
  <c r="AT276" i="5"/>
  <c r="BB166" i="5"/>
  <c r="BB152" i="5"/>
  <c r="BB103" i="5"/>
  <c r="AQ152" i="5"/>
  <c r="AQ285" i="5"/>
  <c r="AQ74" i="5"/>
  <c r="BC285" i="5"/>
  <c r="AZ276" i="5"/>
  <c r="AZ220" i="5"/>
  <c r="AY166" i="5"/>
  <c r="AY74" i="5"/>
  <c r="AW74" i="5"/>
  <c r="AV285" i="5"/>
  <c r="AS301" i="5"/>
  <c r="AS285" i="5"/>
  <c r="AU350" i="5"/>
  <c r="AS350" i="5"/>
  <c r="AW350" i="5"/>
  <c r="AU286" i="5"/>
  <c r="AV286" i="5"/>
  <c r="AS286" i="5"/>
  <c r="AW286" i="5"/>
  <c r="AT272" i="5"/>
  <c r="AS272" i="5"/>
  <c r="AU266" i="5"/>
  <c r="AS266" i="5"/>
  <c r="AU234" i="5"/>
  <c r="AS234" i="5"/>
  <c r="AU228" i="5"/>
  <c r="AS228" i="5"/>
  <c r="AU202" i="5"/>
  <c r="AS202" i="5"/>
  <c r="AV202" i="5"/>
  <c r="AW202" i="5"/>
  <c r="AT196" i="5"/>
  <c r="AS196" i="5"/>
  <c r="AT168" i="5"/>
  <c r="AS168" i="5"/>
  <c r="AU147" i="5"/>
  <c r="AV147" i="5"/>
  <c r="AW147" i="5"/>
  <c r="AU105" i="5"/>
  <c r="AV105" i="5"/>
  <c r="AU84" i="5"/>
  <c r="AW84" i="5"/>
  <c r="AV84" i="5"/>
  <c r="AU76" i="5"/>
  <c r="AV76" i="5"/>
  <c r="AW76" i="5"/>
  <c r="AT62" i="5"/>
  <c r="AS62" i="5"/>
  <c r="AW294" i="5"/>
  <c r="AS294" i="5"/>
  <c r="AV294" i="5"/>
  <c r="AU270" i="5"/>
  <c r="AS270" i="5"/>
  <c r="AV270" i="5"/>
  <c r="BB255" i="5"/>
  <c r="AR276" i="5"/>
  <c r="AT166" i="5"/>
  <c r="AQ166" i="5"/>
  <c r="BB355" i="5"/>
  <c r="BB270" i="5"/>
  <c r="AQ220" i="5"/>
  <c r="AQ355" i="5"/>
  <c r="BC276" i="5"/>
  <c r="BC220" i="5"/>
  <c r="BC74" i="5"/>
  <c r="AZ355" i="5"/>
  <c r="AZ270" i="5"/>
  <c r="AX103" i="5"/>
  <c r="AX74" i="5"/>
  <c r="AW255" i="5"/>
  <c r="AU349" i="5"/>
  <c r="AV349" i="5"/>
  <c r="AT304" i="5"/>
  <c r="AS304" i="5"/>
  <c r="AT298" i="5"/>
  <c r="AS298" i="5"/>
  <c r="AU294" i="5"/>
  <c r="AU256" i="5"/>
  <c r="AV256" i="5"/>
  <c r="AS256" i="5"/>
  <c r="AW256" i="5"/>
  <c r="AT250" i="5"/>
  <c r="AS250" i="5"/>
  <c r="AT240" i="5"/>
  <c r="AS240" i="5"/>
  <c r="AT208" i="5"/>
  <c r="AS208" i="5"/>
  <c r="AU160" i="5"/>
  <c r="AS160" i="5"/>
  <c r="AU111" i="5"/>
  <c r="AS111" i="5"/>
  <c r="AT97" i="5"/>
  <c r="AS97" i="5"/>
  <c r="AU90" i="5"/>
  <c r="AV90" i="5"/>
  <c r="AT83" i="5"/>
  <c r="AS83" i="5"/>
  <c r="AV357" i="5"/>
  <c r="AV341" i="5"/>
  <c r="U153" i="5"/>
  <c r="AX345" i="5"/>
  <c r="BB345" i="5"/>
  <c r="AU345" i="5"/>
  <c r="AY345" i="5"/>
  <c r="BC345" i="5"/>
  <c r="AV345" i="5"/>
  <c r="AZ345" i="5"/>
  <c r="AR345" i="5"/>
  <c r="AT345" i="5"/>
  <c r="AQ345" i="5"/>
  <c r="AS345" i="5"/>
  <c r="AW345" i="5"/>
  <c r="AV340" i="5"/>
  <c r="AZ340" i="5"/>
  <c r="AR340" i="5"/>
  <c r="BB340" i="5"/>
  <c r="AS340" i="5"/>
  <c r="AW340" i="5"/>
  <c r="AU340" i="5"/>
  <c r="AX340" i="5"/>
  <c r="AT340" i="5"/>
  <c r="AY340" i="5"/>
  <c r="BC340" i="5"/>
  <c r="AQ340" i="5"/>
  <c r="AV364" i="5"/>
  <c r="AZ364" i="5"/>
  <c r="AQ364" i="5"/>
  <c r="AS364" i="5"/>
  <c r="AW364" i="5"/>
  <c r="AT364" i="5"/>
  <c r="BB364" i="5"/>
  <c r="AU364" i="5"/>
  <c r="AX364" i="5"/>
  <c r="AR364" i="5"/>
  <c r="AY364" i="5"/>
  <c r="BC364" i="5"/>
  <c r="AU344" i="5"/>
  <c r="AX344" i="5"/>
  <c r="AY344" i="5"/>
  <c r="BC344" i="5"/>
  <c r="BB344" i="5"/>
  <c r="AR344" i="5"/>
  <c r="AT344" i="5"/>
  <c r="AV344" i="5"/>
  <c r="AZ344" i="5"/>
  <c r="AQ344" i="5"/>
  <c r="AS344" i="5"/>
  <c r="AW344" i="5"/>
  <c r="AS330" i="5"/>
  <c r="AR330" i="5"/>
  <c r="AQ330" i="5"/>
  <c r="AW330" i="5"/>
  <c r="AX330" i="5"/>
  <c r="AT330" i="5"/>
  <c r="BC330" i="5"/>
  <c r="AY330" i="5"/>
  <c r="AU330" i="5"/>
  <c r="BB330" i="5"/>
  <c r="AV330" i="5"/>
  <c r="AZ330" i="5"/>
  <c r="AX369" i="5"/>
  <c r="AR369" i="5"/>
  <c r="BB369" i="5"/>
  <c r="AT369" i="5"/>
  <c r="AQ369" i="5"/>
  <c r="AU369" i="5"/>
  <c r="AY369" i="5"/>
  <c r="BC369" i="5"/>
  <c r="AV369" i="5"/>
  <c r="AZ369" i="5"/>
  <c r="AS369" i="5"/>
  <c r="AW369" i="5"/>
  <c r="AS354" i="5"/>
  <c r="AW354" i="5"/>
  <c r="AQ354" i="5"/>
  <c r="BB354" i="5"/>
  <c r="AT354" i="5"/>
  <c r="AX354" i="5"/>
  <c r="AR354" i="5"/>
  <c r="AY354" i="5"/>
  <c r="BC354" i="5"/>
  <c r="AU354" i="5"/>
  <c r="AV354" i="5"/>
  <c r="AZ354" i="5"/>
  <c r="AW329" i="5"/>
  <c r="AT329" i="5"/>
  <c r="AQ329" i="5"/>
  <c r="BB329" i="5"/>
  <c r="AR329" i="5"/>
  <c r="AX329" i="5"/>
  <c r="AU329" i="5"/>
  <c r="BC329" i="5"/>
  <c r="AY329" i="5"/>
  <c r="AV329" i="5"/>
  <c r="AZ329" i="5"/>
  <c r="AS329" i="5"/>
  <c r="AY324" i="5"/>
  <c r="BB324" i="5"/>
  <c r="AQ324" i="5"/>
  <c r="AS324" i="5"/>
  <c r="AV324" i="5"/>
  <c r="AZ324" i="5"/>
  <c r="AU324" i="5"/>
  <c r="AW324" i="5"/>
  <c r="AR324" i="5"/>
  <c r="AX324" i="5"/>
  <c r="BC324" i="5"/>
  <c r="AT324" i="5"/>
  <c r="AS372" i="5"/>
  <c r="AT372" i="5"/>
  <c r="AR372" i="5"/>
  <c r="BC372" i="5"/>
  <c r="AU368" i="5"/>
  <c r="AX368" i="5"/>
  <c r="AT368" i="5"/>
  <c r="BB368" i="5"/>
  <c r="AY368" i="5"/>
  <c r="BC368" i="5"/>
  <c r="AR368" i="5"/>
  <c r="AV368" i="5"/>
  <c r="AZ368" i="5"/>
  <c r="AQ368" i="5"/>
  <c r="AS368" i="5"/>
  <c r="AW368" i="5"/>
  <c r="AX353" i="5"/>
  <c r="AQ353" i="5"/>
  <c r="AT353" i="5"/>
  <c r="BB353" i="5"/>
  <c r="AU353" i="5"/>
  <c r="AY353" i="5"/>
  <c r="BC353" i="5"/>
  <c r="AV353" i="5"/>
  <c r="AZ353" i="5"/>
  <c r="AR353" i="5"/>
  <c r="AS353" i="5"/>
  <c r="AW353" i="5"/>
  <c r="AV348" i="5"/>
  <c r="AZ348" i="5"/>
  <c r="AR348" i="5"/>
  <c r="AQ348" i="5"/>
  <c r="AT348" i="5"/>
  <c r="AS348" i="5"/>
  <c r="AW348" i="5"/>
  <c r="AU348" i="5"/>
  <c r="AX348" i="5"/>
  <c r="BB348" i="5"/>
  <c r="AY348" i="5"/>
  <c r="BC348" i="5"/>
  <c r="AU328" i="5"/>
  <c r="AT328" i="5"/>
  <c r="AQ328" i="5"/>
  <c r="AR328" i="5"/>
  <c r="AX328" i="5"/>
  <c r="BC328" i="5"/>
  <c r="AY328" i="5"/>
  <c r="AV328" i="5"/>
  <c r="AZ328" i="5"/>
  <c r="BB328" i="5"/>
  <c r="AS328" i="5"/>
  <c r="AW328" i="5"/>
  <c r="AT367" i="5"/>
  <c r="AR367" i="5"/>
  <c r="AY367" i="5"/>
  <c r="BC367" i="5"/>
  <c r="AV367" i="5"/>
  <c r="AZ367" i="5"/>
  <c r="BB367" i="5"/>
  <c r="AU367" i="5"/>
  <c r="AS367" i="5"/>
  <c r="AW367" i="5"/>
  <c r="AQ367" i="5"/>
  <c r="AX367" i="5"/>
  <c r="AU352" i="5"/>
  <c r="AX352" i="5"/>
  <c r="AR352" i="5"/>
  <c r="AY352" i="5"/>
  <c r="BC352" i="5"/>
  <c r="BB352" i="5"/>
  <c r="AV352" i="5"/>
  <c r="AZ352" i="5"/>
  <c r="AS352" i="5"/>
  <c r="AW352" i="5"/>
  <c r="AT352" i="5"/>
  <c r="AQ352" i="5"/>
  <c r="AS338" i="5"/>
  <c r="AR338" i="5"/>
  <c r="BC338" i="5"/>
  <c r="AT338" i="5"/>
  <c r="AQ338" i="5"/>
  <c r="AS362" i="5"/>
  <c r="AW362" i="5"/>
  <c r="AR362" i="5"/>
  <c r="AQ362" i="5"/>
  <c r="AX362" i="5"/>
  <c r="BB362" i="5"/>
  <c r="AT362" i="5"/>
  <c r="AY362" i="5"/>
  <c r="BC362" i="5"/>
  <c r="AU362" i="5"/>
  <c r="AV362" i="5"/>
  <c r="AZ362" i="5"/>
  <c r="AW337" i="5"/>
  <c r="AR337" i="5"/>
  <c r="AT337" i="5"/>
  <c r="AX337" i="5"/>
  <c r="AQ337" i="5"/>
  <c r="AU337" i="5"/>
  <c r="BC337" i="5"/>
  <c r="AY337" i="5"/>
  <c r="AV337" i="5"/>
  <c r="AZ337" i="5"/>
  <c r="BB337" i="5"/>
  <c r="AS337" i="5"/>
  <c r="AR332" i="5"/>
  <c r="AV332" i="5"/>
  <c r="AZ332" i="5"/>
  <c r="AT332" i="5"/>
  <c r="AS332" i="5"/>
  <c r="BB332" i="5"/>
  <c r="AW332" i="5"/>
  <c r="AU332" i="5"/>
  <c r="AX332" i="5"/>
  <c r="BC332" i="5"/>
  <c r="AQ332" i="5"/>
  <c r="AY332" i="5"/>
  <c r="BC318" i="5"/>
  <c r="AT318" i="5"/>
  <c r="AW318" i="5"/>
  <c r="AR318" i="5"/>
  <c r="BB318" i="5"/>
  <c r="AX318" i="5"/>
  <c r="AQ318" i="5"/>
  <c r="AU318" i="5"/>
  <c r="AS318" i="5"/>
  <c r="AY318" i="5"/>
  <c r="AV318" i="5"/>
  <c r="AZ318" i="5"/>
  <c r="BC310" i="5"/>
  <c r="AR310" i="5"/>
  <c r="AQ310" i="5"/>
  <c r="AT310" i="5"/>
  <c r="AS310" i="5"/>
  <c r="BB361" i="5"/>
  <c r="AR361" i="5"/>
  <c r="AX361" i="5"/>
  <c r="AT361" i="5"/>
  <c r="AU361" i="5"/>
  <c r="AY361" i="5"/>
  <c r="BC361" i="5"/>
  <c r="AQ361" i="5"/>
  <c r="AV361" i="5"/>
  <c r="AZ361" i="5"/>
  <c r="AS361" i="5"/>
  <c r="AW361" i="5"/>
  <c r="AV356" i="5"/>
  <c r="AZ356" i="5"/>
  <c r="AR356" i="5"/>
  <c r="AQ356" i="5"/>
  <c r="AS356" i="5"/>
  <c r="AW356" i="5"/>
  <c r="AU356" i="5"/>
  <c r="AX356" i="5"/>
  <c r="AT356" i="5"/>
  <c r="BB356" i="5"/>
  <c r="AY356" i="5"/>
  <c r="BC356" i="5"/>
  <c r="AU336" i="5"/>
  <c r="AQ336" i="5"/>
  <c r="AX336" i="5"/>
  <c r="BB336" i="5"/>
  <c r="BC336" i="5"/>
  <c r="AY336" i="5"/>
  <c r="AR336" i="5"/>
  <c r="AV336" i="5"/>
  <c r="AZ336" i="5"/>
  <c r="AT336" i="5"/>
  <c r="AS336" i="5"/>
  <c r="AW336" i="5"/>
  <c r="AS322" i="5"/>
  <c r="AR322" i="5"/>
  <c r="BC322" i="5"/>
  <c r="AQ322" i="5"/>
  <c r="AT322" i="5"/>
  <c r="AU360" i="5"/>
  <c r="AX360" i="5"/>
  <c r="AR360" i="5"/>
  <c r="BB360" i="5"/>
  <c r="AY360" i="5"/>
  <c r="BC360" i="5"/>
  <c r="AQ360" i="5"/>
  <c r="AV360" i="5"/>
  <c r="AZ360" i="5"/>
  <c r="AT360" i="5"/>
  <c r="AS360" i="5"/>
  <c r="AW360" i="5"/>
  <c r="AS346" i="5"/>
  <c r="AW346" i="5"/>
  <c r="BB346" i="5"/>
  <c r="AX346" i="5"/>
  <c r="AQ346" i="5"/>
  <c r="AY346" i="5"/>
  <c r="BC346" i="5"/>
  <c r="AR346" i="5"/>
  <c r="AU346" i="5"/>
  <c r="AV346" i="5"/>
  <c r="AZ346" i="5"/>
  <c r="AT346" i="5"/>
  <c r="BW168" i="5"/>
  <c r="BX169" i="5" s="1"/>
  <c r="BW152" i="5"/>
  <c r="BX153" i="5" s="1"/>
  <c r="BW174" i="5"/>
  <c r="BX175" i="5" s="1"/>
  <c r="BW94" i="5"/>
  <c r="BX95" i="5" s="1"/>
  <c r="BW102" i="5"/>
  <c r="BX103" i="5" s="1"/>
  <c r="BW214" i="5"/>
  <c r="BX215" i="5" s="1"/>
  <c r="BW86" i="5"/>
  <c r="BX87" i="5" s="1"/>
  <c r="BW206" i="5"/>
  <c r="BX207" i="5" s="1"/>
  <c r="BW198" i="5"/>
  <c r="BX199" i="5" s="1"/>
  <c r="BW190" i="5"/>
  <c r="BX191" i="5" s="1"/>
  <c r="BW110" i="5"/>
  <c r="BX111" i="5" s="1"/>
  <c r="BW180" i="5"/>
  <c r="BX181" i="5" s="1"/>
  <c r="BW116" i="5"/>
  <c r="BX117" i="5" s="1"/>
  <c r="BW172" i="5"/>
  <c r="BX173" i="5" s="1"/>
  <c r="BW188" i="5"/>
  <c r="BX189" i="5" s="1"/>
  <c r="BW189" i="5"/>
  <c r="BX190" i="5" s="1"/>
  <c r="BW133" i="5"/>
  <c r="BX134" i="5" s="1"/>
  <c r="BW222" i="5"/>
  <c r="BX223" i="5" s="1"/>
  <c r="BW173" i="5"/>
  <c r="BX174" i="5" s="1"/>
  <c r="BW141" i="5"/>
  <c r="BX142" i="5" s="1"/>
  <c r="BW165" i="5"/>
  <c r="BX166" i="5" s="1"/>
  <c r="BW233" i="5"/>
  <c r="BX234" i="5" s="1"/>
  <c r="BW181" i="5"/>
  <c r="BX182" i="5" s="1"/>
  <c r="AM55" i="5"/>
  <c r="BW93" i="5"/>
  <c r="BX94" i="5" s="1"/>
  <c r="BW120" i="5"/>
  <c r="BX121" i="5" s="1"/>
  <c r="BW209" i="5"/>
  <c r="BX210" i="5" s="1"/>
  <c r="BW70" i="5"/>
  <c r="BX71" i="5" s="1"/>
  <c r="BW59" i="5"/>
  <c r="BX60" i="5" s="1"/>
  <c r="AM49" i="5"/>
  <c r="BW87" i="5"/>
  <c r="BX88" i="5" s="1"/>
  <c r="BW186" i="5"/>
  <c r="BX187" i="5" s="1"/>
  <c r="BW178" i="5"/>
  <c r="BX179" i="5" s="1"/>
  <c r="BW170" i="5"/>
  <c r="BX171" i="5" s="1"/>
  <c r="BW162" i="5"/>
  <c r="BX163" i="5" s="1"/>
  <c r="BW154" i="5"/>
  <c r="BX155" i="5" s="1"/>
  <c r="BW194" i="5"/>
  <c r="BX195" i="5" s="1"/>
  <c r="BW129" i="5"/>
  <c r="BX130" i="5" s="1"/>
  <c r="AN172" i="5"/>
  <c r="BW210" i="5"/>
  <c r="BX211" i="5" s="1"/>
  <c r="AM177" i="5"/>
  <c r="BW215" i="5"/>
  <c r="BX216" i="5" s="1"/>
  <c r="AL24" i="5"/>
  <c r="BW62" i="5"/>
  <c r="BX63" i="5" s="1"/>
  <c r="AN133" i="5"/>
  <c r="BW171" i="5"/>
  <c r="BX172" i="5" s="1"/>
  <c r="AL95" i="5"/>
  <c r="AM136" i="5"/>
  <c r="AM141" i="5"/>
  <c r="BW179" i="5"/>
  <c r="BX180" i="5" s="1"/>
  <c r="AM69" i="5"/>
  <c r="BW107" i="5"/>
  <c r="BX108" i="5" s="1"/>
  <c r="AL126" i="5"/>
  <c r="BW164" i="5"/>
  <c r="BX165" i="5" s="1"/>
  <c r="AM153" i="5"/>
  <c r="BW191" i="5"/>
  <c r="BX192" i="5" s="1"/>
  <c r="AN102" i="5"/>
  <c r="BW140" i="5"/>
  <c r="BX141" i="5" s="1"/>
  <c r="AM127" i="5"/>
  <c r="AM103" i="5"/>
  <c r="AL160" i="5"/>
  <c r="AL140" i="5"/>
  <c r="AM95" i="5"/>
  <c r="AF95" i="5" s="1"/>
  <c r="AL152" i="5"/>
  <c r="AM121" i="5"/>
  <c r="AL121" i="5"/>
  <c r="AN121" i="5"/>
  <c r="BW159" i="5"/>
  <c r="BX160" i="5" s="1"/>
  <c r="BW99" i="5"/>
  <c r="BX100" i="5" s="1"/>
  <c r="AL147" i="5"/>
  <c r="BW185" i="5"/>
  <c r="BX186" i="5" s="1"/>
  <c r="AM92" i="5"/>
  <c r="BW130" i="5"/>
  <c r="BX131" i="5" s="1"/>
  <c r="AL177" i="5"/>
  <c r="AM160" i="5"/>
  <c r="AL136" i="5"/>
  <c r="AL103" i="5"/>
  <c r="AM172" i="5"/>
  <c r="AL110" i="5"/>
  <c r="AM110" i="5"/>
  <c r="AN110" i="5"/>
  <c r="BW148" i="5"/>
  <c r="BX149" i="5" s="1"/>
  <c r="AM63" i="5"/>
  <c r="BW101" i="5"/>
  <c r="BX102" i="5" s="1"/>
  <c r="AL63" i="5"/>
  <c r="AN63" i="5"/>
  <c r="AM53" i="5"/>
  <c r="BW91" i="5"/>
  <c r="BX92" i="5" s="1"/>
  <c r="AL53" i="5"/>
  <c r="AN53" i="5"/>
  <c r="AL154" i="5"/>
  <c r="AN154" i="5"/>
  <c r="BW192" i="5"/>
  <c r="BX193" i="5" s="1"/>
  <c r="AM154" i="5"/>
  <c r="AL93" i="5"/>
  <c r="BW131" i="5"/>
  <c r="BX132" i="5" s="1"/>
  <c r="AN93" i="5"/>
  <c r="AM83" i="5"/>
  <c r="AL83" i="5"/>
  <c r="AN83" i="5"/>
  <c r="BW121" i="5"/>
  <c r="BX122" i="5" s="1"/>
  <c r="AL73" i="5"/>
  <c r="BW111" i="5"/>
  <c r="BX112" i="5" s="1"/>
  <c r="AL185" i="5"/>
  <c r="AM185" i="5"/>
  <c r="BW223" i="5"/>
  <c r="BX224" i="5" s="1"/>
  <c r="AL173" i="5"/>
  <c r="BW211" i="5"/>
  <c r="BX212" i="5" s="1"/>
  <c r="AN163" i="5"/>
  <c r="BW201" i="5"/>
  <c r="BX202" i="5" s="1"/>
  <c r="AL163" i="5"/>
  <c r="AL165" i="5"/>
  <c r="BW203" i="5"/>
  <c r="BX204" i="5" s="1"/>
  <c r="AM129" i="5"/>
  <c r="AL129" i="5"/>
  <c r="AN129" i="5"/>
  <c r="BW167" i="5"/>
  <c r="BX168" i="5" s="1"/>
  <c r="AM96" i="5"/>
  <c r="AL96" i="5"/>
  <c r="AN96" i="5"/>
  <c r="BW134" i="5"/>
  <c r="BX135" i="5" s="1"/>
  <c r="AL94" i="5"/>
  <c r="AM94" i="5"/>
  <c r="BW132" i="5"/>
  <c r="BX133" i="5" s="1"/>
  <c r="AL65" i="5"/>
  <c r="BW103" i="5"/>
  <c r="BX104" i="5" s="1"/>
  <c r="AM45" i="5"/>
  <c r="AL45" i="5"/>
  <c r="AN45" i="5"/>
  <c r="BW83" i="5"/>
  <c r="BX84" i="5" s="1"/>
  <c r="BW113" i="5"/>
  <c r="BX114" i="5" s="1"/>
  <c r="AN75" i="5"/>
  <c r="AM57" i="5"/>
  <c r="BW95" i="5"/>
  <c r="BX96" i="5" s="1"/>
  <c r="AL57" i="5"/>
  <c r="AL157" i="5"/>
  <c r="BW195" i="5"/>
  <c r="BX196" i="5" s="1"/>
  <c r="AL146" i="5"/>
  <c r="BW184" i="5"/>
  <c r="BX185" i="5" s="1"/>
  <c r="AN146" i="5"/>
  <c r="AM47" i="5"/>
  <c r="BW85" i="5"/>
  <c r="BX86" i="5" s="1"/>
  <c r="AL47" i="5"/>
  <c r="AN47" i="5"/>
  <c r="AM39" i="5"/>
  <c r="BW77" i="5"/>
  <c r="BX78" i="5" s="1"/>
  <c r="AL39" i="5"/>
  <c r="AN39" i="5"/>
  <c r="AM29" i="5"/>
  <c r="AL29" i="5"/>
  <c r="AN29" i="5"/>
  <c r="BW67" i="5"/>
  <c r="BX68" i="5" s="1"/>
  <c r="AN158" i="5"/>
  <c r="BW196" i="5"/>
  <c r="BX197" i="5" s="1"/>
  <c r="AM137" i="5"/>
  <c r="AL137" i="5"/>
  <c r="AN137" i="5"/>
  <c r="BW175" i="5"/>
  <c r="BX176" i="5" s="1"/>
  <c r="AM104" i="5"/>
  <c r="AN104" i="5"/>
  <c r="AL104" i="5"/>
  <c r="BW142" i="5"/>
  <c r="BX143" i="5" s="1"/>
  <c r="AM77" i="5"/>
  <c r="BW115" i="5"/>
  <c r="BX116" i="5" s="1"/>
  <c r="AN77" i="5"/>
  <c r="AL77" i="5"/>
  <c r="AL182" i="5"/>
  <c r="AM182" i="5"/>
  <c r="BW220" i="5"/>
  <c r="BX221" i="5" s="1"/>
  <c r="AM169" i="5"/>
  <c r="AL169" i="5"/>
  <c r="AN169" i="5"/>
  <c r="BW207" i="5"/>
  <c r="BX208" i="5" s="1"/>
  <c r="AM161" i="5"/>
  <c r="AL161" i="5"/>
  <c r="AN161" i="5"/>
  <c r="BW199" i="5"/>
  <c r="BX200" i="5" s="1"/>
  <c r="AL159" i="5"/>
  <c r="BW197" i="5"/>
  <c r="BX198" i="5" s="1"/>
  <c r="AM79" i="5"/>
  <c r="AL79" i="5"/>
  <c r="BW117" i="5"/>
  <c r="BX118" i="5" s="1"/>
  <c r="AM41" i="5"/>
  <c r="AL41" i="5"/>
  <c r="BW79" i="5"/>
  <c r="BX80" i="5" s="1"/>
  <c r="AL162" i="5"/>
  <c r="BW200" i="5"/>
  <c r="BX201" i="5" s="1"/>
  <c r="AN162" i="5"/>
  <c r="AM33" i="5"/>
  <c r="AL33" i="5"/>
  <c r="BW71" i="5"/>
  <c r="BX72" i="5" s="1"/>
  <c r="AM176" i="5"/>
  <c r="AL127" i="5"/>
  <c r="AN126" i="5"/>
  <c r="AL92" i="5"/>
  <c r="BW63" i="5"/>
  <c r="BX64" i="5" s="1"/>
  <c r="BW221" i="5"/>
  <c r="BX222" i="5" s="1"/>
  <c r="BW157" i="5"/>
  <c r="BX158" i="5" s="1"/>
  <c r="AN153" i="5"/>
  <c r="AN147" i="5"/>
  <c r="AN69" i="5"/>
  <c r="AN61" i="5"/>
  <c r="AN55" i="5"/>
  <c r="BW75" i="5"/>
  <c r="BX76" i="5" s="1"/>
  <c r="AL153" i="5"/>
  <c r="AM150" i="5"/>
  <c r="AM147" i="5"/>
  <c r="AL69" i="5"/>
  <c r="AL61" i="5"/>
  <c r="AL55" i="5"/>
  <c r="AL49" i="5"/>
  <c r="AN24" i="5"/>
  <c r="AM140" i="5"/>
  <c r="AN112" i="5"/>
  <c r="AM24" i="5"/>
  <c r="BW150" i="5"/>
  <c r="BX151" i="5" s="1"/>
  <c r="BW146" i="5"/>
  <c r="BX147" i="5" s="1"/>
  <c r="AN119" i="5"/>
  <c r="AM112" i="5"/>
  <c r="AN37" i="5"/>
  <c r="AN31" i="5"/>
  <c r="BW217" i="5"/>
  <c r="BX218" i="5" s="1"/>
  <c r="AL183" i="5"/>
  <c r="AM179" i="5"/>
  <c r="AN177" i="5"/>
  <c r="AL119" i="5"/>
  <c r="AN106" i="5"/>
  <c r="AM85" i="5"/>
  <c r="AL37" i="5"/>
  <c r="AL31" i="5"/>
  <c r="AN25" i="5"/>
  <c r="BW144" i="5"/>
  <c r="BX145" i="5" s="1"/>
  <c r="BW123" i="5"/>
  <c r="BX124" i="5" s="1"/>
  <c r="BW69" i="5"/>
  <c r="BX70" i="5" s="1"/>
  <c r="AL25" i="5"/>
  <c r="AN131" i="5"/>
  <c r="AL131" i="5"/>
  <c r="AM131" i="5"/>
  <c r="AM186" i="5"/>
  <c r="AN186" i="5"/>
  <c r="AL186" i="5"/>
  <c r="AL187" i="5"/>
  <c r="AM187" i="5"/>
  <c r="AN187" i="5"/>
  <c r="AM178" i="5"/>
  <c r="AL178" i="5"/>
  <c r="AN178" i="5"/>
  <c r="AL155" i="5"/>
  <c r="AM155" i="5"/>
  <c r="AN155" i="5"/>
  <c r="AL196" i="5"/>
  <c r="AM196" i="5"/>
  <c r="AN196" i="5"/>
  <c r="AM195" i="5"/>
  <c r="AN195" i="5"/>
  <c r="AM184" i="5"/>
  <c r="AL184" i="5"/>
  <c r="AL167" i="5"/>
  <c r="AM167" i="5"/>
  <c r="AN167" i="5"/>
  <c r="AL166" i="5"/>
  <c r="AM166" i="5"/>
  <c r="AN166" i="5"/>
  <c r="AN164" i="5"/>
  <c r="AL164" i="5"/>
  <c r="AM164" i="5"/>
  <c r="AL175" i="5"/>
  <c r="AM175" i="5"/>
  <c r="AN175" i="5"/>
  <c r="AL174" i="5"/>
  <c r="AM174" i="5"/>
  <c r="AN174" i="5"/>
  <c r="AM181" i="5"/>
  <c r="AN181" i="5"/>
  <c r="AL181" i="5"/>
  <c r="AL170" i="5"/>
  <c r="AM170" i="5"/>
  <c r="AN170" i="5"/>
  <c r="AL138" i="5"/>
  <c r="AM138" i="5"/>
  <c r="AN138" i="5"/>
  <c r="AN180" i="5"/>
  <c r="AM180" i="5"/>
  <c r="AL180" i="5"/>
  <c r="AM171" i="5"/>
  <c r="AN171" i="5"/>
  <c r="AM183" i="5"/>
  <c r="AN182" i="5"/>
  <c r="AL168" i="5"/>
  <c r="AM165" i="5"/>
  <c r="AN165" i="5"/>
  <c r="AM163" i="5"/>
  <c r="AN150" i="5"/>
  <c r="AN128" i="5"/>
  <c r="AL128" i="5"/>
  <c r="AM128" i="5"/>
  <c r="AN123" i="5"/>
  <c r="AM123" i="5"/>
  <c r="AL118" i="5"/>
  <c r="AM118" i="5"/>
  <c r="AN118" i="5"/>
  <c r="AL117" i="5"/>
  <c r="AM117" i="5"/>
  <c r="AN117" i="5"/>
  <c r="AN144" i="5"/>
  <c r="AL144" i="5"/>
  <c r="AM144" i="5"/>
  <c r="AL139" i="5"/>
  <c r="AM139" i="5"/>
  <c r="AN139" i="5"/>
  <c r="AL122" i="5"/>
  <c r="AM122" i="5"/>
  <c r="AN122" i="5"/>
  <c r="AM116" i="5"/>
  <c r="AN116" i="5"/>
  <c r="AN115" i="5"/>
  <c r="AL115" i="5"/>
  <c r="AM115" i="5"/>
  <c r="AL90" i="5"/>
  <c r="AM90" i="5"/>
  <c r="AN90" i="5"/>
  <c r="AM173" i="5"/>
  <c r="AN173" i="5"/>
  <c r="AM157" i="5"/>
  <c r="AN157" i="5"/>
  <c r="AL143" i="5"/>
  <c r="AN143" i="5"/>
  <c r="AN113" i="5"/>
  <c r="AL113" i="5"/>
  <c r="AM113" i="5"/>
  <c r="AM149" i="5"/>
  <c r="AL149" i="5"/>
  <c r="AN149" i="5"/>
  <c r="AN141" i="5"/>
  <c r="AN185" i="5"/>
  <c r="AN179" i="5"/>
  <c r="AN176" i="5"/>
  <c r="AL142" i="5"/>
  <c r="AM142" i="5"/>
  <c r="AL141" i="5"/>
  <c r="AM135" i="5"/>
  <c r="AN135" i="5"/>
  <c r="AL130" i="5"/>
  <c r="AM130" i="5"/>
  <c r="AN159" i="5"/>
  <c r="AM156" i="5"/>
  <c r="AM151" i="5"/>
  <c r="AL134" i="5"/>
  <c r="AN134" i="5"/>
  <c r="AL125" i="5"/>
  <c r="AM125" i="5"/>
  <c r="AN125" i="5"/>
  <c r="AL172" i="5"/>
  <c r="AM168" i="5"/>
  <c r="AM162" i="5"/>
  <c r="AM159" i="5"/>
  <c r="AL158" i="5"/>
  <c r="AM158" i="5"/>
  <c r="AL156" i="5"/>
  <c r="AL151" i="5"/>
  <c r="AM145" i="5"/>
  <c r="AL145" i="5"/>
  <c r="AN145" i="5"/>
  <c r="AL123" i="5"/>
  <c r="AL120" i="5"/>
  <c r="AM120" i="5"/>
  <c r="AN120" i="5"/>
  <c r="AN111" i="5"/>
  <c r="AL111" i="5"/>
  <c r="AM111" i="5"/>
  <c r="AM152" i="5"/>
  <c r="AM146" i="5"/>
  <c r="AM126" i="5"/>
  <c r="AL107" i="5"/>
  <c r="AN107" i="5"/>
  <c r="AM107" i="5"/>
  <c r="AL106" i="5"/>
  <c r="AM100" i="5"/>
  <c r="AN100" i="5"/>
  <c r="AL100" i="5"/>
  <c r="AM148" i="5"/>
  <c r="AM132" i="5"/>
  <c r="AN132" i="5"/>
  <c r="AM114" i="5"/>
  <c r="AN114" i="5"/>
  <c r="AM98" i="5"/>
  <c r="AL98" i="5"/>
  <c r="AN98" i="5"/>
  <c r="AL148" i="5"/>
  <c r="AL109" i="5"/>
  <c r="AM109" i="5"/>
  <c r="AN109" i="5"/>
  <c r="AL99" i="5"/>
  <c r="AN99" i="5"/>
  <c r="AM99" i="5"/>
  <c r="AL133" i="5"/>
  <c r="AM133" i="5"/>
  <c r="AM124" i="5"/>
  <c r="AN124" i="5"/>
  <c r="AL105" i="5"/>
  <c r="AN105" i="5"/>
  <c r="AM105" i="5"/>
  <c r="AM108" i="5"/>
  <c r="AN108" i="5"/>
  <c r="AL102" i="5"/>
  <c r="AM102" i="5"/>
  <c r="AL87" i="5"/>
  <c r="AM87" i="5"/>
  <c r="AN87" i="5"/>
  <c r="AL84" i="5"/>
  <c r="AM84" i="5"/>
  <c r="AN84" i="5"/>
  <c r="AN94" i="5"/>
  <c r="AN85" i="5"/>
  <c r="AL97" i="5"/>
  <c r="AM97" i="5"/>
  <c r="AN97" i="5"/>
  <c r="AL86" i="5"/>
  <c r="AM86" i="5"/>
  <c r="AN86" i="5"/>
  <c r="AL89" i="5"/>
  <c r="AM89" i="5"/>
  <c r="AN89" i="5"/>
  <c r="AM81" i="5"/>
  <c r="AL81" i="5"/>
  <c r="AN81" i="5"/>
  <c r="AL101" i="5"/>
  <c r="AM101" i="5"/>
  <c r="AN88" i="5"/>
  <c r="AL88" i="5"/>
  <c r="AM88" i="5"/>
  <c r="AN80" i="5"/>
  <c r="AL80" i="5"/>
  <c r="AM80" i="5"/>
  <c r="AM71" i="5"/>
  <c r="AL71" i="5"/>
  <c r="AN71" i="5"/>
  <c r="AL91" i="5"/>
  <c r="AN91" i="5"/>
  <c r="AM93" i="5"/>
  <c r="AN92" i="5"/>
  <c r="AL67" i="5"/>
  <c r="AM67" i="5"/>
  <c r="AN67" i="5"/>
  <c r="AL74" i="5"/>
  <c r="AM74" i="5"/>
  <c r="AN74" i="5"/>
  <c r="AM73" i="5"/>
  <c r="AN73" i="5"/>
  <c r="AL68" i="5"/>
  <c r="AM68" i="5"/>
  <c r="AN68" i="5"/>
  <c r="AL62" i="5"/>
  <c r="AM62" i="5"/>
  <c r="AN62" i="5"/>
  <c r="AL54" i="5"/>
  <c r="AM54" i="5"/>
  <c r="AN54" i="5"/>
  <c r="AL46" i="5"/>
  <c r="AM46" i="5"/>
  <c r="AN46" i="5"/>
  <c r="AL38" i="5"/>
  <c r="AM38" i="5"/>
  <c r="AN38" i="5"/>
  <c r="AL30" i="5"/>
  <c r="AM30" i="5"/>
  <c r="AN30" i="5"/>
  <c r="AM21" i="5"/>
  <c r="AN21" i="5"/>
  <c r="AL23" i="5"/>
  <c r="AM23" i="5"/>
  <c r="AN23" i="5"/>
  <c r="AL66" i="5"/>
  <c r="AM66" i="5"/>
  <c r="AN66" i="5"/>
  <c r="AM65" i="5"/>
  <c r="AN65" i="5"/>
  <c r="AL59" i="5"/>
  <c r="AM59" i="5"/>
  <c r="AN59" i="5"/>
  <c r="AL51" i="5"/>
  <c r="AM51" i="5"/>
  <c r="AN51" i="5"/>
  <c r="AL43" i="5"/>
  <c r="AM43" i="5"/>
  <c r="AN43" i="5"/>
  <c r="AL35" i="5"/>
  <c r="AM35" i="5"/>
  <c r="AN35" i="5"/>
  <c r="AL27" i="5"/>
  <c r="AM27" i="5"/>
  <c r="AN27" i="5"/>
  <c r="AL22" i="5"/>
  <c r="AM22" i="5"/>
  <c r="AN22" i="5"/>
  <c r="AL82" i="5"/>
  <c r="AN82" i="5"/>
  <c r="AL76" i="5"/>
  <c r="AN76" i="5"/>
  <c r="AL75" i="5"/>
  <c r="AM75" i="5"/>
  <c r="AL70" i="5"/>
  <c r="AN70" i="5"/>
  <c r="AL60" i="5"/>
  <c r="AM60" i="5"/>
  <c r="AN60" i="5"/>
  <c r="AL58" i="5"/>
  <c r="AM58" i="5"/>
  <c r="AN58" i="5"/>
  <c r="AL52" i="5"/>
  <c r="AM52" i="5"/>
  <c r="AN52" i="5"/>
  <c r="AL50" i="5"/>
  <c r="AM50" i="5"/>
  <c r="AN50" i="5"/>
  <c r="AL44" i="5"/>
  <c r="AM44" i="5"/>
  <c r="AN44" i="5"/>
  <c r="AL42" i="5"/>
  <c r="AM42" i="5"/>
  <c r="AN42" i="5"/>
  <c r="AL36" i="5"/>
  <c r="AM36" i="5"/>
  <c r="AN36" i="5"/>
  <c r="AL34" i="5"/>
  <c r="AM34" i="5"/>
  <c r="AN34" i="5"/>
  <c r="AL28" i="5"/>
  <c r="AM28" i="5"/>
  <c r="AN28" i="5"/>
  <c r="AL26" i="5"/>
  <c r="AM26" i="5"/>
  <c r="AN26" i="5"/>
  <c r="AN79" i="5"/>
  <c r="AL78" i="5"/>
  <c r="AN78" i="5"/>
  <c r="AN72" i="5"/>
  <c r="AL72" i="5"/>
  <c r="AN64" i="5"/>
  <c r="AL64" i="5"/>
  <c r="AN56" i="5"/>
  <c r="AL56" i="5"/>
  <c r="AN48" i="5"/>
  <c r="AL48" i="5"/>
  <c r="AN40" i="5"/>
  <c r="AL40" i="5"/>
  <c r="AN32" i="5"/>
  <c r="AL32" i="5"/>
  <c r="AN57" i="5"/>
  <c r="AN49" i="5"/>
  <c r="AN41" i="5"/>
  <c r="AN33" i="5"/>
  <c r="AG210" i="5" l="1"/>
  <c r="AR307" i="5"/>
  <c r="AF55" i="5"/>
  <c r="AI54" i="5"/>
  <c r="AI140" i="5"/>
  <c r="U1" i="5"/>
  <c r="U2" i="5"/>
  <c r="BF74" i="5"/>
  <c r="BG74" i="5" s="1"/>
  <c r="AK208" i="5"/>
  <c r="AH25" i="5"/>
  <c r="AK209" i="5"/>
  <c r="AF205" i="5"/>
  <c r="AI209" i="5"/>
  <c r="AF206" i="5"/>
  <c r="AG206" i="5"/>
  <c r="AG209" i="5"/>
  <c r="AH207" i="5"/>
  <c r="AJ207" i="5"/>
  <c r="AK203" i="5"/>
  <c r="AI208" i="5"/>
  <c r="AH211" i="5"/>
  <c r="U8" i="5"/>
  <c r="AJ119" i="5"/>
  <c r="U32" i="5"/>
  <c r="BC307" i="5"/>
  <c r="AK201" i="5"/>
  <c r="AH193" i="5"/>
  <c r="AH189" i="5"/>
  <c r="AG203" i="5"/>
  <c r="AK206" i="5"/>
  <c r="AK192" i="5"/>
  <c r="AJ206" i="5"/>
  <c r="AQ307" i="5"/>
  <c r="AS307" i="5"/>
  <c r="U161" i="5"/>
  <c r="BA305" i="5"/>
  <c r="AG25" i="5"/>
  <c r="AF136" i="5"/>
  <c r="AJ210" i="5"/>
  <c r="AF210" i="5"/>
  <c r="AK198" i="5"/>
  <c r="AF203" i="5"/>
  <c r="AH206" i="5"/>
  <c r="AI206" i="5"/>
  <c r="AG208" i="5"/>
  <c r="AJ208" i="5"/>
  <c r="AK210" i="5"/>
  <c r="AH210" i="5"/>
  <c r="AI202" i="5"/>
  <c r="AI203" i="5"/>
  <c r="AJ211" i="5"/>
  <c r="AF208" i="5"/>
  <c r="AH209" i="5"/>
  <c r="AJ209" i="5"/>
  <c r="AI210" i="5"/>
  <c r="AH208" i="5"/>
  <c r="AH203" i="5"/>
  <c r="AK200" i="5"/>
  <c r="AF211" i="5"/>
  <c r="AG211" i="5"/>
  <c r="AI211" i="5"/>
  <c r="AK211" i="5"/>
  <c r="AF207" i="5"/>
  <c r="AK207" i="5"/>
  <c r="AG207" i="5"/>
  <c r="AI207" i="5"/>
  <c r="AF209" i="5"/>
  <c r="AG160" i="5"/>
  <c r="AG41" i="5"/>
  <c r="AH49" i="5"/>
  <c r="AJ198" i="5"/>
  <c r="AJ190" i="5"/>
  <c r="AI200" i="5"/>
  <c r="AJ203" i="5"/>
  <c r="AK202" i="5"/>
  <c r="AH202" i="5"/>
  <c r="AJ193" i="5"/>
  <c r="AK190" i="5"/>
  <c r="AI198" i="5"/>
  <c r="AI191" i="5"/>
  <c r="AG200" i="5"/>
  <c r="AF202" i="5"/>
  <c r="AG192" i="5"/>
  <c r="AI192" i="5"/>
  <c r="AF192" i="5"/>
  <c r="AH192" i="5"/>
  <c r="AF198" i="5"/>
  <c r="AH198" i="5"/>
  <c r="AF199" i="5"/>
  <c r="AH199" i="5"/>
  <c r="AG199" i="5"/>
  <c r="AI199" i="5"/>
  <c r="AK199" i="5"/>
  <c r="AG202" i="5"/>
  <c r="AF191" i="5"/>
  <c r="AH191" i="5"/>
  <c r="AJ191" i="5"/>
  <c r="AJ199" i="5"/>
  <c r="AI205" i="5"/>
  <c r="AK189" i="5"/>
  <c r="AF197" i="5"/>
  <c r="AH197" i="5"/>
  <c r="AJ197" i="5"/>
  <c r="AF194" i="5"/>
  <c r="AH194" i="5"/>
  <c r="AJ194" i="5"/>
  <c r="AG194" i="5"/>
  <c r="AI194" i="5"/>
  <c r="AK194" i="5"/>
  <c r="AG205" i="5"/>
  <c r="AI189" i="5"/>
  <c r="AG197" i="5"/>
  <c r="AJ202" i="5"/>
  <c r="AG191" i="5"/>
  <c r="AF200" i="5"/>
  <c r="AH200" i="5"/>
  <c r="AJ200" i="5"/>
  <c r="AG201" i="5"/>
  <c r="AI201" i="5"/>
  <c r="AF201" i="5"/>
  <c r="AH201" i="5"/>
  <c r="AJ201" i="5"/>
  <c r="AK205" i="5"/>
  <c r="AH205" i="5"/>
  <c r="AG189" i="5"/>
  <c r="AK197" i="5"/>
  <c r="AK191" i="5"/>
  <c r="AJ205" i="5"/>
  <c r="AG188" i="5"/>
  <c r="AI188" i="5"/>
  <c r="AK188" i="5"/>
  <c r="AF188" i="5"/>
  <c r="AH188" i="5"/>
  <c r="AJ188" i="5"/>
  <c r="AJ189" i="5"/>
  <c r="AI197" i="5"/>
  <c r="AG198" i="5"/>
  <c r="AG193" i="5"/>
  <c r="AI193" i="5"/>
  <c r="AK193" i="5"/>
  <c r="AF193" i="5"/>
  <c r="AG204" i="5"/>
  <c r="AI204" i="5"/>
  <c r="AK204" i="5"/>
  <c r="AF204" i="5"/>
  <c r="AH204" i="5"/>
  <c r="AJ204" i="5"/>
  <c r="AF189" i="5"/>
  <c r="AF190" i="5"/>
  <c r="AH190" i="5"/>
  <c r="AG190" i="5"/>
  <c r="AI190" i="5"/>
  <c r="AJ192" i="5"/>
  <c r="AI136" i="5"/>
  <c r="AH160" i="5"/>
  <c r="AJ127" i="5"/>
  <c r="AI110" i="5"/>
  <c r="AI176" i="5"/>
  <c r="AK129" i="5"/>
  <c r="AJ85" i="5"/>
  <c r="AH103" i="5"/>
  <c r="AF39" i="5"/>
  <c r="AG146" i="5"/>
  <c r="AI39" i="5"/>
  <c r="AJ53" i="5"/>
  <c r="AH110" i="5"/>
  <c r="AG55" i="5"/>
  <c r="AF129" i="5"/>
  <c r="AF83" i="5"/>
  <c r="AJ69" i="5"/>
  <c r="AH106" i="5"/>
  <c r="AH55" i="5"/>
  <c r="AJ55" i="5"/>
  <c r="AI55" i="5"/>
  <c r="AK25" i="5"/>
  <c r="AI119" i="5"/>
  <c r="AG129" i="5"/>
  <c r="AJ112" i="5"/>
  <c r="AH53" i="5"/>
  <c r="AI93" i="5"/>
  <c r="AI96" i="5"/>
  <c r="AJ143" i="5"/>
  <c r="AI47" i="5"/>
  <c r="AG110" i="5"/>
  <c r="AI160" i="5"/>
  <c r="AF25" i="5"/>
  <c r="AJ110" i="5"/>
  <c r="AG161" i="5"/>
  <c r="AJ96" i="5"/>
  <c r="AJ147" i="5"/>
  <c r="AK156" i="5"/>
  <c r="AJ150" i="5"/>
  <c r="AG127" i="5"/>
  <c r="AH39" i="5"/>
  <c r="AI45" i="5"/>
  <c r="AF53" i="5"/>
  <c r="AF110" i="5"/>
  <c r="AI121" i="5"/>
  <c r="AG53" i="5"/>
  <c r="AI53" i="5"/>
  <c r="AG39" i="5"/>
  <c r="AK110" i="5"/>
  <c r="AI31" i="5"/>
  <c r="AH77" i="5"/>
  <c r="AI95" i="5"/>
  <c r="AK121" i="5"/>
  <c r="AI33" i="5"/>
  <c r="AH127" i="5"/>
  <c r="AH31" i="5"/>
  <c r="AF96" i="5"/>
  <c r="AG112" i="5"/>
  <c r="AG95" i="5"/>
  <c r="AI179" i="5"/>
  <c r="AJ131" i="5"/>
  <c r="AF31" i="5"/>
  <c r="AG153" i="5"/>
  <c r="AG47" i="5"/>
  <c r="AK96" i="5"/>
  <c r="AH95" i="5"/>
  <c r="AK112" i="5"/>
  <c r="AJ95" i="5"/>
  <c r="AI112" i="5"/>
  <c r="AH147" i="5"/>
  <c r="AG96" i="5"/>
  <c r="AK53" i="5"/>
  <c r="AH117" i="5"/>
  <c r="AI137" i="5"/>
  <c r="AH151" i="5"/>
  <c r="AJ171" i="5"/>
  <c r="AF127" i="5"/>
  <c r="AG94" i="5"/>
  <c r="AI77" i="5"/>
  <c r="AK137" i="5"/>
  <c r="AJ29" i="5"/>
  <c r="AJ103" i="5"/>
  <c r="AJ31" i="5"/>
  <c r="AG120" i="5"/>
  <c r="AH186" i="5"/>
  <c r="AF113" i="5"/>
  <c r="AI85" i="5"/>
  <c r="AF130" i="5"/>
  <c r="AJ47" i="5"/>
  <c r="AK153" i="5"/>
  <c r="AJ90" i="5"/>
  <c r="AF77" i="5"/>
  <c r="AI57" i="5"/>
  <c r="AI186" i="5"/>
  <c r="AK55" i="5"/>
  <c r="AJ121" i="5"/>
  <c r="AF47" i="5"/>
  <c r="AG31" i="5"/>
  <c r="AF131" i="5"/>
  <c r="AK47" i="5"/>
  <c r="AJ65" i="5"/>
  <c r="AH86" i="5"/>
  <c r="AG102" i="5"/>
  <c r="AI103" i="5"/>
  <c r="AF103" i="5"/>
  <c r="AH100" i="5"/>
  <c r="AI195" i="5"/>
  <c r="AK21" i="5"/>
  <c r="AZ21" i="5" s="1"/>
  <c r="AH21" i="5"/>
  <c r="AK85" i="5"/>
  <c r="AF173" i="5"/>
  <c r="AJ160" i="5"/>
  <c r="AG136" i="5"/>
  <c r="AH140" i="5"/>
  <c r="AK140" i="5"/>
  <c r="AG140" i="5"/>
  <c r="AG195" i="5"/>
  <c r="AF140" i="5"/>
  <c r="AG69" i="5"/>
  <c r="AK145" i="5"/>
  <c r="AG128" i="5"/>
  <c r="AH47" i="5"/>
  <c r="AF48" i="5"/>
  <c r="AJ130" i="5"/>
  <c r="AK157" i="5"/>
  <c r="AG117" i="5"/>
  <c r="AJ140" i="5"/>
  <c r="AK163" i="5"/>
  <c r="AH113" i="5"/>
  <c r="AH153" i="5"/>
  <c r="AK160" i="5"/>
  <c r="AG147" i="5"/>
  <c r="AF56" i="5"/>
  <c r="AI127" i="5"/>
  <c r="AI169" i="5"/>
  <c r="AG137" i="5"/>
  <c r="AK39" i="5"/>
  <c r="AJ129" i="5"/>
  <c r="AG154" i="5"/>
  <c r="AG103" i="5"/>
  <c r="AF75" i="5"/>
  <c r="AF138" i="5"/>
  <c r="AF164" i="5"/>
  <c r="AJ167" i="5"/>
  <c r="AH131" i="5"/>
  <c r="AH136" i="5"/>
  <c r="AH143" i="5"/>
  <c r="AJ184" i="5"/>
  <c r="AI21" i="5"/>
  <c r="AF69" i="5"/>
  <c r="AH69" i="5"/>
  <c r="AK69" i="5"/>
  <c r="AH85" i="5"/>
  <c r="AH73" i="5"/>
  <c r="AJ39" i="5"/>
  <c r="AK95" i="5"/>
  <c r="AI159" i="5"/>
  <c r="AF125" i="5"/>
  <c r="AH129" i="5"/>
  <c r="AF137" i="5"/>
  <c r="AI69" i="5"/>
  <c r="AI61" i="5"/>
  <c r="AK103" i="5"/>
  <c r="AJ98" i="5"/>
  <c r="AJ162" i="5"/>
  <c r="AG116" i="5"/>
  <c r="AK165" i="5"/>
  <c r="AJ24" i="5"/>
  <c r="AH137" i="5"/>
  <c r="AI129" i="5"/>
  <c r="AF79" i="5"/>
  <c r="AH35" i="5"/>
  <c r="AI147" i="5"/>
  <c r="AF169" i="5"/>
  <c r="AF101" i="5"/>
  <c r="AG85" i="5"/>
  <c r="AH97" i="5"/>
  <c r="AK146" i="5"/>
  <c r="AF107" i="5"/>
  <c r="AJ172" i="5"/>
  <c r="AF147" i="5"/>
  <c r="AI182" i="5"/>
  <c r="AJ153" i="5"/>
  <c r="AK136" i="5"/>
  <c r="AF160" i="5"/>
  <c r="AK183" i="5"/>
  <c r="AG81" i="5"/>
  <c r="AK164" i="5"/>
  <c r="AH121" i="5"/>
  <c r="AJ21" i="5"/>
  <c r="AF40" i="5"/>
  <c r="AF117" i="5"/>
  <c r="AG171" i="5"/>
  <c r="AK77" i="5"/>
  <c r="AF98" i="5"/>
  <c r="AK100" i="5"/>
  <c r="AF132" i="5"/>
  <c r="AK117" i="5"/>
  <c r="AG141" i="5"/>
  <c r="AH90" i="5"/>
  <c r="AF122" i="5"/>
  <c r="AI144" i="5"/>
  <c r="AH167" i="5"/>
  <c r="AK31" i="5"/>
  <c r="AG177" i="5"/>
  <c r="AH112" i="5"/>
  <c r="AH41" i="5"/>
  <c r="AH161" i="5"/>
  <c r="AK182" i="5"/>
  <c r="AK45" i="5"/>
  <c r="AI153" i="5"/>
  <c r="AF153" i="5"/>
  <c r="AI24" i="5"/>
  <c r="AJ67" i="5"/>
  <c r="AJ94" i="5"/>
  <c r="AJ113" i="5"/>
  <c r="AH162" i="5"/>
  <c r="AH123" i="5"/>
  <c r="AH170" i="5"/>
  <c r="AK29" i="5"/>
  <c r="AH96" i="5"/>
  <c r="AF59" i="5"/>
  <c r="AI116" i="5"/>
  <c r="AH98" i="5"/>
  <c r="AH102" i="5"/>
  <c r="AK116" i="5"/>
  <c r="AK128" i="5"/>
  <c r="AG139" i="5"/>
  <c r="AK169" i="5"/>
  <c r="AI155" i="5"/>
  <c r="AH150" i="5"/>
  <c r="AG121" i="5"/>
  <c r="AH51" i="5"/>
  <c r="AG71" i="5"/>
  <c r="AF88" i="5"/>
  <c r="AI149" i="5"/>
  <c r="AG174" i="5"/>
  <c r="AI25" i="5"/>
  <c r="AG169" i="5"/>
  <c r="AJ169" i="5"/>
  <c r="AJ63" i="5"/>
  <c r="AJ136" i="5"/>
  <c r="AK135" i="5"/>
  <c r="AJ116" i="5"/>
  <c r="AF178" i="5"/>
  <c r="AF24" i="5"/>
  <c r="AF119" i="5"/>
  <c r="AH37" i="5"/>
  <c r="AJ77" i="5"/>
  <c r="AF121" i="5"/>
  <c r="AJ51" i="5"/>
  <c r="AH57" i="5"/>
  <c r="AJ84" i="5"/>
  <c r="AJ108" i="5"/>
  <c r="AG165" i="5"/>
  <c r="AI118" i="5"/>
  <c r="AK171" i="5"/>
  <c r="AI164" i="5"/>
  <c r="AG77" i="5"/>
  <c r="AG104" i="5"/>
  <c r="AK83" i="5"/>
  <c r="AK49" i="5"/>
  <c r="AF67" i="5"/>
  <c r="AK41" i="5"/>
  <c r="AH45" i="5"/>
  <c r="AK27" i="5"/>
  <c r="AH65" i="5"/>
  <c r="AF45" i="5"/>
  <c r="AI94" i="5"/>
  <c r="AF94" i="5"/>
  <c r="AG93" i="5"/>
  <c r="AI114" i="5"/>
  <c r="AI132" i="5"/>
  <c r="AI100" i="5"/>
  <c r="AG123" i="5"/>
  <c r="AH158" i="5"/>
  <c r="AK151" i="5"/>
  <c r="AI157" i="5"/>
  <c r="AH157" i="5"/>
  <c r="AF179" i="5"/>
  <c r="AH180" i="5"/>
  <c r="AI128" i="5"/>
  <c r="AJ157" i="5"/>
  <c r="AH63" i="5"/>
  <c r="AH154" i="5"/>
  <c r="AK127" i="5"/>
  <c r="AJ83" i="5"/>
  <c r="AJ41" i="5"/>
  <c r="AI37" i="5"/>
  <c r="AF58" i="5"/>
  <c r="AF22" i="5"/>
  <c r="AG43" i="5"/>
  <c r="AF23" i="5"/>
  <c r="AG59" i="5"/>
  <c r="AK125" i="5"/>
  <c r="AK99" i="5"/>
  <c r="AG149" i="5"/>
  <c r="AJ145" i="5"/>
  <c r="AI156" i="5"/>
  <c r="AK177" i="5"/>
  <c r="AK143" i="5"/>
  <c r="AK161" i="5"/>
  <c r="AF150" i="5"/>
  <c r="AK162" i="5"/>
  <c r="AK180" i="5"/>
  <c r="AJ166" i="5"/>
  <c r="AK195" i="5"/>
  <c r="AH187" i="5"/>
  <c r="AJ165" i="5"/>
  <c r="AK147" i="5"/>
  <c r="AF161" i="5"/>
  <c r="AG24" i="5"/>
  <c r="AH104" i="5"/>
  <c r="AH24" i="5"/>
  <c r="AF177" i="5"/>
  <c r="AG29" i="5"/>
  <c r="AG45" i="5"/>
  <c r="AF72" i="5"/>
  <c r="AI29" i="5"/>
  <c r="AH75" i="5"/>
  <c r="AJ45" i="5"/>
  <c r="AJ59" i="5"/>
  <c r="AF66" i="5"/>
  <c r="AF29" i="5"/>
  <c r="AF71" i="5"/>
  <c r="AG125" i="5"/>
  <c r="AI150" i="5"/>
  <c r="AF171" i="5"/>
  <c r="AJ182" i="5"/>
  <c r="AK175" i="5"/>
  <c r="AK196" i="5"/>
  <c r="AK37" i="5"/>
  <c r="AK61" i="5"/>
  <c r="AK63" i="5"/>
  <c r="AK24" i="5"/>
  <c r="AZ27" i="5" s="1"/>
  <c r="AH61" i="5"/>
  <c r="AG83" i="5"/>
  <c r="AF104" i="5"/>
  <c r="AK149" i="5"/>
  <c r="AI185" i="5"/>
  <c r="AI83" i="5"/>
  <c r="AJ25" i="5"/>
  <c r="AF154" i="5"/>
  <c r="AG61" i="5"/>
  <c r="AH29" i="5"/>
  <c r="AF35" i="5"/>
  <c r="AJ61" i="5"/>
  <c r="AF37" i="5"/>
  <c r="AF61" i="5"/>
  <c r="AJ81" i="5"/>
  <c r="AK104" i="5"/>
  <c r="AH89" i="5"/>
  <c r="AH105" i="5"/>
  <c r="AI104" i="5"/>
  <c r="AJ135" i="5"/>
  <c r="AH142" i="5"/>
  <c r="AK150" i="5"/>
  <c r="AH173" i="5"/>
  <c r="AH177" i="5"/>
  <c r="AH181" i="5"/>
  <c r="AF196" i="5"/>
  <c r="AJ195" i="5"/>
  <c r="AJ161" i="5"/>
  <c r="AH119" i="5"/>
  <c r="AH83" i="5"/>
  <c r="AJ104" i="5"/>
  <c r="AH169" i="5"/>
  <c r="AF112" i="5"/>
  <c r="AG37" i="5"/>
  <c r="AF63" i="5"/>
  <c r="AJ37" i="5"/>
  <c r="AG63" i="5"/>
  <c r="AG21" i="5"/>
  <c r="AV21" i="5" s="1"/>
  <c r="AI63" i="5"/>
  <c r="AJ102" i="5"/>
  <c r="AJ139" i="5"/>
  <c r="AG100" i="5"/>
  <c r="AG157" i="5"/>
  <c r="AF162" i="5"/>
  <c r="AK154" i="5"/>
  <c r="AJ123" i="5"/>
  <c r="AG150" i="5"/>
  <c r="AI173" i="5"/>
  <c r="AF116" i="5"/>
  <c r="AF128" i="5"/>
  <c r="AK168" i="5"/>
  <c r="AI177" i="5"/>
  <c r="AI181" i="5"/>
  <c r="AJ177" i="5"/>
  <c r="AF195" i="5"/>
  <c r="AK119" i="5"/>
  <c r="AJ137" i="5"/>
  <c r="AJ154" i="5"/>
  <c r="AJ49" i="5"/>
  <c r="AF26" i="5"/>
  <c r="AF21" i="5"/>
  <c r="AG67" i="5"/>
  <c r="AI88" i="5"/>
  <c r="AK94" i="5"/>
  <c r="AJ122" i="5"/>
  <c r="AI120" i="5"/>
  <c r="AF144" i="5"/>
  <c r="AH195" i="5"/>
  <c r="AI161" i="5"/>
  <c r="AG119" i="5"/>
  <c r="AI154" i="5"/>
  <c r="AH91" i="5"/>
  <c r="AJ91" i="5"/>
  <c r="AG91" i="5"/>
  <c r="AI91" i="5"/>
  <c r="AF114" i="5"/>
  <c r="AG180" i="5"/>
  <c r="AJ27" i="5"/>
  <c r="AJ40" i="5"/>
  <c r="AG40" i="5"/>
  <c r="AK40" i="5"/>
  <c r="AH40" i="5"/>
  <c r="AI40" i="5"/>
  <c r="AJ72" i="5"/>
  <c r="AI72" i="5"/>
  <c r="AK72" i="5"/>
  <c r="AH72" i="5"/>
  <c r="AG72" i="5"/>
  <c r="AK43" i="5"/>
  <c r="AK59" i="5"/>
  <c r="AK75" i="5"/>
  <c r="AI50" i="5"/>
  <c r="AJ50" i="5"/>
  <c r="AG50" i="5"/>
  <c r="AK50" i="5"/>
  <c r="AH50" i="5"/>
  <c r="AI73" i="5"/>
  <c r="AF51" i="5"/>
  <c r="AG33" i="5"/>
  <c r="AG54" i="5"/>
  <c r="AK54" i="5"/>
  <c r="AH54" i="5"/>
  <c r="AF54" i="5"/>
  <c r="AJ54" i="5"/>
  <c r="AF91" i="5"/>
  <c r="AI80" i="5"/>
  <c r="AJ80" i="5"/>
  <c r="AG80" i="5"/>
  <c r="AK80" i="5"/>
  <c r="AH80" i="5"/>
  <c r="AF85" i="5"/>
  <c r="AG88" i="5"/>
  <c r="AI86" i="5"/>
  <c r="AG86" i="5"/>
  <c r="AK86" i="5"/>
  <c r="AJ86" i="5"/>
  <c r="AF86" i="5"/>
  <c r="AF65" i="5"/>
  <c r="AH108" i="5"/>
  <c r="AK102" i="5"/>
  <c r="AH114" i="5"/>
  <c r="AF139" i="5"/>
  <c r="AJ133" i="5"/>
  <c r="AF133" i="5"/>
  <c r="AH133" i="5"/>
  <c r="AK93" i="5"/>
  <c r="AF99" i="5"/>
  <c r="AH139" i="5"/>
  <c r="AH163" i="5"/>
  <c r="AK114" i="5"/>
  <c r="AH159" i="5"/>
  <c r="AJ159" i="5"/>
  <c r="AH175" i="5"/>
  <c r="AH116" i="5"/>
  <c r="AF181" i="5"/>
  <c r="AG114" i="5"/>
  <c r="AH185" i="5"/>
  <c r="AI180" i="5"/>
  <c r="AK185" i="5"/>
  <c r="AI171" i="5"/>
  <c r="AF165" i="5"/>
  <c r="AI42" i="5"/>
  <c r="AJ42" i="5"/>
  <c r="AG42" i="5"/>
  <c r="AK42" i="5"/>
  <c r="AH42" i="5"/>
  <c r="AI74" i="5"/>
  <c r="AK74" i="5"/>
  <c r="AG74" i="5"/>
  <c r="AH74" i="5"/>
  <c r="AJ74" i="5"/>
  <c r="AF74" i="5"/>
  <c r="AJ32" i="5"/>
  <c r="AG32" i="5"/>
  <c r="AK32" i="5"/>
  <c r="AH32" i="5"/>
  <c r="AI32" i="5"/>
  <c r="AJ64" i="5"/>
  <c r="AG64" i="5"/>
  <c r="AK64" i="5"/>
  <c r="AH64" i="5"/>
  <c r="AI64" i="5"/>
  <c r="AG73" i="5"/>
  <c r="AF32" i="5"/>
  <c r="AF64" i="5"/>
  <c r="AG78" i="5"/>
  <c r="AK78" i="5"/>
  <c r="AI78" i="5"/>
  <c r="AJ78" i="5"/>
  <c r="AF78" i="5"/>
  <c r="AH78" i="5"/>
  <c r="AI34" i="5"/>
  <c r="AJ34" i="5"/>
  <c r="AG34" i="5"/>
  <c r="AK34" i="5"/>
  <c r="AH34" i="5"/>
  <c r="AH60" i="5"/>
  <c r="AI60" i="5"/>
  <c r="AF60" i="5"/>
  <c r="AJ60" i="5"/>
  <c r="AK60" i="5"/>
  <c r="AG60" i="5"/>
  <c r="AJ73" i="5"/>
  <c r="AF27" i="5"/>
  <c r="AG46" i="5"/>
  <c r="AK46" i="5"/>
  <c r="AH46" i="5"/>
  <c r="AI46" i="5"/>
  <c r="AJ46" i="5"/>
  <c r="AF46" i="5"/>
  <c r="AG57" i="5"/>
  <c r="AH68" i="5"/>
  <c r="AI68" i="5"/>
  <c r="AG68" i="5"/>
  <c r="AJ68" i="5"/>
  <c r="AK68" i="5"/>
  <c r="AF68" i="5"/>
  <c r="AG75" i="5"/>
  <c r="AH27" i="5"/>
  <c r="AH43" i="5"/>
  <c r="AH59" i="5"/>
  <c r="AJ71" i="5"/>
  <c r="AJ92" i="5"/>
  <c r="AF92" i="5"/>
  <c r="AK81" i="5"/>
  <c r="AI27" i="5"/>
  <c r="AI35" i="5"/>
  <c r="AK92" i="5"/>
  <c r="AG108" i="5"/>
  <c r="AI87" i="5"/>
  <c r="AG87" i="5"/>
  <c r="AK118" i="5"/>
  <c r="AF89" i="5"/>
  <c r="AI109" i="5"/>
  <c r="AH109" i="5"/>
  <c r="AK109" i="5"/>
  <c r="AG109" i="5"/>
  <c r="AH87" i="5"/>
  <c r="AK132" i="5"/>
  <c r="AK126" i="5"/>
  <c r="AI126" i="5"/>
  <c r="AJ126" i="5"/>
  <c r="AF126" i="5"/>
  <c r="AI152" i="5"/>
  <c r="AJ152" i="5"/>
  <c r="AF152" i="5"/>
  <c r="AK152" i="5"/>
  <c r="AG152" i="5"/>
  <c r="AI108" i="5"/>
  <c r="AI158" i="5"/>
  <c r="AF158" i="5"/>
  <c r="AK158" i="5"/>
  <c r="AG158" i="5"/>
  <c r="AG134" i="5"/>
  <c r="AK134" i="5"/>
  <c r="AI134" i="5"/>
  <c r="AF142" i="5"/>
  <c r="AH125" i="5"/>
  <c r="AI90" i="5"/>
  <c r="AG90" i="5"/>
  <c r="AK90" i="5"/>
  <c r="AI122" i="5"/>
  <c r="AK122" i="5"/>
  <c r="AG122" i="5"/>
  <c r="AH122" i="5"/>
  <c r="AF118" i="5"/>
  <c r="AG118" i="5"/>
  <c r="AJ118" i="5"/>
  <c r="AG162" i="5"/>
  <c r="AF123" i="5"/>
  <c r="AH165" i="5"/>
  <c r="AI196" i="5"/>
  <c r="AF182" i="5"/>
  <c r="AH171" i="5"/>
  <c r="AK176" i="5"/>
  <c r="AI187" i="5"/>
  <c r="AG182" i="5"/>
  <c r="AF157" i="5"/>
  <c r="AI172" i="5"/>
  <c r="AH82" i="5"/>
  <c r="AI82" i="5"/>
  <c r="AJ82" i="5"/>
  <c r="AK82" i="5"/>
  <c r="AG82" i="5"/>
  <c r="AG35" i="5"/>
  <c r="AI148" i="5"/>
  <c r="AF148" i="5"/>
  <c r="AK148" i="5"/>
  <c r="AG148" i="5"/>
  <c r="AH148" i="5"/>
  <c r="AJ148" i="5"/>
  <c r="AF141" i="5"/>
  <c r="AH141" i="5"/>
  <c r="AJ141" i="5"/>
  <c r="AI145" i="5"/>
  <c r="AJ43" i="5"/>
  <c r="AJ75" i="5"/>
  <c r="AK33" i="5"/>
  <c r="AI26" i="5"/>
  <c r="AJ26" i="5"/>
  <c r="AG26" i="5"/>
  <c r="AK26" i="5"/>
  <c r="AZ29" i="5" s="1"/>
  <c r="AH26" i="5"/>
  <c r="AH52" i="5"/>
  <c r="AI52" i="5"/>
  <c r="AF52" i="5"/>
  <c r="AJ52" i="5"/>
  <c r="AK52" i="5"/>
  <c r="AG52" i="5"/>
  <c r="AF57" i="5"/>
  <c r="AG27" i="5"/>
  <c r="AF73" i="5"/>
  <c r="AI101" i="5"/>
  <c r="AH101" i="5"/>
  <c r="AK101" i="5"/>
  <c r="AG101" i="5"/>
  <c r="AI49" i="5"/>
  <c r="AH92" i="5"/>
  <c r="AI75" i="5"/>
  <c r="AF90" i="5"/>
  <c r="AH124" i="5"/>
  <c r="AJ124" i="5"/>
  <c r="AF124" i="5"/>
  <c r="AG124" i="5"/>
  <c r="AG92" i="5"/>
  <c r="AH118" i="5"/>
  <c r="AK91" i="5"/>
  <c r="AH120" i="5"/>
  <c r="AJ120" i="5"/>
  <c r="AF120" i="5"/>
  <c r="AI130" i="5"/>
  <c r="AK130" i="5"/>
  <c r="AG130" i="5"/>
  <c r="AI142" i="5"/>
  <c r="AK142" i="5"/>
  <c r="AG142" i="5"/>
  <c r="AK123" i="5"/>
  <c r="AK139" i="5"/>
  <c r="AF163" i="5"/>
  <c r="AI141" i="5"/>
  <c r="AJ163" i="5"/>
  <c r="AK124" i="5"/>
  <c r="AJ183" i="5"/>
  <c r="AF183" i="5"/>
  <c r="AK181" i="5"/>
  <c r="AI163" i="5"/>
  <c r="AF176" i="5"/>
  <c r="AG184" i="5"/>
  <c r="AK184" i="5"/>
  <c r="AH184" i="5"/>
  <c r="AH196" i="5"/>
  <c r="AH172" i="5"/>
  <c r="AK179" i="5"/>
  <c r="AF186" i="5"/>
  <c r="AJ186" i="5"/>
  <c r="AG186" i="5"/>
  <c r="AK186" i="5"/>
  <c r="AJ181" i="5"/>
  <c r="AF175" i="5"/>
  <c r="AG175" i="5"/>
  <c r="AI175" i="5"/>
  <c r="AK155" i="5"/>
  <c r="AG155" i="5"/>
  <c r="AK187" i="5"/>
  <c r="AJ33" i="5"/>
  <c r="AJ56" i="5"/>
  <c r="AG56" i="5"/>
  <c r="AK56" i="5"/>
  <c r="AH56" i="5"/>
  <c r="AI56" i="5"/>
  <c r="AI65" i="5"/>
  <c r="AK35" i="5"/>
  <c r="AK51" i="5"/>
  <c r="AH67" i="5"/>
  <c r="AH44" i="5"/>
  <c r="AI44" i="5"/>
  <c r="AF44" i="5"/>
  <c r="AJ44" i="5"/>
  <c r="AK44" i="5"/>
  <c r="AG44" i="5"/>
  <c r="AK65" i="5"/>
  <c r="AH76" i="5"/>
  <c r="AI76" i="5"/>
  <c r="AF76" i="5"/>
  <c r="AK76" i="5"/>
  <c r="AJ76" i="5"/>
  <c r="AG76" i="5"/>
  <c r="AF49" i="5"/>
  <c r="AG38" i="5"/>
  <c r="AK38" i="5"/>
  <c r="AH38" i="5"/>
  <c r="AI38" i="5"/>
  <c r="AJ38" i="5"/>
  <c r="AF38" i="5"/>
  <c r="AG49" i="5"/>
  <c r="AI71" i="5"/>
  <c r="AI79" i="5"/>
  <c r="AI41" i="5"/>
  <c r="AI51" i="5"/>
  <c r="AK67" i="5"/>
  <c r="AI89" i="5"/>
  <c r="AG89" i="5"/>
  <c r="AK89" i="5"/>
  <c r="AJ89" i="5"/>
  <c r="AG23" i="5"/>
  <c r="AI59" i="5"/>
  <c r="AJ114" i="5"/>
  <c r="AH79" i="5"/>
  <c r="AH94" i="5"/>
  <c r="AJ109" i="5"/>
  <c r="AI124" i="5"/>
  <c r="AH126" i="5"/>
  <c r="AF93" i="5"/>
  <c r="AK133" i="5"/>
  <c r="AJ100" i="5"/>
  <c r="AF100" i="5"/>
  <c r="AI43" i="5"/>
  <c r="AJ107" i="5"/>
  <c r="AH107" i="5"/>
  <c r="AI107" i="5"/>
  <c r="AK107" i="5"/>
  <c r="AG133" i="5"/>
  <c r="AH111" i="5"/>
  <c r="AJ111" i="5"/>
  <c r="AF111" i="5"/>
  <c r="AG111" i="5"/>
  <c r="AI139" i="5"/>
  <c r="AF134" i="5"/>
  <c r="AH152" i="5"/>
  <c r="AH145" i="5"/>
  <c r="AI111" i="5"/>
  <c r="AF115" i="5"/>
  <c r="AJ115" i="5"/>
  <c r="AI115" i="5"/>
  <c r="AK115" i="5"/>
  <c r="AG115" i="5"/>
  <c r="AH115" i="5"/>
  <c r="AI125" i="5"/>
  <c r="AK111" i="5"/>
  <c r="AI165" i="5"/>
  <c r="AH166" i="5"/>
  <c r="AH179" i="5"/>
  <c r="AI183" i="5"/>
  <c r="AJ158" i="5"/>
  <c r="AH176" i="5"/>
  <c r="AF167" i="5"/>
  <c r="AK167" i="5"/>
  <c r="AG167" i="5"/>
  <c r="AI167" i="5"/>
  <c r="AI135" i="5"/>
  <c r="AG176" i="5"/>
  <c r="AG106" i="5"/>
  <c r="AK106" i="5"/>
  <c r="AJ35" i="5"/>
  <c r="AI23" i="5"/>
  <c r="AF87" i="5"/>
  <c r="AH36" i="5"/>
  <c r="AI36" i="5"/>
  <c r="AF36" i="5"/>
  <c r="AJ36" i="5"/>
  <c r="AK36" i="5"/>
  <c r="AG36" i="5"/>
  <c r="AI67" i="5"/>
  <c r="AH22" i="5"/>
  <c r="AI22" i="5"/>
  <c r="AJ22" i="5"/>
  <c r="AG22" i="5"/>
  <c r="AK22" i="5"/>
  <c r="AZ22" i="5" s="1"/>
  <c r="AF41" i="5"/>
  <c r="AF50" i="5"/>
  <c r="AJ87" i="5"/>
  <c r="AG51" i="5"/>
  <c r="AH81" i="5"/>
  <c r="AH33" i="5"/>
  <c r="AG65" i="5"/>
  <c r="AK79" i="5"/>
  <c r="AJ88" i="5"/>
  <c r="AH88" i="5"/>
  <c r="AH71" i="5"/>
  <c r="AI97" i="5"/>
  <c r="AG97" i="5"/>
  <c r="AK97" i="5"/>
  <c r="AJ97" i="5"/>
  <c r="AF97" i="5"/>
  <c r="AK120" i="5"/>
  <c r="AK71" i="5"/>
  <c r="AJ99" i="5"/>
  <c r="AH99" i="5"/>
  <c r="AI99" i="5"/>
  <c r="AG99" i="5"/>
  <c r="AF109" i="5"/>
  <c r="AG151" i="5"/>
  <c r="AI151" i="5"/>
  <c r="AK141" i="5"/>
  <c r="AF155" i="5"/>
  <c r="AJ155" i="5"/>
  <c r="AJ173" i="5"/>
  <c r="AG173" i="5"/>
  <c r="AJ132" i="5"/>
  <c r="AJ144" i="5"/>
  <c r="AG144" i="5"/>
  <c r="AH144" i="5"/>
  <c r="AK144" i="5"/>
  <c r="AJ125" i="5"/>
  <c r="AJ151" i="5"/>
  <c r="AJ128" i="5"/>
  <c r="AH128" i="5"/>
  <c r="AF151" i="5"/>
  <c r="AH168" i="5"/>
  <c r="AJ168" i="5"/>
  <c r="AI168" i="5"/>
  <c r="AF168" i="5"/>
  <c r="AG168" i="5"/>
  <c r="AG179" i="5"/>
  <c r="AH183" i="5"/>
  <c r="AI138" i="5"/>
  <c r="AJ138" i="5"/>
  <c r="AG138" i="5"/>
  <c r="AK138" i="5"/>
  <c r="AH138" i="5"/>
  <c r="AG170" i="5"/>
  <c r="AK170" i="5"/>
  <c r="AI170" i="5"/>
  <c r="AJ170" i="5"/>
  <c r="AF170" i="5"/>
  <c r="AG185" i="5"/>
  <c r="AJ175" i="5"/>
  <c r="AI162" i="5"/>
  <c r="AJ196" i="5"/>
  <c r="AJ164" i="5"/>
  <c r="AH164" i="5"/>
  <c r="AG164" i="5"/>
  <c r="AG172" i="5"/>
  <c r="AJ185" i="5"/>
  <c r="AG135" i="5"/>
  <c r="AJ179" i="5"/>
  <c r="AG196" i="5"/>
  <c r="AI166" i="5"/>
  <c r="AG166" i="5"/>
  <c r="AF166" i="5"/>
  <c r="AK166" i="5"/>
  <c r="AJ48" i="5"/>
  <c r="AG48" i="5"/>
  <c r="AK48" i="5"/>
  <c r="AH48" i="5"/>
  <c r="AI48" i="5"/>
  <c r="AJ57" i="5"/>
  <c r="AH28" i="5"/>
  <c r="AI28" i="5"/>
  <c r="AF28" i="5"/>
  <c r="AJ28" i="5"/>
  <c r="AK28" i="5"/>
  <c r="AZ31" i="5" s="1"/>
  <c r="AG28" i="5"/>
  <c r="AG79" i="5"/>
  <c r="AF33" i="5"/>
  <c r="AF42" i="5"/>
  <c r="AI66" i="5"/>
  <c r="AJ66" i="5"/>
  <c r="AH66" i="5"/>
  <c r="AG66" i="5"/>
  <c r="AK66" i="5"/>
  <c r="AF43" i="5"/>
  <c r="AG30" i="5"/>
  <c r="AK30" i="5"/>
  <c r="AZ34" i="5" s="1"/>
  <c r="AH30" i="5"/>
  <c r="AI30" i="5"/>
  <c r="AJ30" i="5"/>
  <c r="AF30" i="5"/>
  <c r="AG62" i="5"/>
  <c r="AK62" i="5"/>
  <c r="AH62" i="5"/>
  <c r="AI62" i="5"/>
  <c r="AJ62" i="5"/>
  <c r="AF62" i="5"/>
  <c r="AJ79" i="5"/>
  <c r="AK73" i="5"/>
  <c r="AF106" i="5"/>
  <c r="AF81" i="5"/>
  <c r="AG105" i="5"/>
  <c r="AK105" i="5"/>
  <c r="AJ105" i="5"/>
  <c r="AF105" i="5"/>
  <c r="AI105" i="5"/>
  <c r="AH93" i="5"/>
  <c r="AK98" i="5"/>
  <c r="AG98" i="5"/>
  <c r="AG145" i="5"/>
  <c r="AH146" i="5"/>
  <c r="AJ146" i="5"/>
  <c r="AF146" i="5"/>
  <c r="AF108" i="5"/>
  <c r="AG132" i="5"/>
  <c r="AH155" i="5"/>
  <c r="AJ142" i="5"/>
  <c r="AG107" i="5"/>
  <c r="AJ93" i="5"/>
  <c r="AY155" i="5" s="1"/>
  <c r="AJ149" i="5"/>
  <c r="AH149" i="5"/>
  <c r="AF149" i="5"/>
  <c r="AK113" i="5"/>
  <c r="AG113" i="5"/>
  <c r="AI113" i="5"/>
  <c r="AH132" i="5"/>
  <c r="AH135" i="5"/>
  <c r="AI98" i="5"/>
  <c r="AF187" i="5"/>
  <c r="AK172" i="5"/>
  <c r="AG187" i="5"/>
  <c r="AJ176" i="5"/>
  <c r="AK159" i="5"/>
  <c r="AI174" i="5"/>
  <c r="AJ174" i="5"/>
  <c r="AF174" i="5"/>
  <c r="AK174" i="5"/>
  <c r="AH174" i="5"/>
  <c r="AG181" i="5"/>
  <c r="AJ187" i="5"/>
  <c r="AF135" i="5"/>
  <c r="AF184" i="5"/>
  <c r="AI178" i="5"/>
  <c r="AG178" i="5"/>
  <c r="AK178" i="5"/>
  <c r="AH178" i="5"/>
  <c r="AG183" i="5"/>
  <c r="AK131" i="5"/>
  <c r="AI131" i="5"/>
  <c r="AG131" i="5"/>
  <c r="AH23" i="5"/>
  <c r="AK57" i="5"/>
  <c r="AJ23" i="5"/>
  <c r="AI58" i="5"/>
  <c r="AJ58" i="5"/>
  <c r="AG58" i="5"/>
  <c r="AK58" i="5"/>
  <c r="AH58" i="5"/>
  <c r="AG70" i="5"/>
  <c r="AK70" i="5"/>
  <c r="AH70" i="5"/>
  <c r="AI70" i="5"/>
  <c r="AF70" i="5"/>
  <c r="AJ70" i="5"/>
  <c r="AF80" i="5"/>
  <c r="AK23" i="5"/>
  <c r="AF34" i="5"/>
  <c r="AI81" i="5"/>
  <c r="AK87" i="5"/>
  <c r="AK88" i="5"/>
  <c r="AI92" i="5"/>
  <c r="AK108" i="5"/>
  <c r="AF82" i="5"/>
  <c r="AG84" i="5"/>
  <c r="AK84" i="5"/>
  <c r="AI84" i="5"/>
  <c r="AF84" i="5"/>
  <c r="AH84" i="5"/>
  <c r="AF102" i="5"/>
  <c r="AI102" i="5"/>
  <c r="AI133" i="5"/>
  <c r="AI106" i="5"/>
  <c r="AJ106" i="5"/>
  <c r="AI146" i="5"/>
  <c r="AJ134" i="5"/>
  <c r="AJ156" i="5"/>
  <c r="AG156" i="5"/>
  <c r="AH156" i="5"/>
  <c r="AG126" i="5"/>
  <c r="AF145" i="5"/>
  <c r="AG163" i="5"/>
  <c r="AI123" i="5"/>
  <c r="AG159" i="5"/>
  <c r="AF143" i="5"/>
  <c r="AI143" i="5"/>
  <c r="AG143" i="5"/>
  <c r="AH134" i="5"/>
  <c r="AI117" i="5"/>
  <c r="AJ117" i="5"/>
  <c r="AF159" i="5"/>
  <c r="AJ101" i="5"/>
  <c r="AH130" i="5"/>
  <c r="AF156" i="5"/>
  <c r="AF172" i="5"/>
  <c r="AF180" i="5"/>
  <c r="AJ180" i="5"/>
  <c r="AI184" i="5"/>
  <c r="AK173" i="5"/>
  <c r="AH182" i="5"/>
  <c r="AJ178" i="5"/>
  <c r="AF185" i="5"/>
  <c r="AZ37" i="5" l="1"/>
  <c r="AW155" i="5"/>
  <c r="AZ51" i="5"/>
  <c r="J154" i="5"/>
  <c r="J194" i="5"/>
  <c r="J43" i="5"/>
  <c r="J51" i="5"/>
  <c r="J42" i="5"/>
  <c r="J130" i="5"/>
  <c r="J89" i="5"/>
  <c r="J189" i="5"/>
  <c r="J181" i="5"/>
  <c r="J30" i="5"/>
  <c r="J121" i="5"/>
  <c r="J120" i="5"/>
  <c r="J109" i="5"/>
  <c r="J118" i="5"/>
  <c r="J94" i="5"/>
  <c r="J91" i="5"/>
  <c r="J144" i="5"/>
  <c r="J52" i="5"/>
  <c r="J195" i="5"/>
  <c r="J70" i="5"/>
  <c r="J53" i="5"/>
  <c r="J77" i="5"/>
  <c r="J73" i="5"/>
  <c r="J95" i="5"/>
  <c r="J162" i="5"/>
  <c r="J119" i="5"/>
  <c r="J39" i="5"/>
  <c r="J99" i="5"/>
  <c r="J104" i="5"/>
  <c r="J62" i="5"/>
  <c r="J93" i="5"/>
  <c r="J196" i="5"/>
  <c r="J155" i="5"/>
  <c r="J114" i="5"/>
  <c r="J59" i="5"/>
  <c r="J166" i="5"/>
  <c r="J169" i="5"/>
  <c r="J50" i="5"/>
  <c r="J115" i="5"/>
  <c r="J191" i="5"/>
  <c r="J151" i="5"/>
  <c r="J98" i="5"/>
  <c r="J174" i="5"/>
  <c r="J46" i="5"/>
  <c r="J38" i="5"/>
  <c r="J54" i="5"/>
  <c r="J86" i="5"/>
  <c r="J79" i="5"/>
  <c r="J177" i="5"/>
  <c r="J96" i="5"/>
  <c r="J124" i="5"/>
  <c r="J85" i="5"/>
  <c r="J192" i="5"/>
  <c r="J82" i="5"/>
  <c r="J101" i="5"/>
  <c r="J41" i="5"/>
  <c r="J142" i="5"/>
  <c r="J123" i="5"/>
  <c r="J35" i="5"/>
  <c r="J171" i="5"/>
  <c r="J75" i="5"/>
  <c r="J186" i="5"/>
  <c r="J31" i="5"/>
  <c r="J97" i="5"/>
  <c r="J107" i="5"/>
  <c r="J116" i="5"/>
  <c r="J88" i="5"/>
  <c r="J57" i="5"/>
  <c r="J140" i="5"/>
  <c r="J165" i="5"/>
  <c r="J111" i="5"/>
  <c r="J152" i="5"/>
  <c r="J158" i="5"/>
  <c r="J117" i="5"/>
  <c r="J164" i="5"/>
  <c r="J184" i="5"/>
  <c r="J157" i="5"/>
  <c r="J69" i="5"/>
  <c r="J153" i="5"/>
  <c r="J72" i="5"/>
  <c r="J44" i="5"/>
  <c r="J113" i="5"/>
  <c r="J67" i="5"/>
  <c r="J64" i="5"/>
  <c r="J71" i="5"/>
  <c r="J37" i="5"/>
  <c r="J176" i="5"/>
  <c r="J66" i="5"/>
  <c r="J132" i="5"/>
  <c r="J161" i="5"/>
  <c r="J87" i="5"/>
  <c r="J148" i="5"/>
  <c r="J60" i="5"/>
  <c r="J137" i="5"/>
  <c r="J131" i="5"/>
  <c r="J112" i="5"/>
  <c r="J56" i="5"/>
  <c r="J105" i="5"/>
  <c r="J34" i="5"/>
  <c r="J48" i="5"/>
  <c r="J168" i="5"/>
  <c r="J183" i="5"/>
  <c r="J179" i="5"/>
  <c r="J102" i="5"/>
  <c r="J100" i="5"/>
  <c r="J125" i="5"/>
  <c r="J180" i="5"/>
  <c r="J188" i="5"/>
  <c r="J126" i="5"/>
  <c r="J146" i="5"/>
  <c r="J139" i="5"/>
  <c r="J92" i="5"/>
  <c r="J175" i="5"/>
  <c r="J160" i="5"/>
  <c r="J106" i="5"/>
  <c r="J143" i="5"/>
  <c r="J58" i="5"/>
  <c r="J150" i="5"/>
  <c r="J36" i="5"/>
  <c r="J83" i="5"/>
  <c r="J163" i="5"/>
  <c r="J170" i="5"/>
  <c r="J159" i="5"/>
  <c r="J76" i="5"/>
  <c r="J128" i="5"/>
  <c r="J49" i="5"/>
  <c r="J110" i="5"/>
  <c r="J173" i="5"/>
  <c r="J182" i="5"/>
  <c r="J138" i="5"/>
  <c r="J193" i="5"/>
  <c r="J45" i="5"/>
  <c r="J185" i="5"/>
  <c r="J172" i="5"/>
  <c r="J133" i="5"/>
  <c r="J167" i="5"/>
  <c r="J135" i="5"/>
  <c r="J190" i="5"/>
  <c r="J108" i="5"/>
  <c r="J63" i="5"/>
  <c r="J81" i="5"/>
  <c r="J103" i="5"/>
  <c r="J33" i="5"/>
  <c r="J68" i="5"/>
  <c r="J178" i="5"/>
  <c r="J134" i="5"/>
  <c r="J78" i="5"/>
  <c r="J147" i="5"/>
  <c r="J149" i="5"/>
  <c r="J122" i="5"/>
  <c r="J40" i="5"/>
  <c r="J90" i="5"/>
  <c r="J47" i="5"/>
  <c r="J129" i="5"/>
  <c r="J61" i="5"/>
  <c r="J127" i="5"/>
  <c r="J55" i="5"/>
  <c r="J74" i="5"/>
  <c r="J80" i="5"/>
  <c r="J32" i="5"/>
  <c r="J187" i="5"/>
  <c r="J141" i="5"/>
  <c r="J156" i="5"/>
  <c r="J84" i="5"/>
  <c r="J65" i="5"/>
  <c r="J136" i="5"/>
  <c r="J145" i="5"/>
  <c r="AZ155" i="5"/>
  <c r="AV155" i="5"/>
  <c r="AX155" i="5"/>
  <c r="AU155" i="5"/>
  <c r="AW108" i="5"/>
  <c r="AZ108" i="5"/>
  <c r="AX108" i="5"/>
  <c r="AV108" i="5"/>
  <c r="AY108" i="5"/>
  <c r="AZ26" i="5"/>
  <c r="AZ38" i="5"/>
  <c r="AZ28" i="5"/>
  <c r="AZ32" i="5"/>
  <c r="AZ35" i="5"/>
  <c r="AZ36" i="5"/>
  <c r="AZ30" i="5"/>
  <c r="AU108" i="5"/>
  <c r="AY242" i="5"/>
  <c r="AY109" i="5"/>
  <c r="AX98" i="5"/>
  <c r="J208" i="5"/>
  <c r="J210" i="5"/>
  <c r="J204" i="5"/>
  <c r="J209" i="5"/>
  <c r="J207" i="5"/>
  <c r="J211" i="5"/>
  <c r="J205" i="5"/>
  <c r="AU21" i="5"/>
  <c r="AZ248" i="5"/>
  <c r="AX291" i="5"/>
  <c r="AZ42" i="5"/>
  <c r="AY235" i="5"/>
  <c r="BF75" i="5"/>
  <c r="BF72" i="5" s="1"/>
  <c r="BF71" i="5"/>
  <c r="S9" i="5"/>
  <c r="AY279" i="5"/>
  <c r="AX34" i="5"/>
  <c r="AW37" i="5"/>
  <c r="AY22" i="5"/>
  <c r="AV43" i="5"/>
  <c r="AX43" i="5"/>
  <c r="AX52" i="5"/>
  <c r="AX30" i="5"/>
  <c r="AV38" i="5"/>
  <c r="AV36" i="5"/>
  <c r="AV37" i="5"/>
  <c r="AX51" i="5"/>
  <c r="AY28" i="5"/>
  <c r="AW27" i="5"/>
  <c r="AX28" i="5"/>
  <c r="AY21" i="5"/>
  <c r="AV35" i="5"/>
  <c r="AX37" i="5"/>
  <c r="AX35" i="5"/>
  <c r="AY26" i="5"/>
  <c r="AW34" i="5"/>
  <c r="AV31" i="5"/>
  <c r="AX31" i="5"/>
  <c r="AV301" i="5"/>
  <c r="AX22" i="5"/>
  <c r="AV26" i="5"/>
  <c r="AY37" i="5"/>
  <c r="AV29" i="5"/>
  <c r="AV42" i="5"/>
  <c r="AY38" i="5"/>
  <c r="AX36" i="5"/>
  <c r="AY36" i="5"/>
  <c r="AW51" i="5"/>
  <c r="AY30" i="5"/>
  <c r="AW32" i="5"/>
  <c r="AX27" i="5"/>
  <c r="AX21" i="5"/>
  <c r="AW21" i="5"/>
  <c r="AY32" i="5"/>
  <c r="AW26" i="5"/>
  <c r="AW31" i="5"/>
  <c r="AW22" i="5"/>
  <c r="AY29" i="5"/>
  <c r="AW38" i="5"/>
  <c r="AX38" i="5"/>
  <c r="AW36" i="5"/>
  <c r="AV53" i="5"/>
  <c r="AV32" i="5"/>
  <c r="AW44" i="5"/>
  <c r="AW42" i="5"/>
  <c r="AY27" i="5"/>
  <c r="AW35" i="5"/>
  <c r="AW28" i="5"/>
  <c r="AY34" i="5"/>
  <c r="AV34" i="5"/>
  <c r="AY31" i="5"/>
  <c r="AW293" i="5"/>
  <c r="AX299" i="5"/>
  <c r="AX26" i="5"/>
  <c r="AV30" i="5"/>
  <c r="AW29" i="5"/>
  <c r="AX29" i="5"/>
  <c r="AX42" i="5"/>
  <c r="AW30" i="5"/>
  <c r="AY53" i="5"/>
  <c r="AV51" i="5"/>
  <c r="AX32" i="5"/>
  <c r="AY35" i="5"/>
  <c r="AV28" i="5"/>
  <c r="AZ71" i="5"/>
  <c r="AX67" i="5"/>
  <c r="AU26" i="5"/>
  <c r="AU28" i="5"/>
  <c r="AU32" i="5"/>
  <c r="AU29" i="5"/>
  <c r="AU51" i="5"/>
  <c r="AU27" i="5"/>
  <c r="AU35" i="5"/>
  <c r="AY217" i="5"/>
  <c r="AW97" i="5"/>
  <c r="AV67" i="5"/>
  <c r="AX72" i="5"/>
  <c r="AZ67" i="5"/>
  <c r="AW69" i="5"/>
  <c r="AW165" i="5"/>
  <c r="AV82" i="5"/>
  <c r="AV72" i="5"/>
  <c r="AW67" i="5"/>
  <c r="AZ69" i="5"/>
  <c r="AV69" i="5"/>
  <c r="AV22" i="5"/>
  <c r="AU22" i="5"/>
  <c r="AY72" i="5"/>
  <c r="AY119" i="5"/>
  <c r="AU169" i="5"/>
  <c r="AX168" i="5"/>
  <c r="AV71" i="5"/>
  <c r="AV283" i="5"/>
  <c r="AV229" i="5"/>
  <c r="AX71" i="5"/>
  <c r="BJ68" i="5"/>
  <c r="AW71" i="5"/>
  <c r="AY69" i="5"/>
  <c r="AZ53" i="5"/>
  <c r="AZ271" i="5"/>
  <c r="AW235" i="5"/>
  <c r="AW45" i="5"/>
  <c r="AV132" i="5"/>
  <c r="AX304" i="5"/>
  <c r="AY44" i="5"/>
  <c r="AW300" i="5"/>
  <c r="AW52" i="5"/>
  <c r="AY48" i="5"/>
  <c r="AZ70" i="5"/>
  <c r="AV70" i="5"/>
  <c r="AV48" i="5"/>
  <c r="AU48" i="5"/>
  <c r="AW72" i="5"/>
  <c r="AW43" i="5"/>
  <c r="AU44" i="5"/>
  <c r="AY71" i="5"/>
  <c r="AY42" i="5"/>
  <c r="AV247" i="5"/>
  <c r="AZ45" i="5"/>
  <c r="AW132" i="5"/>
  <c r="AY67" i="5"/>
  <c r="AW53" i="5"/>
  <c r="AX53" i="5"/>
  <c r="AY51" i="5"/>
  <c r="AX275" i="5"/>
  <c r="AU42" i="5"/>
  <c r="AX235" i="5"/>
  <c r="AU165" i="5"/>
  <c r="AZ72" i="5"/>
  <c r="AZ216" i="5"/>
  <c r="AZ68" i="5"/>
  <c r="AV216" i="5"/>
  <c r="AU71" i="5"/>
  <c r="AV52" i="5"/>
  <c r="AY168" i="5"/>
  <c r="AY272" i="5"/>
  <c r="AZ43" i="5"/>
  <c r="AY45" i="5"/>
  <c r="AV45" i="5"/>
  <c r="AZ314" i="5"/>
  <c r="AZ316" i="5"/>
  <c r="AV268" i="5"/>
  <c r="AX119" i="5"/>
  <c r="AW91" i="5"/>
  <c r="AU235" i="5"/>
  <c r="AV44" i="5"/>
  <c r="AY68" i="5"/>
  <c r="AV68" i="5"/>
  <c r="AX44" i="5"/>
  <c r="AW68" i="5"/>
  <c r="AY140" i="5"/>
  <c r="AZ48" i="5"/>
  <c r="AW70" i="5"/>
  <c r="AX68" i="5"/>
  <c r="AX70" i="5"/>
  <c r="AX48" i="5"/>
  <c r="AY165" i="5"/>
  <c r="AV291" i="5"/>
  <c r="AX311" i="5"/>
  <c r="AY301" i="5"/>
  <c r="AV272" i="5"/>
  <c r="AY43" i="5"/>
  <c r="AY282" i="5"/>
  <c r="AX45" i="5"/>
  <c r="AZ119" i="5"/>
  <c r="AX69" i="5"/>
  <c r="AU216" i="5"/>
  <c r="AZ44" i="5"/>
  <c r="AZ290" i="5"/>
  <c r="AZ176" i="5"/>
  <c r="AV54" i="5"/>
  <c r="AY52" i="5"/>
  <c r="AU68" i="5"/>
  <c r="AZ52" i="5"/>
  <c r="AY237" i="5"/>
  <c r="AU70" i="5"/>
  <c r="AY70" i="5"/>
  <c r="AU168" i="5"/>
  <c r="AW48" i="5"/>
  <c r="AZ306" i="5"/>
  <c r="AX249" i="5"/>
  <c r="AZ283" i="5"/>
  <c r="AW269" i="5"/>
  <c r="AX307" i="5"/>
  <c r="AY198" i="5"/>
  <c r="AX211" i="5"/>
  <c r="AX91" i="5"/>
  <c r="AX283" i="5"/>
  <c r="AV299" i="5"/>
  <c r="AY248" i="5"/>
  <c r="AW279" i="5"/>
  <c r="AV293" i="5"/>
  <c r="AZ226" i="5"/>
  <c r="AW299" i="5"/>
  <c r="BH68" i="5"/>
  <c r="AW297" i="5"/>
  <c r="BJ40" i="5"/>
  <c r="AY273" i="5"/>
  <c r="AW113" i="5"/>
  <c r="BG53" i="5"/>
  <c r="AX165" i="5"/>
  <c r="AZ268" i="5"/>
  <c r="AV224" i="5"/>
  <c r="AX273" i="5"/>
  <c r="AY283" i="5"/>
  <c r="AY77" i="5"/>
  <c r="AZ250" i="5"/>
  <c r="AZ240" i="5"/>
  <c r="AZ218" i="5"/>
  <c r="AY98" i="5"/>
  <c r="AZ231" i="5"/>
  <c r="AY218" i="5"/>
  <c r="AZ293" i="5"/>
  <c r="AZ261" i="5"/>
  <c r="AZ247" i="5"/>
  <c r="AZ297" i="5"/>
  <c r="AW317" i="5"/>
  <c r="AX225" i="5"/>
  <c r="AU250" i="5"/>
  <c r="AX250" i="5"/>
  <c r="AT305" i="5"/>
  <c r="AV305" i="5" s="1"/>
  <c r="AQ305" i="5"/>
  <c r="AR305" i="5"/>
  <c r="AS305" i="5"/>
  <c r="BC305" i="5"/>
  <c r="AX240" i="5"/>
  <c r="AZ311" i="5"/>
  <c r="AY293" i="5"/>
  <c r="AZ301" i="5"/>
  <c r="AV176" i="5"/>
  <c r="AW314" i="5"/>
  <c r="AV198" i="5"/>
  <c r="AY132" i="5"/>
  <c r="AZ277" i="5"/>
  <c r="AY316" i="5"/>
  <c r="AX277" i="5"/>
  <c r="AX217" i="5"/>
  <c r="AV140" i="5"/>
  <c r="AW109" i="5"/>
  <c r="AV249" i="5"/>
  <c r="AX301" i="5"/>
  <c r="AY174" i="5"/>
  <c r="AX198" i="5"/>
  <c r="BK68" i="5"/>
  <c r="AV91" i="5"/>
  <c r="AZ165" i="5"/>
  <c r="AZ235" i="5"/>
  <c r="AX208" i="5"/>
  <c r="AV314" i="5"/>
  <c r="AY299" i="5"/>
  <c r="BH45" i="5"/>
  <c r="BI31" i="5"/>
  <c r="AW218" i="5"/>
  <c r="AX268" i="5"/>
  <c r="AY113" i="5"/>
  <c r="AX315" i="5"/>
  <c r="AW216" i="5"/>
  <c r="AY297" i="5"/>
  <c r="AX247" i="5"/>
  <c r="BK43" i="5"/>
  <c r="AZ196" i="5" s="1"/>
  <c r="AV208" i="5"/>
  <c r="AZ175" i="5"/>
  <c r="AV109" i="5"/>
  <c r="AX272" i="5"/>
  <c r="AY211" i="5"/>
  <c r="BH31" i="5"/>
  <c r="AW261" i="5"/>
  <c r="AW189" i="5"/>
  <c r="AY306" i="5"/>
  <c r="AW248" i="5"/>
  <c r="AZ140" i="5"/>
  <c r="AV316" i="5"/>
  <c r="AZ189" i="5"/>
  <c r="AV117" i="5"/>
  <c r="AW176" i="5"/>
  <c r="AY224" i="5"/>
  <c r="AU203" i="5"/>
  <c r="AX218" i="5"/>
  <c r="AX161" i="5"/>
  <c r="AW237" i="5"/>
  <c r="AW140" i="5"/>
  <c r="AW306" i="5"/>
  <c r="AX306" i="5"/>
  <c r="AW242" i="5"/>
  <c r="BG68" i="5"/>
  <c r="AV218" i="5"/>
  <c r="AZ273" i="5"/>
  <c r="AW283" i="5"/>
  <c r="AW77" i="5"/>
  <c r="AY289" i="5"/>
  <c r="AU310" i="5"/>
  <c r="AV164" i="5"/>
  <c r="AX297" i="5"/>
  <c r="AX227" i="5"/>
  <c r="AX282" i="5"/>
  <c r="AY229" i="5"/>
  <c r="AZ299" i="5"/>
  <c r="AW203" i="5"/>
  <c r="AY311" i="5"/>
  <c r="AV240" i="5"/>
  <c r="AV189" i="5"/>
  <c r="AV297" i="5"/>
  <c r="AW281" i="5"/>
  <c r="AZ249" i="5"/>
  <c r="AY226" i="5"/>
  <c r="AW303" i="5"/>
  <c r="AX224" i="5"/>
  <c r="AW227" i="5"/>
  <c r="AV248" i="5"/>
  <c r="AZ210" i="5"/>
  <c r="AV271" i="5"/>
  <c r="AV281" i="5"/>
  <c r="AZ307" i="5"/>
  <c r="AZ267" i="5"/>
  <c r="AZ289" i="5"/>
  <c r="AX293" i="5"/>
  <c r="AY250" i="5"/>
  <c r="AW225" i="5"/>
  <c r="AZ217" i="5"/>
  <c r="AX317" i="5"/>
  <c r="AU300" i="5"/>
  <c r="AX236" i="5"/>
  <c r="AU227" i="5"/>
  <c r="AW250" i="5"/>
  <c r="AY236" i="5"/>
  <c r="AW274" i="5"/>
  <c r="AV217" i="5"/>
  <c r="AU240" i="5"/>
  <c r="AW272" i="5"/>
  <c r="AZ203" i="5"/>
  <c r="AV274" i="5"/>
  <c r="AW231" i="5"/>
  <c r="AY271" i="5"/>
  <c r="AV289" i="5"/>
  <c r="AV236" i="5"/>
  <c r="AY261" i="5"/>
  <c r="AV227" i="5"/>
  <c r="AX231" i="5"/>
  <c r="AY122" i="5"/>
  <c r="AV311" i="5"/>
  <c r="AY269" i="5"/>
  <c r="AW277" i="5"/>
  <c r="AY189" i="5"/>
  <c r="AV304" i="5"/>
  <c r="AX176" i="5"/>
  <c r="AX298" i="5"/>
  <c r="AW211" i="5"/>
  <c r="AW273" i="5"/>
  <c r="AZ132" i="5"/>
  <c r="AY291" i="5"/>
  <c r="AZ225" i="5"/>
  <c r="AV237" i="5"/>
  <c r="AW226" i="5"/>
  <c r="AX82" i="5"/>
  <c r="AV317" i="5"/>
  <c r="AV290" i="5"/>
  <c r="AW224" i="5"/>
  <c r="AV282" i="5"/>
  <c r="BI43" i="5"/>
  <c r="AX196" i="5" s="1"/>
  <c r="AX229" i="5"/>
  <c r="BG43" i="5"/>
  <c r="AV196" i="5" s="1"/>
  <c r="AW307" i="5"/>
  <c r="AW291" i="5"/>
  <c r="AW247" i="5"/>
  <c r="AW210" i="5"/>
  <c r="AY275" i="5"/>
  <c r="AY310" i="5"/>
  <c r="AY225" i="5"/>
  <c r="AY317" i="5"/>
  <c r="AY295" i="5"/>
  <c r="AZ315" i="5"/>
  <c r="AV269" i="5"/>
  <c r="AW275" i="5"/>
  <c r="AW315" i="5"/>
  <c r="AZ272" i="5"/>
  <c r="AX242" i="5"/>
  <c r="AZ303" i="5"/>
  <c r="AU311" i="5"/>
  <c r="AV306" i="5"/>
  <c r="AZ300" i="5"/>
  <c r="AW290" i="5"/>
  <c r="AZ317" i="5"/>
  <c r="AV310" i="5"/>
  <c r="AU224" i="5"/>
  <c r="AU242" i="5"/>
  <c r="AV303" i="5"/>
  <c r="AU267" i="5"/>
  <c r="AX267" i="5"/>
  <c r="AY290" i="5"/>
  <c r="AW240" i="5"/>
  <c r="AW208" i="5"/>
  <c r="O49" i="5" s="1"/>
  <c r="AZ281" i="5"/>
  <c r="AZ274" i="5"/>
  <c r="AU208" i="5"/>
  <c r="AW267" i="5"/>
  <c r="AV203" i="5"/>
  <c r="AZ279" i="5"/>
  <c r="BI53" i="5"/>
  <c r="AU236" i="5"/>
  <c r="AY231" i="5"/>
  <c r="AW268" i="5"/>
  <c r="AX140" i="5"/>
  <c r="AV279" i="5"/>
  <c r="AV122" i="5"/>
  <c r="AW249" i="5"/>
  <c r="AZ208" i="5"/>
  <c r="AV242" i="5"/>
  <c r="AY314" i="5"/>
  <c r="AX290" i="5"/>
  <c r="AY227" i="5"/>
  <c r="AY277" i="5"/>
  <c r="AV298" i="5"/>
  <c r="AX295" i="5"/>
  <c r="AV211" i="5"/>
  <c r="AW229" i="5"/>
  <c r="AV307" i="5"/>
  <c r="AW304" i="5"/>
  <c r="AX261" i="5"/>
  <c r="AZ237" i="5"/>
  <c r="AV226" i="5"/>
  <c r="AX248" i="5"/>
  <c r="AZ282" i="5"/>
  <c r="AV273" i="5"/>
  <c r="AZ229" i="5"/>
  <c r="AX303" i="5"/>
  <c r="AV210" i="5"/>
  <c r="AY91" i="5"/>
  <c r="AZ91" i="5"/>
  <c r="AV315" i="5"/>
  <c r="AX289" i="5"/>
  <c r="AX316" i="5"/>
  <c r="AZ275" i="5"/>
  <c r="BH53" i="5"/>
  <c r="AW316" i="5"/>
  <c r="AU303" i="5"/>
  <c r="AZ310" i="5"/>
  <c r="AU314" i="5"/>
  <c r="AW282" i="5"/>
  <c r="AX210" i="5"/>
  <c r="P58" i="5" s="1"/>
  <c r="AY216" i="5"/>
  <c r="AY300" i="5"/>
  <c r="AX269" i="5"/>
  <c r="AY208" i="5"/>
  <c r="AU274" i="5"/>
  <c r="AW289" i="5"/>
  <c r="AU217" i="5"/>
  <c r="AY304" i="5"/>
  <c r="AY298" i="5"/>
  <c r="AV267" i="5"/>
  <c r="AZ291" i="5"/>
  <c r="AV235" i="5"/>
  <c r="AV250" i="5"/>
  <c r="AU231" i="5"/>
  <c r="AW217" i="5"/>
  <c r="AX203" i="5"/>
  <c r="AY240" i="5"/>
  <c r="AY267" i="5"/>
  <c r="AZ236" i="5"/>
  <c r="AX281" i="5"/>
  <c r="BJ43" i="5"/>
  <c r="AY196" i="5" s="1"/>
  <c r="AY315" i="5"/>
  <c r="AW311" i="5"/>
  <c r="AZ304" i="5"/>
  <c r="AX189" i="5"/>
  <c r="AY307" i="5"/>
  <c r="AZ298" i="5"/>
  <c r="AZ198" i="5"/>
  <c r="AZ211" i="5"/>
  <c r="AW198" i="5"/>
  <c r="AX226" i="5"/>
  <c r="AY210" i="5"/>
  <c r="Q58" i="5" s="1"/>
  <c r="AX132" i="5"/>
  <c r="AV277" i="5"/>
  <c r="AX237" i="5"/>
  <c r="AY82" i="5"/>
  <c r="AY268" i="5"/>
  <c r="AW295" i="5"/>
  <c r="AZ224" i="5"/>
  <c r="AZ242" i="5"/>
  <c r="AY247" i="5"/>
  <c r="BH43" i="5"/>
  <c r="AW196" i="5" s="1"/>
  <c r="BK53" i="5"/>
  <c r="AX310" i="5"/>
  <c r="AU290" i="5"/>
  <c r="AW310" i="5"/>
  <c r="AY249" i="5"/>
  <c r="AU275" i="5"/>
  <c r="M50" i="5" s="1"/>
  <c r="AZ269" i="5"/>
  <c r="AX271" i="5"/>
  <c r="AU289" i="5"/>
  <c r="AU271" i="5"/>
  <c r="AX279" i="5"/>
  <c r="AZ227" i="5"/>
  <c r="AY281" i="5"/>
  <c r="AV225" i="5"/>
  <c r="AV295" i="5"/>
  <c r="BF53" i="5"/>
  <c r="AV300" i="5"/>
  <c r="AW271" i="5"/>
  <c r="AX216" i="5"/>
  <c r="AW301" i="5"/>
  <c r="AX274" i="5"/>
  <c r="AW298" i="5"/>
  <c r="AV261" i="5"/>
  <c r="AY274" i="5"/>
  <c r="AU192" i="5"/>
  <c r="AZ295" i="5"/>
  <c r="AW236" i="5"/>
  <c r="AU293" i="5"/>
  <c r="AV275" i="5"/>
  <c r="AX300" i="5"/>
  <c r="AU237" i="5"/>
  <c r="AY303" i="5"/>
  <c r="AX314" i="5"/>
  <c r="AV231" i="5"/>
  <c r="AY203" i="5"/>
  <c r="BI68" i="5"/>
  <c r="BJ53" i="5"/>
  <c r="AU97" i="5"/>
  <c r="AU121" i="5"/>
  <c r="BG71" i="5"/>
  <c r="BG75" i="5"/>
  <c r="BH74" i="5"/>
  <c r="AW178" i="5"/>
  <c r="BI40" i="5"/>
  <c r="AU92" i="5"/>
  <c r="AV119" i="5"/>
  <c r="AV165" i="5"/>
  <c r="BG26" i="5"/>
  <c r="AV63" i="5" s="1"/>
  <c r="AZ168" i="5"/>
  <c r="AZ123" i="5"/>
  <c r="AV161" i="5"/>
  <c r="AW82" i="5"/>
  <c r="AY164" i="5"/>
  <c r="AZ135" i="5"/>
  <c r="R42" i="5" s="1"/>
  <c r="AZ82" i="5"/>
  <c r="AW119" i="5"/>
  <c r="AW141" i="5"/>
  <c r="AV168" i="5"/>
  <c r="AU83" i="5"/>
  <c r="AW133" i="5"/>
  <c r="AV169" i="5"/>
  <c r="BH40" i="5"/>
  <c r="AW142" i="5"/>
  <c r="BF45" i="5"/>
  <c r="BK40" i="5"/>
  <c r="BJ55" i="5"/>
  <c r="BJ64" i="5" s="1"/>
  <c r="AY371" i="5" s="1"/>
  <c r="AU133" i="5"/>
  <c r="BH29" i="5"/>
  <c r="AW66" i="5" s="1"/>
  <c r="BF31" i="5"/>
  <c r="BF42" i="5"/>
  <c r="AU135" i="5"/>
  <c r="BG28" i="5"/>
  <c r="AV65" i="5" s="1"/>
  <c r="AU131" i="5"/>
  <c r="AU175" i="5"/>
  <c r="BG33" i="5"/>
  <c r="BG22" i="5"/>
  <c r="AV58" i="5" s="1"/>
  <c r="AX135" i="5"/>
  <c r="BG30" i="5"/>
  <c r="AX97" i="5"/>
  <c r="BG27" i="5"/>
  <c r="AY81" i="5"/>
  <c r="BG31" i="5"/>
  <c r="AV98" i="5"/>
  <c r="AW98" i="5"/>
  <c r="AZ154" i="5"/>
  <c r="AX122" i="5"/>
  <c r="AW123" i="5"/>
  <c r="BJ32" i="5"/>
  <c r="AY95" i="5" s="1"/>
  <c r="BK24" i="5"/>
  <c r="AZ60" i="5" s="1"/>
  <c r="BI33" i="5"/>
  <c r="AV175" i="5"/>
  <c r="AZ118" i="5"/>
  <c r="BK45" i="5"/>
  <c r="AV135" i="5"/>
  <c r="N42" i="5" s="1"/>
  <c r="AX123" i="5"/>
  <c r="AY123" i="5"/>
  <c r="AY176" i="5"/>
  <c r="AY135" i="5"/>
  <c r="AZ98" i="5"/>
  <c r="BG21" i="5"/>
  <c r="AV57" i="5" s="1"/>
  <c r="AW122" i="5"/>
  <c r="AW117" i="5"/>
  <c r="BH65" i="5"/>
  <c r="AW372" i="5" s="1"/>
  <c r="AY117" i="5"/>
  <c r="AX109" i="5"/>
  <c r="AX118" i="5"/>
  <c r="AZ109" i="5"/>
  <c r="BJ29" i="5"/>
  <c r="AY66" i="5" s="1"/>
  <c r="BJ33" i="5"/>
  <c r="AZ122" i="5"/>
  <c r="BJ25" i="5"/>
  <c r="AY62" i="5" s="1"/>
  <c r="BI32" i="5"/>
  <c r="AX95" i="5" s="1"/>
  <c r="AZ143" i="5"/>
  <c r="BJ65" i="5"/>
  <c r="AY372" i="5" s="1"/>
  <c r="AY143" i="5"/>
  <c r="BJ63" i="5"/>
  <c r="AY370" i="5" s="1"/>
  <c r="BF35" i="5"/>
  <c r="AW135" i="5"/>
  <c r="O42" i="5" s="1"/>
  <c r="AW169" i="5"/>
  <c r="AZ94" i="5"/>
  <c r="BJ45" i="5"/>
  <c r="AX143" i="5"/>
  <c r="AZ161" i="5"/>
  <c r="AX175" i="5"/>
  <c r="AX174" i="5"/>
  <c r="AU123" i="5"/>
  <c r="AY154" i="5"/>
  <c r="AU117" i="5"/>
  <c r="AV142" i="5"/>
  <c r="AX142" i="5"/>
  <c r="AX134" i="5"/>
  <c r="AZ113" i="5"/>
  <c r="BK31" i="5"/>
  <c r="AX77" i="5"/>
  <c r="P56" i="5" s="1"/>
  <c r="AW154" i="5"/>
  <c r="AV101" i="5"/>
  <c r="AW101" i="5"/>
  <c r="AW131" i="5"/>
  <c r="AW175" i="5"/>
  <c r="AV141" i="5"/>
  <c r="AZ121" i="5"/>
  <c r="AY83" i="5"/>
  <c r="AZ92" i="5"/>
  <c r="AX164" i="5"/>
  <c r="AY178" i="5"/>
  <c r="AV94" i="5"/>
  <c r="AZ134" i="5"/>
  <c r="AV113" i="5"/>
  <c r="BG45" i="5"/>
  <c r="AU118" i="5"/>
  <c r="AW121" i="5"/>
  <c r="AW168" i="5"/>
  <c r="AX83" i="5"/>
  <c r="AX92" i="5"/>
  <c r="AX117" i="5"/>
  <c r="AW118" i="5"/>
  <c r="BJ31" i="5"/>
  <c r="AV131" i="5"/>
  <c r="AV134" i="5"/>
  <c r="AZ164" i="5"/>
  <c r="AZ131" i="5"/>
  <c r="AW81" i="5"/>
  <c r="BI45" i="5"/>
  <c r="AX112" i="5"/>
  <c r="AZ112" i="5"/>
  <c r="AV97" i="5"/>
  <c r="AY118" i="5"/>
  <c r="AX141" i="5"/>
  <c r="AX94" i="5"/>
  <c r="AV92" i="5"/>
  <c r="AW164" i="5"/>
  <c r="AZ114" i="5"/>
  <c r="AV143" i="5"/>
  <c r="AZ97" i="5"/>
  <c r="BH63" i="5"/>
  <c r="AW370" i="5" s="1"/>
  <c r="AV118" i="5"/>
  <c r="AU101" i="5"/>
  <c r="AZ101" i="5"/>
  <c r="AV121" i="5"/>
  <c r="AX133" i="5"/>
  <c r="AY114" i="5"/>
  <c r="AW92" i="5"/>
  <c r="AY121" i="5"/>
  <c r="AV114" i="5"/>
  <c r="AX131" i="5"/>
  <c r="BK35" i="5"/>
  <c r="AW143" i="5"/>
  <c r="AV112" i="5"/>
  <c r="AW112" i="5"/>
  <c r="AW94" i="5"/>
  <c r="AZ178" i="5"/>
  <c r="AY175" i="5"/>
  <c r="AY94" i="5"/>
  <c r="AZ174" i="5"/>
  <c r="AX114" i="5"/>
  <c r="AW161" i="5"/>
  <c r="AY131" i="5"/>
  <c r="AY161" i="5"/>
  <c r="AW134" i="5"/>
  <c r="AY142" i="5"/>
  <c r="AZ77" i="5"/>
  <c r="AX154" i="5"/>
  <c r="AY101" i="5"/>
  <c r="AW114" i="5"/>
  <c r="AV133" i="5"/>
  <c r="AX169" i="5"/>
  <c r="AW83" i="5"/>
  <c r="AV83" i="5"/>
  <c r="AZ169" i="5"/>
  <c r="AZ117" i="5"/>
  <c r="AV174" i="5"/>
  <c r="BH33" i="5"/>
  <c r="AX113" i="5"/>
  <c r="AZ142" i="5"/>
  <c r="AV77" i="5"/>
  <c r="AV154" i="5"/>
  <c r="AU112" i="5"/>
  <c r="AY97" i="5"/>
  <c r="BF32" i="5"/>
  <c r="AU95" i="5" s="1"/>
  <c r="AX178" i="5"/>
  <c r="AV123" i="5"/>
  <c r="AZ133" i="5"/>
  <c r="AX101" i="5"/>
  <c r="AY141" i="5"/>
  <c r="AZ141" i="5"/>
  <c r="AY169" i="5"/>
  <c r="AY134" i="5"/>
  <c r="AV178" i="5"/>
  <c r="AY133" i="5"/>
  <c r="AY112" i="5"/>
  <c r="AW174" i="5"/>
  <c r="AX121" i="5"/>
  <c r="AY92" i="5"/>
  <c r="AZ83" i="5"/>
  <c r="BG32" i="5"/>
  <c r="AV95" i="5" s="1"/>
  <c r="BG40" i="5"/>
  <c r="AV27" i="5"/>
  <c r="BK32" i="5"/>
  <c r="AZ95" i="5" s="1"/>
  <c r="BJ22" i="5"/>
  <c r="AY58" i="5" s="1"/>
  <c r="BJ27" i="5"/>
  <c r="BJ26" i="5"/>
  <c r="AY63" i="5" s="1"/>
  <c r="BH27" i="5"/>
  <c r="BI26" i="5"/>
  <c r="AX63" i="5" s="1"/>
  <c r="BH22" i="5"/>
  <c r="AW58" i="5" s="1"/>
  <c r="BK21" i="5"/>
  <c r="AZ57" i="5" s="1"/>
  <c r="BK22" i="5"/>
  <c r="AZ58" i="5" s="1"/>
  <c r="BK27" i="5"/>
  <c r="BH32" i="5"/>
  <c r="AW95" i="5" s="1"/>
  <c r="BK29" i="5"/>
  <c r="AZ66" i="5" s="1"/>
  <c r="BG25" i="5"/>
  <c r="AV62" i="5" s="1"/>
  <c r="BK25" i="5"/>
  <c r="AZ62" i="5" s="1"/>
  <c r="BI55" i="5"/>
  <c r="BI64" i="5" s="1"/>
  <c r="AX371" i="5" s="1"/>
  <c r="BI41" i="5"/>
  <c r="BI30" i="5"/>
  <c r="AU306" i="5"/>
  <c r="BF29" i="5"/>
  <c r="AU66" i="5" s="1"/>
  <c r="AU34" i="5"/>
  <c r="AU52" i="5"/>
  <c r="AX192" i="5"/>
  <c r="BI42" i="5"/>
  <c r="AU94" i="5"/>
  <c r="BI28" i="5"/>
  <c r="AX65" i="5" s="1"/>
  <c r="BG36" i="5"/>
  <c r="BG34" i="5"/>
  <c r="AU317" i="5"/>
  <c r="AU134" i="5"/>
  <c r="BH23" i="5"/>
  <c r="AW59" i="5" s="1"/>
  <c r="BH54" i="5"/>
  <c r="AW338" i="5" s="1"/>
  <c r="AU91" i="5"/>
  <c r="BF63" i="5"/>
  <c r="AU370" i="5" s="1"/>
  <c r="AU81" i="5"/>
  <c r="BF65" i="5"/>
  <c r="AU372" i="5" s="1"/>
  <c r="AU210" i="5"/>
  <c r="BJ21" i="5"/>
  <c r="AY57" i="5" s="1"/>
  <c r="AU53" i="5"/>
  <c r="BF55" i="5"/>
  <c r="BF64" i="5" s="1"/>
  <c r="AU371" i="5" s="1"/>
  <c r="BF30" i="5"/>
  <c r="BF41" i="5"/>
  <c r="AU174" i="5"/>
  <c r="AU211" i="5"/>
  <c r="BG65" i="5"/>
  <c r="AV372" i="5" s="1"/>
  <c r="AW192" i="5"/>
  <c r="BH42" i="5"/>
  <c r="AZ81" i="5"/>
  <c r="BK65" i="5"/>
  <c r="AZ372" i="5" s="1"/>
  <c r="BK63" i="5"/>
  <c r="AZ370" i="5" s="1"/>
  <c r="AU268" i="5"/>
  <c r="BK34" i="5"/>
  <c r="BK36" i="5"/>
  <c r="BF25" i="5"/>
  <c r="AU62" i="5" s="1"/>
  <c r="AU176" i="5"/>
  <c r="BK55" i="5"/>
  <c r="BK64" i="5" s="1"/>
  <c r="AZ371" i="5" s="1"/>
  <c r="BK41" i="5"/>
  <c r="BK30" i="5"/>
  <c r="BK54" i="5"/>
  <c r="AZ338" i="5" s="1"/>
  <c r="BI24" i="5"/>
  <c r="AX60" i="5" s="1"/>
  <c r="AU54" i="5"/>
  <c r="BF44" i="5"/>
  <c r="AU315" i="5"/>
  <c r="BI29" i="5"/>
  <c r="AX66" i="5" s="1"/>
  <c r="AU189" i="5"/>
  <c r="AU109" i="5"/>
  <c r="AU299" i="5"/>
  <c r="BH30" i="5"/>
  <c r="AY192" i="5"/>
  <c r="BJ42" i="5"/>
  <c r="AU72" i="5"/>
  <c r="BI25" i="5"/>
  <c r="AX62" i="5" s="1"/>
  <c r="BJ34" i="5"/>
  <c r="BJ36" i="5"/>
  <c r="BJ35" i="5"/>
  <c r="AW54" i="5"/>
  <c r="BH44" i="5"/>
  <c r="AU30" i="5"/>
  <c r="BG41" i="5"/>
  <c r="BG54" i="5"/>
  <c r="AV338" i="5" s="1"/>
  <c r="AZ54" i="5"/>
  <c r="BK44" i="5"/>
  <c r="BG24" i="5"/>
  <c r="AV60" i="5" s="1"/>
  <c r="BH21" i="5"/>
  <c r="AW57" i="5" s="1"/>
  <c r="BF33" i="5"/>
  <c r="AU304" i="5"/>
  <c r="BF28" i="5"/>
  <c r="AU65" i="5" s="1"/>
  <c r="AU140" i="5"/>
  <c r="BF54" i="5"/>
  <c r="AU338" i="5" s="1"/>
  <c r="AU249" i="5"/>
  <c r="AV192" i="5"/>
  <c r="BG42" i="5"/>
  <c r="AU277" i="5"/>
  <c r="AU43" i="5"/>
  <c r="AU298" i="5"/>
  <c r="AU198" i="5"/>
  <c r="AX54" i="5"/>
  <c r="BI44" i="5"/>
  <c r="AU45" i="5"/>
  <c r="BF68" i="5"/>
  <c r="AU261" i="5"/>
  <c r="BI36" i="5"/>
  <c r="BI35" i="5"/>
  <c r="BI34" i="5"/>
  <c r="AU281" i="5"/>
  <c r="AU225" i="5"/>
  <c r="BK33" i="5"/>
  <c r="BG55" i="5"/>
  <c r="BG64" i="5" s="1"/>
  <c r="AV371" i="5" s="1"/>
  <c r="AU114" i="5"/>
  <c r="BJ54" i="5"/>
  <c r="AY338" i="5" s="1"/>
  <c r="BH41" i="5"/>
  <c r="BH24" i="5"/>
  <c r="AW60" i="5" s="1"/>
  <c r="AU38" i="5"/>
  <c r="AU279" i="5"/>
  <c r="BI21" i="5"/>
  <c r="AX57" i="5" s="1"/>
  <c r="BH28" i="5"/>
  <c r="AW65" i="5" s="1"/>
  <c r="AU178" i="5"/>
  <c r="AU291" i="5"/>
  <c r="AU82" i="5"/>
  <c r="BH34" i="5"/>
  <c r="BH35" i="5"/>
  <c r="BH36" i="5"/>
  <c r="AU273" i="5"/>
  <c r="AU69" i="5"/>
  <c r="BJ23" i="5"/>
  <c r="AY59" i="5" s="1"/>
  <c r="AU247" i="5"/>
  <c r="AU142" i="5"/>
  <c r="BI54" i="5"/>
  <c r="AX338" i="5" s="1"/>
  <c r="BH55" i="5"/>
  <c r="BH64" i="5" s="1"/>
  <c r="AW371" i="5" s="1"/>
  <c r="BG23" i="5"/>
  <c r="AV59" i="5" s="1"/>
  <c r="BJ28" i="5"/>
  <c r="AY65" i="5" s="1"/>
  <c r="BK28" i="5"/>
  <c r="AZ65" i="5" s="1"/>
  <c r="AU122" i="5"/>
  <c r="AU301" i="5"/>
  <c r="AV81" i="5"/>
  <c r="BG63" i="5"/>
  <c r="AV370" i="5" s="1"/>
  <c r="AU67" i="5"/>
  <c r="BK23" i="5"/>
  <c r="AZ59" i="5" s="1"/>
  <c r="AU226" i="5"/>
  <c r="AU119" i="5"/>
  <c r="AU113" i="5"/>
  <c r="AU141" i="5"/>
  <c r="AU154" i="5"/>
  <c r="BH25" i="5"/>
  <c r="AW62" i="5" s="1"/>
  <c r="BG44" i="5"/>
  <c r="BI22" i="5"/>
  <c r="AX58" i="5" s="1"/>
  <c r="AU272" i="5"/>
  <c r="AU143" i="5"/>
  <c r="AU248" i="5"/>
  <c r="BI63" i="5"/>
  <c r="AX370" i="5" s="1"/>
  <c r="AX81" i="5"/>
  <c r="BI65" i="5"/>
  <c r="AX372" i="5" s="1"/>
  <c r="AU132" i="5"/>
  <c r="BF40" i="5"/>
  <c r="AU161" i="5"/>
  <c r="AU36" i="5"/>
  <c r="AU295" i="5"/>
  <c r="BG35" i="5"/>
  <c r="BJ24" i="5"/>
  <c r="AY60" i="5" s="1"/>
  <c r="BF27" i="5"/>
  <c r="BJ41" i="5"/>
  <c r="BG29" i="5"/>
  <c r="AV66" i="5" s="1"/>
  <c r="BF24" i="5"/>
  <c r="AU60" i="5" s="1"/>
  <c r="AU269" i="5"/>
  <c r="AU283" i="5"/>
  <c r="BF26" i="5"/>
  <c r="AU63" i="5" s="1"/>
  <c r="BF34" i="5"/>
  <c r="BF36" i="5"/>
  <c r="BF43" i="5"/>
  <c r="AU196" i="5" s="1"/>
  <c r="AU37" i="5"/>
  <c r="AU31" i="5"/>
  <c r="AU297" i="5"/>
  <c r="AU77" i="5"/>
  <c r="BI23" i="5"/>
  <c r="AX59" i="5" s="1"/>
  <c r="AZ192" i="5"/>
  <c r="BK42" i="5"/>
  <c r="AU164" i="5"/>
  <c r="AU307" i="5"/>
  <c r="BF21" i="5"/>
  <c r="AU57" i="5" s="1"/>
  <c r="BI27" i="5"/>
  <c r="AY54" i="5"/>
  <c r="BJ44" i="5"/>
  <c r="BF22" i="5"/>
  <c r="AU58" i="5" s="1"/>
  <c r="AU218" i="5"/>
  <c r="AU282" i="5"/>
  <c r="AU229" i="5"/>
  <c r="AU98" i="5"/>
  <c r="AU316" i="5"/>
  <c r="BF23" i="5"/>
  <c r="AU59" i="5" s="1"/>
  <c r="BJ30" i="5"/>
  <c r="BK26" i="5"/>
  <c r="AZ63" i="5" s="1"/>
  <c r="BH26" i="5"/>
  <c r="AW63" i="5" s="1"/>
  <c r="BB155" i="5" l="1"/>
  <c r="Q42" i="5"/>
  <c r="Q41" i="5"/>
  <c r="Q49" i="5"/>
  <c r="M51" i="5"/>
  <c r="BB108" i="5"/>
  <c r="M23" i="5"/>
  <c r="N52" i="5"/>
  <c r="P41" i="5"/>
  <c r="M56" i="5"/>
  <c r="M41" i="5"/>
  <c r="M58" i="5"/>
  <c r="R56" i="5"/>
  <c r="R47" i="5"/>
  <c r="P42" i="5"/>
  <c r="N50" i="5"/>
  <c r="P52" i="5"/>
  <c r="N58" i="5"/>
  <c r="R49" i="5"/>
  <c r="M49" i="5"/>
  <c r="N51" i="5"/>
  <c r="Q50" i="5"/>
  <c r="O52" i="5"/>
  <c r="R58" i="5"/>
  <c r="O51" i="5"/>
  <c r="P47" i="5"/>
  <c r="Q52" i="5"/>
  <c r="P51" i="5"/>
  <c r="R52" i="5"/>
  <c r="R51" i="5"/>
  <c r="O50" i="5"/>
  <c r="O58" i="5"/>
  <c r="O56" i="5"/>
  <c r="N49" i="5"/>
  <c r="O46" i="5"/>
  <c r="N41" i="5"/>
  <c r="O41" i="5"/>
  <c r="Q51" i="5"/>
  <c r="R41" i="5"/>
  <c r="N56" i="5"/>
  <c r="Q47" i="5"/>
  <c r="N47" i="5"/>
  <c r="O47" i="5"/>
  <c r="M42" i="5"/>
  <c r="M47" i="5"/>
  <c r="P46" i="5"/>
  <c r="M52" i="5"/>
  <c r="Q46" i="5"/>
  <c r="R50" i="5"/>
  <c r="O60" i="5"/>
  <c r="Q60" i="5"/>
  <c r="N43" i="5"/>
  <c r="Q36" i="5"/>
  <c r="M36" i="5"/>
  <c r="P50" i="5"/>
  <c r="P49" i="5"/>
  <c r="N46" i="5"/>
  <c r="R44" i="5"/>
  <c r="M46" i="5"/>
  <c r="P36" i="5"/>
  <c r="R62" i="5"/>
  <c r="N38" i="5"/>
  <c r="Q56" i="5"/>
  <c r="R46" i="5"/>
  <c r="M37" i="5"/>
  <c r="M48" i="5"/>
  <c r="Q37" i="5"/>
  <c r="Q48" i="5"/>
  <c r="N61" i="5"/>
  <c r="Q64" i="5"/>
  <c r="O37" i="5"/>
  <c r="O38" i="5"/>
  <c r="R59" i="5"/>
  <c r="O44" i="5"/>
  <c r="M63" i="5"/>
  <c r="M53" i="5"/>
  <c r="N44" i="5"/>
  <c r="P37" i="5"/>
  <c r="P60" i="5"/>
  <c r="O40" i="5"/>
  <c r="O31" i="5"/>
  <c r="N59" i="5"/>
  <c r="N45" i="5"/>
  <c r="N53" i="5"/>
  <c r="Q57" i="5"/>
  <c r="M61" i="5"/>
  <c r="P48" i="5"/>
  <c r="O43" i="5"/>
  <c r="Q43" i="5"/>
  <c r="R64" i="5"/>
  <c r="N60" i="5"/>
  <c r="N39" i="5"/>
  <c r="R63" i="5"/>
  <c r="P59" i="5"/>
  <c r="R45" i="5"/>
  <c r="M40" i="5"/>
  <c r="M31" i="5"/>
  <c r="Q40" i="5"/>
  <c r="Q31" i="5"/>
  <c r="O59" i="5"/>
  <c r="P53" i="5"/>
  <c r="O45" i="5"/>
  <c r="Q53" i="5"/>
  <c r="N57" i="5"/>
  <c r="P44" i="5"/>
  <c r="N55" i="5"/>
  <c r="M44" i="5"/>
  <c r="O61" i="5"/>
  <c r="Q63" i="5"/>
  <c r="Q55" i="5"/>
  <c r="O55" i="5"/>
  <c r="M43" i="5"/>
  <c r="P61" i="5"/>
  <c r="N37" i="5"/>
  <c r="M62" i="5"/>
  <c r="M64" i="5"/>
  <c r="Q61" i="5"/>
  <c r="R48" i="5"/>
  <c r="P43" i="5"/>
  <c r="O48" i="5"/>
  <c r="M60" i="5"/>
  <c r="Q45" i="5"/>
  <c r="R53" i="5"/>
  <c r="O62" i="5"/>
  <c r="O63" i="5"/>
  <c r="Q59" i="5"/>
  <c r="R38" i="5"/>
  <c r="P31" i="5"/>
  <c r="P40" i="5"/>
  <c r="N64" i="5"/>
  <c r="O64" i="5"/>
  <c r="N40" i="5"/>
  <c r="N31" i="5"/>
  <c r="P45" i="5"/>
  <c r="N36" i="5"/>
  <c r="O57" i="5"/>
  <c r="Q44" i="5"/>
  <c r="R55" i="5"/>
  <c r="O36" i="5"/>
  <c r="O53" i="5"/>
  <c r="M57" i="5"/>
  <c r="R36" i="5"/>
  <c r="M59" i="5"/>
  <c r="M45" i="5"/>
  <c r="R37" i="5"/>
  <c r="R61" i="5"/>
  <c r="P64" i="5"/>
  <c r="R43" i="5"/>
  <c r="M38" i="5"/>
  <c r="R40" i="5"/>
  <c r="R31" i="5"/>
  <c r="P38" i="5"/>
  <c r="N63" i="5"/>
  <c r="Q62" i="5"/>
  <c r="Q38" i="5"/>
  <c r="N48" i="5"/>
  <c r="R60" i="5"/>
  <c r="P63" i="5"/>
  <c r="N62" i="5"/>
  <c r="M55" i="5"/>
  <c r="R57" i="5"/>
  <c r="P57" i="5"/>
  <c r="P55" i="5"/>
  <c r="P62" i="5"/>
  <c r="BG69" i="5"/>
  <c r="BF76" i="5"/>
  <c r="BF77" i="5" s="1"/>
  <c r="BF70" i="5"/>
  <c r="BF69" i="5"/>
  <c r="M27" i="5"/>
  <c r="J28" i="5"/>
  <c r="BB38" i="5"/>
  <c r="BB35" i="5"/>
  <c r="BB37" i="5"/>
  <c r="BB30" i="5"/>
  <c r="BB34" i="5"/>
  <c r="BB21" i="5"/>
  <c r="BB36" i="5"/>
  <c r="BB31" i="5"/>
  <c r="BB32" i="5"/>
  <c r="BB28" i="5"/>
  <c r="BB29" i="5"/>
  <c r="BB26" i="5"/>
  <c r="BB27" i="5"/>
  <c r="BB51" i="5"/>
  <c r="BB22" i="5"/>
  <c r="BB72" i="5"/>
  <c r="O6" i="5"/>
  <c r="O14" i="5" s="1"/>
  <c r="BB42" i="5"/>
  <c r="BB69" i="5"/>
  <c r="BB43" i="5"/>
  <c r="BB53" i="5"/>
  <c r="BB44" i="5"/>
  <c r="BB71" i="5"/>
  <c r="BB48" i="5"/>
  <c r="BB52" i="5"/>
  <c r="BB70" i="5"/>
  <c r="BB68" i="5"/>
  <c r="BB45" i="5"/>
  <c r="P23" i="5"/>
  <c r="O23" i="5"/>
  <c r="BG51" i="5"/>
  <c r="BG52" i="5" s="1"/>
  <c r="BG48" i="5" s="1"/>
  <c r="BH51" i="5"/>
  <c r="BH52" i="5" s="1"/>
  <c r="BH48" i="5" s="1"/>
  <c r="N22" i="5"/>
  <c r="N29" i="5"/>
  <c r="Q23" i="5"/>
  <c r="AX305" i="5"/>
  <c r="P39" i="5" s="1"/>
  <c r="AZ305" i="5"/>
  <c r="R39" i="5" s="1"/>
  <c r="AU305" i="5"/>
  <c r="M21" i="5" s="1"/>
  <c r="AW305" i="5"/>
  <c r="O21" i="5" s="1"/>
  <c r="P22" i="5"/>
  <c r="R22" i="5"/>
  <c r="R23" i="5"/>
  <c r="N23" i="5"/>
  <c r="AY305" i="5"/>
  <c r="Q39" i="5" s="1"/>
  <c r="BI51" i="5"/>
  <c r="BI52" i="5" s="1"/>
  <c r="BI48" i="5" s="1"/>
  <c r="BI50" i="5" s="1"/>
  <c r="BB299" i="5"/>
  <c r="P29" i="5"/>
  <c r="BB283" i="5"/>
  <c r="O22" i="5"/>
  <c r="BB293" i="5"/>
  <c r="BB235" i="5"/>
  <c r="BB217" i="5"/>
  <c r="BB269" i="5"/>
  <c r="O29" i="5"/>
  <c r="BB261" i="5"/>
  <c r="BB314" i="5"/>
  <c r="Q22" i="5"/>
  <c r="BB315" i="5"/>
  <c r="BB268" i="5"/>
  <c r="R29" i="5"/>
  <c r="BB218" i="5"/>
  <c r="BB306" i="5"/>
  <c r="BB289" i="5"/>
  <c r="Q29" i="5"/>
  <c r="BB216" i="5"/>
  <c r="BB271" i="5"/>
  <c r="BB310" i="5"/>
  <c r="BB240" i="5"/>
  <c r="BB198" i="5"/>
  <c r="BB295" i="5"/>
  <c r="BB225" i="5"/>
  <c r="N28" i="5"/>
  <c r="BB282" i="5"/>
  <c r="BB281" i="5"/>
  <c r="BB311" i="5"/>
  <c r="BB307" i="5"/>
  <c r="BB196" i="5"/>
  <c r="BB250" i="5"/>
  <c r="BB237" i="5"/>
  <c r="BB203" i="5"/>
  <c r="BB275" i="5"/>
  <c r="BJ51" i="5"/>
  <c r="BJ52" i="5" s="1"/>
  <c r="BJ48" i="5" s="1"/>
  <c r="BF51" i="5"/>
  <c r="BF52" i="5" s="1"/>
  <c r="BF39" i="5" s="1"/>
  <c r="AU151" i="5" s="1"/>
  <c r="BB274" i="5"/>
  <c r="BB303" i="5"/>
  <c r="BB242" i="5"/>
  <c r="BB231" i="5"/>
  <c r="BB290" i="5"/>
  <c r="BB236" i="5"/>
  <c r="BB267" i="5"/>
  <c r="BB300" i="5"/>
  <c r="BB224" i="5"/>
  <c r="BB279" i="5"/>
  <c r="BB227" i="5"/>
  <c r="BB316" i="5"/>
  <c r="BB208" i="5"/>
  <c r="BB304" i="5"/>
  <c r="BB229" i="5"/>
  <c r="BB226" i="5"/>
  <c r="BB301" i="5"/>
  <c r="BB298" i="5"/>
  <c r="BB277" i="5"/>
  <c r="Q6" i="5"/>
  <c r="Q14" i="5" s="1"/>
  <c r="BK51" i="5"/>
  <c r="BK52" i="5" s="1"/>
  <c r="R28" i="5"/>
  <c r="BB132" i="5"/>
  <c r="BB273" i="5"/>
  <c r="BB317" i="5"/>
  <c r="N21" i="5"/>
  <c r="BB119" i="5"/>
  <c r="BB165" i="5"/>
  <c r="BH71" i="5"/>
  <c r="BH69" i="5" s="1"/>
  <c r="BI74" i="5"/>
  <c r="BH75" i="5"/>
  <c r="BG76" i="5"/>
  <c r="BG72" i="5"/>
  <c r="BG70" i="5" s="1"/>
  <c r="BB168" i="5"/>
  <c r="BB82" i="5"/>
  <c r="BB176" i="5"/>
  <c r="BB98" i="5"/>
  <c r="BB123" i="5"/>
  <c r="O25" i="5"/>
  <c r="Q25" i="5"/>
  <c r="BB141" i="5"/>
  <c r="R27" i="5"/>
  <c r="BB97" i="5"/>
  <c r="BB131" i="5"/>
  <c r="BB135" i="5"/>
  <c r="O27" i="5"/>
  <c r="BB121" i="5"/>
  <c r="BB122" i="5"/>
  <c r="Q28" i="5"/>
  <c r="P27" i="5"/>
  <c r="BB95" i="5"/>
  <c r="P26" i="5"/>
  <c r="O26" i="5"/>
  <c r="BB178" i="5"/>
  <c r="BB112" i="5"/>
  <c r="P5" i="5"/>
  <c r="P13" i="5" s="1"/>
  <c r="BB117" i="5"/>
  <c r="Q27" i="5"/>
  <c r="BB134" i="5"/>
  <c r="BB164" i="5"/>
  <c r="N5" i="5"/>
  <c r="N13" i="5" s="1"/>
  <c r="BB114" i="5"/>
  <c r="BB143" i="5"/>
  <c r="Q5" i="5"/>
  <c r="Q13" i="5" s="1"/>
  <c r="BB113" i="5"/>
  <c r="R26" i="5"/>
  <c r="BB175" i="5"/>
  <c r="BB174" i="5"/>
  <c r="BB169" i="5"/>
  <c r="BB118" i="5"/>
  <c r="N27" i="5"/>
  <c r="BB101" i="5"/>
  <c r="N26" i="5"/>
  <c r="BB161" i="5"/>
  <c r="R5" i="5"/>
  <c r="R13" i="5" s="1"/>
  <c r="Q26" i="5"/>
  <c r="O5" i="5"/>
  <c r="O13" i="5" s="1"/>
  <c r="BB94" i="5"/>
  <c r="BB142" i="5"/>
  <c r="BB92" i="5"/>
  <c r="BB83" i="5"/>
  <c r="BB133" i="5"/>
  <c r="P6" i="5"/>
  <c r="P14" i="5" s="1"/>
  <c r="R25" i="5"/>
  <c r="P28" i="5"/>
  <c r="N6" i="5"/>
  <c r="N14" i="5" s="1"/>
  <c r="P25" i="5"/>
  <c r="R24" i="5"/>
  <c r="BB58" i="5"/>
  <c r="Q24" i="5"/>
  <c r="O24" i="5"/>
  <c r="BB248" i="5"/>
  <c r="BB272" i="5"/>
  <c r="BB140" i="5"/>
  <c r="BB372" i="5"/>
  <c r="BB297" i="5"/>
  <c r="R6" i="5"/>
  <c r="R14" i="5" s="1"/>
  <c r="P24" i="5"/>
  <c r="BB65" i="5"/>
  <c r="BB154" i="5"/>
  <c r="BB67" i="5"/>
  <c r="M25" i="5"/>
  <c r="M6" i="5"/>
  <c r="BB189" i="5"/>
  <c r="M28" i="5"/>
  <c r="BB211" i="5"/>
  <c r="BB81" i="5"/>
  <c r="BB59" i="5"/>
  <c r="M5" i="5"/>
  <c r="BB77" i="5"/>
  <c r="BB249" i="5"/>
  <c r="N25" i="5"/>
  <c r="BB54" i="5"/>
  <c r="BB370" i="5"/>
  <c r="BB66" i="5"/>
  <c r="BB63" i="5"/>
  <c r="BB291" i="5"/>
  <c r="M29" i="5"/>
  <c r="BB371" i="5"/>
  <c r="BB192" i="5"/>
  <c r="BB247" i="5"/>
  <c r="M22" i="5"/>
  <c r="N24" i="5"/>
  <c r="BB91" i="5"/>
  <c r="BB57" i="5"/>
  <c r="BB60" i="5"/>
  <c r="BB338" i="5"/>
  <c r="BB109" i="5"/>
  <c r="M26" i="5"/>
  <c r="BB62" i="5"/>
  <c r="O28" i="5"/>
  <c r="BB210" i="5"/>
  <c r="M24" i="5"/>
  <c r="S25" i="5" l="1"/>
  <c r="T25" i="5" s="1"/>
  <c r="S29" i="5"/>
  <c r="T29" i="5" s="1"/>
  <c r="S22" i="5"/>
  <c r="S24" i="5"/>
  <c r="J19" i="5" s="1"/>
  <c r="S26" i="5"/>
  <c r="S27" i="5"/>
  <c r="S31" i="5"/>
  <c r="S23" i="5"/>
  <c r="S28" i="5"/>
  <c r="S42" i="5"/>
  <c r="S50" i="5"/>
  <c r="S52" i="5"/>
  <c r="S49" i="5"/>
  <c r="S58" i="5"/>
  <c r="S47" i="5"/>
  <c r="S41" i="5"/>
  <c r="S51" i="5"/>
  <c r="S56" i="5"/>
  <c r="S46" i="5"/>
  <c r="S59" i="5"/>
  <c r="S48" i="5"/>
  <c r="S45" i="5"/>
  <c r="S53" i="5"/>
  <c r="S63" i="5"/>
  <c r="M39" i="5"/>
  <c r="S37" i="5"/>
  <c r="S61" i="5"/>
  <c r="S57" i="5"/>
  <c r="S62" i="5"/>
  <c r="S55" i="5"/>
  <c r="S60" i="5"/>
  <c r="S40" i="5"/>
  <c r="S38" i="5"/>
  <c r="S36" i="5"/>
  <c r="S64" i="5"/>
  <c r="S43" i="5"/>
  <c r="S44" i="5"/>
  <c r="O39" i="5"/>
  <c r="BF78" i="5"/>
  <c r="BF73" i="5" s="1"/>
  <c r="BF57" i="5" s="1"/>
  <c r="AU312" i="5" s="1"/>
  <c r="R21" i="5"/>
  <c r="P21" i="5"/>
  <c r="Q21" i="5"/>
  <c r="BI38" i="5"/>
  <c r="BI37" i="5" s="1"/>
  <c r="AX146" i="5" s="1"/>
  <c r="BB305" i="5"/>
  <c r="BI46" i="5"/>
  <c r="AX319" i="5" s="1"/>
  <c r="BI39" i="5"/>
  <c r="AX151" i="5" s="1"/>
  <c r="BG77" i="5"/>
  <c r="BG78" i="5"/>
  <c r="BH72" i="5"/>
  <c r="BH70" i="5" s="1"/>
  <c r="BH76" i="5"/>
  <c r="BJ74" i="5"/>
  <c r="BI71" i="5"/>
  <c r="BI69" i="5" s="1"/>
  <c r="BI75" i="5"/>
  <c r="BF47" i="5"/>
  <c r="BH46" i="5"/>
  <c r="AW319" i="5" s="1"/>
  <c r="BH38" i="5"/>
  <c r="BH37" i="5" s="1"/>
  <c r="AW146" i="5" s="1"/>
  <c r="BH50" i="5"/>
  <c r="BG50" i="5"/>
  <c r="BG46" i="5"/>
  <c r="AV319" i="5" s="1"/>
  <c r="BG38" i="5"/>
  <c r="BG37" i="5" s="1"/>
  <c r="AV146" i="5" s="1"/>
  <c r="BJ46" i="5"/>
  <c r="AY319" i="5" s="1"/>
  <c r="BJ38" i="5"/>
  <c r="BJ37" i="5" s="1"/>
  <c r="AY146" i="5" s="1"/>
  <c r="BJ50" i="5"/>
  <c r="BK39" i="5"/>
  <c r="AZ151" i="5" s="1"/>
  <c r="BG39" i="5"/>
  <c r="AV151" i="5" s="1"/>
  <c r="S5" i="5"/>
  <c r="T5" i="5" s="1"/>
  <c r="M13" i="5"/>
  <c r="BK48" i="5"/>
  <c r="BF48" i="5"/>
  <c r="BH39" i="5"/>
  <c r="AW151" i="5" s="1"/>
  <c r="BJ39" i="5"/>
  <c r="AY151" i="5" s="1"/>
  <c r="S6" i="5"/>
  <c r="T6" i="5" s="1"/>
  <c r="M14" i="5"/>
  <c r="S21" i="5" l="1"/>
  <c r="S39" i="5"/>
  <c r="T28" i="5"/>
  <c r="T45" i="5" s="1"/>
  <c r="V45" i="5" s="1"/>
  <c r="J23" i="5"/>
  <c r="T24" i="5"/>
  <c r="T41" i="5" s="1"/>
  <c r="V41" i="5" s="1"/>
  <c r="T26" i="5"/>
  <c r="T43" i="5" s="1"/>
  <c r="V43" i="5" s="1"/>
  <c r="J21" i="5"/>
  <c r="T22" i="5"/>
  <c r="T39" i="5" s="1"/>
  <c r="V39" i="5" s="1"/>
  <c r="J17" i="5"/>
  <c r="T42" i="5"/>
  <c r="V42" i="5" s="1"/>
  <c r="J20" i="5"/>
  <c r="T27" i="5"/>
  <c r="T44" i="5" s="1"/>
  <c r="V44" i="5" s="1"/>
  <c r="J22" i="5"/>
  <c r="T46" i="5"/>
  <c r="V46" i="5" s="1"/>
  <c r="J24" i="5"/>
  <c r="T23" i="5"/>
  <c r="T40" i="5" s="1"/>
  <c r="V40" i="5" s="1"/>
  <c r="J18" i="5"/>
  <c r="T31" i="5"/>
  <c r="T48" i="5" s="1"/>
  <c r="V48" i="5" s="1"/>
  <c r="J26" i="5"/>
  <c r="BI47" i="5"/>
  <c r="BI49" i="5" s="1"/>
  <c r="AX326" i="5" s="1"/>
  <c r="BF49" i="5"/>
  <c r="AU326" i="5" s="1"/>
  <c r="AU323" i="5"/>
  <c r="BG73" i="5"/>
  <c r="BG57" i="5" s="1"/>
  <c r="AV312" i="5" s="1"/>
  <c r="BH77" i="5"/>
  <c r="BH78" i="5"/>
  <c r="BI72" i="5"/>
  <c r="BI70" i="5" s="1"/>
  <c r="BI76" i="5"/>
  <c r="BI77" i="5" s="1"/>
  <c r="BJ71" i="5"/>
  <c r="BJ69" i="5" s="1"/>
  <c r="BJ75" i="5"/>
  <c r="BK74" i="5"/>
  <c r="BK47" i="5"/>
  <c r="BF56" i="5"/>
  <c r="AU322" i="5" s="1"/>
  <c r="M65" i="5" s="1"/>
  <c r="BG47" i="5"/>
  <c r="BB151" i="5"/>
  <c r="BH47" i="5"/>
  <c r="S13" i="5"/>
  <c r="S14" i="5"/>
  <c r="BJ47" i="5"/>
  <c r="BF46" i="5"/>
  <c r="AU319" i="5" s="1"/>
  <c r="BF38" i="5"/>
  <c r="BF37" i="5" s="1"/>
  <c r="AU146" i="5" s="1"/>
  <c r="BF50" i="5"/>
  <c r="BK46" i="5"/>
  <c r="AZ319" i="5" s="1"/>
  <c r="BK50" i="5"/>
  <c r="BK38" i="5"/>
  <c r="BK37" i="5" s="1"/>
  <c r="AZ146" i="5" s="1"/>
  <c r="M54" i="5" l="1"/>
  <c r="M66" i="5" s="1"/>
  <c r="M30" i="5"/>
  <c r="T21" i="5"/>
  <c r="T38" i="5" s="1"/>
  <c r="V38" i="5" s="1"/>
  <c r="J16" i="5"/>
  <c r="AX323" i="5"/>
  <c r="P54" i="5" s="1"/>
  <c r="BH49" i="5"/>
  <c r="AW326" i="5" s="1"/>
  <c r="AW323" i="5"/>
  <c r="BG49" i="5"/>
  <c r="AV326" i="5" s="1"/>
  <c r="AV323" i="5"/>
  <c r="BJ49" i="5"/>
  <c r="AY326" i="5" s="1"/>
  <c r="AY323" i="5"/>
  <c r="BK49" i="5"/>
  <c r="AZ326" i="5" s="1"/>
  <c r="AZ323" i="5"/>
  <c r="BG56" i="5"/>
  <c r="AV322" i="5" s="1"/>
  <c r="N65" i="5" s="1"/>
  <c r="BK71" i="5"/>
  <c r="BK69" i="5" s="1"/>
  <c r="BK75" i="5"/>
  <c r="BJ72" i="5"/>
  <c r="BJ70" i="5" s="1"/>
  <c r="BJ76" i="5"/>
  <c r="BJ77" i="5" s="1"/>
  <c r="BH73" i="5"/>
  <c r="BH57" i="5" s="1"/>
  <c r="AW312" i="5" s="1"/>
  <c r="BI78" i="5"/>
  <c r="BI73" i="5" s="1"/>
  <c r="BI57" i="5" s="1"/>
  <c r="M7" i="5"/>
  <c r="M15" i="5" s="1"/>
  <c r="BB146" i="5"/>
  <c r="M4" i="5"/>
  <c r="M20" i="5"/>
  <c r="BB319" i="5"/>
  <c r="Q4" i="5" l="1"/>
  <c r="Q12" i="5" s="1"/>
  <c r="R4" i="5"/>
  <c r="R12" i="5" s="1"/>
  <c r="R54" i="5"/>
  <c r="N54" i="5"/>
  <c r="N66" i="5" s="1"/>
  <c r="M32" i="5"/>
  <c r="Q54" i="5"/>
  <c r="O54" i="5"/>
  <c r="N30" i="5"/>
  <c r="P20" i="5"/>
  <c r="P4" i="5"/>
  <c r="P12" i="5" s="1"/>
  <c r="R20" i="5"/>
  <c r="BB326" i="5"/>
  <c r="N4" i="5"/>
  <c r="N12" i="5" s="1"/>
  <c r="N20" i="5"/>
  <c r="BB323" i="5"/>
  <c r="Q20" i="5"/>
  <c r="O4" i="5"/>
  <c r="O12" i="5" s="1"/>
  <c r="O20" i="5"/>
  <c r="N7" i="5"/>
  <c r="BJ78" i="5"/>
  <c r="BJ73" i="5" s="1"/>
  <c r="BJ57" i="5" s="1"/>
  <c r="AX312" i="5"/>
  <c r="BI56" i="5"/>
  <c r="AX322" i="5" s="1"/>
  <c r="BK72" i="5"/>
  <c r="BK70" i="5" s="1"/>
  <c r="BK76" i="5"/>
  <c r="BH56" i="5"/>
  <c r="AW322" i="5" s="1"/>
  <c r="O30" i="5" s="1"/>
  <c r="M8" i="5"/>
  <c r="M16" i="5" s="1"/>
  <c r="M12" i="5"/>
  <c r="S20" i="5" l="1"/>
  <c r="N32" i="5"/>
  <c r="O65" i="5"/>
  <c r="O32" i="5"/>
  <c r="S54" i="5"/>
  <c r="P65" i="5"/>
  <c r="P66" i="5" s="1"/>
  <c r="P30" i="5"/>
  <c r="S4" i="5"/>
  <c r="T4" i="5" s="1"/>
  <c r="N15" i="5"/>
  <c r="N8" i="5"/>
  <c r="N16" i="5" s="1"/>
  <c r="AY312" i="5"/>
  <c r="BJ56" i="5"/>
  <c r="AY322" i="5" s="1"/>
  <c r="BK77" i="5"/>
  <c r="BK78" i="5"/>
  <c r="O7" i="5"/>
  <c r="P7" i="5"/>
  <c r="Q65" i="5" l="1"/>
  <c r="Q66" i="5" s="1"/>
  <c r="Q30" i="5"/>
  <c r="Q32" i="5" s="1"/>
  <c r="P32" i="5"/>
  <c r="O66" i="5"/>
  <c r="T20" i="5"/>
  <c r="T37" i="5" s="1"/>
  <c r="V37" i="5" s="1"/>
  <c r="J15" i="5"/>
  <c r="BK73" i="5"/>
  <c r="BK57" i="5" s="1"/>
  <c r="BK56" i="5" s="1"/>
  <c r="AZ322" i="5" s="1"/>
  <c r="BB322" i="5" s="1"/>
  <c r="S12" i="5"/>
  <c r="Q7" i="5"/>
  <c r="O15" i="5"/>
  <c r="O8" i="5"/>
  <c r="O16" i="5" s="1"/>
  <c r="P15" i="5"/>
  <c r="P8" i="5"/>
  <c r="P16" i="5" s="1"/>
  <c r="AZ312" i="5" l="1"/>
  <c r="Q15" i="5"/>
  <c r="Q8" i="5"/>
  <c r="Q16" i="5" s="1"/>
  <c r="R65" i="5" l="1"/>
  <c r="R30" i="5"/>
  <c r="S30" i="5" s="1"/>
  <c r="BB312" i="5"/>
  <c r="BB19" i="5" s="1"/>
  <c r="J9" i="5" s="1"/>
  <c r="R7" i="5"/>
  <c r="S7" i="5" s="1"/>
  <c r="T7" i="5" s="1"/>
  <c r="R32" i="5" l="1"/>
  <c r="S32" i="5"/>
  <c r="R66" i="5"/>
  <c r="S65" i="5"/>
  <c r="S66" i="5" s="1"/>
  <c r="R8" i="5"/>
  <c r="R16" i="5" s="1"/>
  <c r="R15" i="5"/>
  <c r="S8" i="5"/>
  <c r="S15" i="5"/>
  <c r="T30" i="5" l="1"/>
  <c r="T47" i="5" s="1"/>
  <c r="V47" i="5" s="1"/>
  <c r="J25" i="5"/>
  <c r="T32" i="5"/>
  <c r="T8" i="5"/>
  <c r="S1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Ivan Carrara Fonseca</author>
  </authors>
  <commentList>
    <comment ref="W19" authorId="0" shapeId="0" xr:uid="{00000000-0006-0000-0100-000001000000}">
      <text>
        <r>
          <rPr>
            <b/>
            <sz val="9"/>
            <color indexed="81"/>
            <rFont val="Tahoma"/>
            <family val="2"/>
          </rPr>
          <t>Data da última atualização</t>
        </r>
      </text>
    </comment>
    <comment ref="BE63" authorId="0" shapeId="0" xr:uid="{00000000-0006-0000-0100-000002000000}">
      <text>
        <r>
          <rPr>
            <b/>
            <sz val="9"/>
            <color indexed="81"/>
            <rFont val="Tahoma"/>
            <family val="2"/>
          </rPr>
          <t>Montante Itaipu (Capivara ): REE Paranapanema</t>
        </r>
      </text>
    </comment>
    <comment ref="BE64" authorId="0" shapeId="0" xr:uid="{00000000-0006-0000-0100-000003000000}">
      <text>
        <r>
          <rPr>
            <b/>
            <sz val="9"/>
            <color indexed="81"/>
            <rFont val="Tahoma"/>
            <family val="2"/>
          </rPr>
          <t>Montante Itaipu: REE Paraná</t>
        </r>
        <r>
          <rPr>
            <sz val="9"/>
            <color indexed="81"/>
            <rFont val="Tahoma"/>
            <family val="2"/>
          </rPr>
          <t xml:space="preserve">
</t>
        </r>
      </text>
    </comment>
    <comment ref="BE65" authorId="0" shapeId="0" xr:uid="{00000000-0006-0000-0100-000004000000}">
      <text>
        <r>
          <rPr>
            <b/>
            <sz val="9"/>
            <color indexed="81"/>
            <rFont val="Tahoma"/>
            <family val="2"/>
          </rPr>
          <t>Incremental Itaipu</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<sst xmlns="http://schemas.openxmlformats.org/spreadsheetml/2006/main" count="2286" uniqueCount="888">
  <si>
    <t>BARRA BONITA</t>
  </si>
  <si>
    <t>M. DE MORAES</t>
  </si>
  <si>
    <t>SANTA BRANCA</t>
  </si>
  <si>
    <t>GUARAPIRANGA</t>
  </si>
  <si>
    <t>RETIRO BAIXO</t>
  </si>
  <si>
    <t xml:space="preserve">PASSO REAL  </t>
  </si>
  <si>
    <t xml:space="preserve">PASSO FUNDO </t>
  </si>
  <si>
    <t>BARRA GRANDE</t>
  </si>
  <si>
    <t>CAMPOS NOVOS</t>
  </si>
  <si>
    <t xml:space="preserve">SOBRADINHO  </t>
  </si>
  <si>
    <t>B. ESPERANCA</t>
  </si>
  <si>
    <t xml:space="preserve">TUCURUI     </t>
  </si>
  <si>
    <t xml:space="preserve">CURUA-UNA   </t>
  </si>
  <si>
    <t>Usina</t>
  </si>
  <si>
    <t>Submercado</t>
  </si>
  <si>
    <t>CAMARGOS</t>
  </si>
  <si>
    <t>FURNAS</t>
  </si>
  <si>
    <t>FUNIL-GRANDE</t>
  </si>
  <si>
    <t>CACONDE</t>
  </si>
  <si>
    <t>MARIMBONDO</t>
  </si>
  <si>
    <t>BATALHA</t>
  </si>
  <si>
    <t>SERRA FACAO</t>
  </si>
  <si>
    <t>EMBORCACAO</t>
  </si>
  <si>
    <t>VOLTA GRANDE</t>
  </si>
  <si>
    <t>NOVA PONTE</t>
  </si>
  <si>
    <t>MIRANDA</t>
  </si>
  <si>
    <t>CORUMBA IV</t>
  </si>
  <si>
    <t>CORUMBA III</t>
  </si>
  <si>
    <t>CORUMBA I</t>
  </si>
  <si>
    <t>ITUMBIARA</t>
  </si>
  <si>
    <t>SAO SIMAO</t>
  </si>
  <si>
    <t>BILLINGS</t>
  </si>
  <si>
    <t>PROMISSAO</t>
  </si>
  <si>
    <t>CACU</t>
  </si>
  <si>
    <t>ESPORA</t>
  </si>
  <si>
    <t>CHAVANTES</t>
  </si>
  <si>
    <t>CAPIVARA</t>
  </si>
  <si>
    <t>ITAIPU</t>
  </si>
  <si>
    <t>JAGUARI</t>
  </si>
  <si>
    <t>PARAIBUNA</t>
  </si>
  <si>
    <t>FUNIL</t>
  </si>
  <si>
    <t>LAJES</t>
  </si>
  <si>
    <t>MANSO</t>
  </si>
  <si>
    <t>SAMUEL</t>
  </si>
  <si>
    <t>RONDON II</t>
  </si>
  <si>
    <t>GARIBALDI</t>
  </si>
  <si>
    <t>MACHADINHO</t>
  </si>
  <si>
    <t>SEGREDO</t>
  </si>
  <si>
    <t>ERNESTINA</t>
  </si>
  <si>
    <t>TRES MARIAS</t>
  </si>
  <si>
    <t>QUEIMADO</t>
  </si>
  <si>
    <t>ITAPARICA</t>
  </si>
  <si>
    <t>CACHOEIRINHA</t>
  </si>
  <si>
    <t>SALTO CAXIAS</t>
  </si>
  <si>
    <t>BALBINA</t>
  </si>
  <si>
    <t>CASTRO ALVES</t>
  </si>
  <si>
    <t xml:space="preserve">JACUI       </t>
  </si>
  <si>
    <t xml:space="preserve">ITAUBA      </t>
  </si>
  <si>
    <t>SALTO GRANDE</t>
  </si>
  <si>
    <t>SLT VERDINHO</t>
  </si>
  <si>
    <t>ESTREITO TOC</t>
  </si>
  <si>
    <t>SANTA ISABEL</t>
  </si>
  <si>
    <t>B. COQUEIROS</t>
  </si>
  <si>
    <t>Região</t>
  </si>
  <si>
    <t>Resultado</t>
  </si>
  <si>
    <t>SUBMERCADO</t>
  </si>
  <si>
    <t>Posto</t>
  </si>
  <si>
    <t>GRANDE</t>
  </si>
  <si>
    <t>ITUTINGA</t>
  </si>
  <si>
    <t>L.C.BARRETO</t>
  </si>
  <si>
    <t>JAGUARA</t>
  </si>
  <si>
    <t>IGARAPAVA</t>
  </si>
  <si>
    <t>E.CUNHA</t>
  </si>
  <si>
    <t>PARANAÍBA</t>
  </si>
  <si>
    <t>ILHA SOLTEIRA</t>
  </si>
  <si>
    <t>JURUMIRIM</t>
  </si>
  <si>
    <t>PIRAJU</t>
  </si>
  <si>
    <t>CANOAS II</t>
  </si>
  <si>
    <t>CANOAS I</t>
  </si>
  <si>
    <t>MAUÁ</t>
  </si>
  <si>
    <t>ROSANA</t>
  </si>
  <si>
    <t>IGUAÇU</t>
  </si>
  <si>
    <t>FUNDÃO</t>
  </si>
  <si>
    <t>FOZ DO AREIA</t>
  </si>
  <si>
    <t>URUGUAI</t>
  </si>
  <si>
    <t>ITÁ</t>
  </si>
  <si>
    <t>FOZ DO CHAPECÓ</t>
  </si>
  <si>
    <t>MONTE CLARO</t>
  </si>
  <si>
    <t>JACUÍ</t>
  </si>
  <si>
    <t>SÃO JOSÉ</t>
  </si>
  <si>
    <t>PASSO SÃO JOÃO</t>
  </si>
  <si>
    <t>D.FRANCISCA</t>
  </si>
  <si>
    <t>CAPIVARI</t>
  </si>
  <si>
    <t>TIETÊ</t>
  </si>
  <si>
    <t>BILL. + PEDRAS</t>
  </si>
  <si>
    <t>STA.CECÍLIA</t>
  </si>
  <si>
    <t>ANTA</t>
  </si>
  <si>
    <t>I.POMBOS</t>
  </si>
  <si>
    <t>DOCE</t>
  </si>
  <si>
    <t>BAGUARI</t>
  </si>
  <si>
    <t>MASCARENHAS</t>
  </si>
  <si>
    <t>AIMORÉS</t>
  </si>
  <si>
    <t>CANDONGA</t>
  </si>
  <si>
    <t>PONTE NOVA</t>
  </si>
  <si>
    <t>E.S. + PINHEIROS</t>
  </si>
  <si>
    <t>E.SOUZA</t>
  </si>
  <si>
    <t>SOBRAD.INCR.</t>
  </si>
  <si>
    <t>MOXOTÓ</t>
  </si>
  <si>
    <t>P.A.123</t>
  </si>
  <si>
    <t>P.A.4</t>
  </si>
  <si>
    <t>XINGÓ</t>
  </si>
  <si>
    <t>SÁ CARVALHO</t>
  </si>
  <si>
    <t>ITAPEBI</t>
  </si>
  <si>
    <t>PARNAÍBA</t>
  </si>
  <si>
    <t>CANA BRAVA</t>
  </si>
  <si>
    <t>ROSAL</t>
  </si>
  <si>
    <t>ITABAPOANA</t>
  </si>
  <si>
    <t>PICADA</t>
  </si>
  <si>
    <t>SOBRAGI</t>
  </si>
  <si>
    <t>TOCOS</t>
  </si>
  <si>
    <t>SANTANA</t>
  </si>
  <si>
    <t>MONJOLINHO</t>
  </si>
  <si>
    <t>TELES PIRES</t>
  </si>
  <si>
    <t>B. BONITA</t>
  </si>
  <si>
    <t>BARIRI</t>
  </si>
  <si>
    <t>IBITINGA</t>
  </si>
  <si>
    <t>PROMISSÃO</t>
  </si>
  <si>
    <t>N.AVANHAN.</t>
  </si>
  <si>
    <t>TRÊS IRMÃOS</t>
  </si>
  <si>
    <t>JUPIÁ</t>
  </si>
  <si>
    <t>P.PRIMAVERA</t>
  </si>
  <si>
    <t>OURINHOS</t>
  </si>
  <si>
    <t>SÃO SALVADOR</t>
  </si>
  <si>
    <t>PARAGUAÇU</t>
  </si>
  <si>
    <t>IRAPÉ</t>
  </si>
  <si>
    <t>ITIQUIRA I</t>
  </si>
  <si>
    <t>PARAGUAI</t>
  </si>
  <si>
    <t>LAJEADO</t>
  </si>
  <si>
    <t>COARACY NUNES</t>
  </si>
  <si>
    <t>ARAGUARI</t>
  </si>
  <si>
    <t>P.PEDRA</t>
  </si>
  <si>
    <t>MUCURI</t>
  </si>
  <si>
    <t>14 DE JULHO</t>
  </si>
  <si>
    <t>JIRAU</t>
  </si>
  <si>
    <t>DARDANELOS</t>
  </si>
  <si>
    <t>SALTO</t>
  </si>
  <si>
    <t>JAURU</t>
  </si>
  <si>
    <t>GUAPORÉ</t>
  </si>
  <si>
    <t>FERREIRA GOMES</t>
  </si>
  <si>
    <t>FONTES</t>
  </si>
  <si>
    <t>VIGÁRIO</t>
  </si>
  <si>
    <t>ND</t>
  </si>
  <si>
    <t>SÃO JOÃO</t>
  </si>
  <si>
    <t>BAIXO IGUAÇU</t>
  </si>
  <si>
    <t>SÃO ROQUE</t>
  </si>
  <si>
    <t>MURTA</t>
  </si>
  <si>
    <t>C. CALDEIRÃO</t>
  </si>
  <si>
    <t>SINOP</t>
  </si>
  <si>
    <t>COLÍDER</t>
  </si>
  <si>
    <t>SÃO MANOEL</t>
  </si>
  <si>
    <t>SALTO APIACÁS</t>
  </si>
  <si>
    <t>BELO MONTE</t>
  </si>
  <si>
    <t>Média</t>
  </si>
  <si>
    <t>%MLT</t>
  </si>
  <si>
    <t>SUDESTE</t>
  </si>
  <si>
    <t>SUL</t>
  </si>
  <si>
    <t>NORDESTE</t>
  </si>
  <si>
    <t>NORTE</t>
  </si>
  <si>
    <t>SIN</t>
  </si>
  <si>
    <t>LIMOEIRO</t>
  </si>
  <si>
    <t>ALTO PARANÁ</t>
  </si>
  <si>
    <t>BAIXO PARANÁ</t>
  </si>
  <si>
    <t>PARAÍBA DO SUL</t>
  </si>
  <si>
    <t>SÃO FRANCISCO (SE)</t>
  </si>
  <si>
    <t>TOCANTINS (SE)</t>
  </si>
  <si>
    <t>CAPIM BRANCO 1</t>
  </si>
  <si>
    <t>AMAZONAS (SE)</t>
  </si>
  <si>
    <t>TOCANTINS (N)</t>
  </si>
  <si>
    <t>N.AVANHANDAVA</t>
  </si>
  <si>
    <t>ALTO TIETÊ</t>
  </si>
  <si>
    <t>TRES IRMAOS</t>
  </si>
  <si>
    <t>PARANAPANEMA (S)</t>
  </si>
  <si>
    <t>JUPIA</t>
  </si>
  <si>
    <t>FOZ DO RIO CLARO</t>
  </si>
  <si>
    <t>ITAJAÍ-AÇU</t>
  </si>
  <si>
    <t>LUCAS GARCEZ</t>
  </si>
  <si>
    <t>SÃO FRANCISCO (NE)</t>
  </si>
  <si>
    <t>JEQUITINHONHA (NE)</t>
  </si>
  <si>
    <t>TAQUARUCU</t>
  </si>
  <si>
    <t>JEQUITINHONHA (SE)</t>
  </si>
  <si>
    <t>AMAZONAS (N)</t>
  </si>
  <si>
    <t>ITAIPU ART.</t>
  </si>
  <si>
    <t>NILO PEÇANHA</t>
  </si>
  <si>
    <t>SIMPLÍCIO ART.</t>
  </si>
  <si>
    <t>H.BORDEN</t>
  </si>
  <si>
    <t>ITIQUIRA II</t>
  </si>
  <si>
    <t>PEIXE ANGICAL</t>
  </si>
  <si>
    <t>PORTO ESTRELA</t>
  </si>
  <si>
    <t>SERRA DA MESA</t>
  </si>
  <si>
    <t>PEREIRA PASSOS</t>
  </si>
  <si>
    <t>SANTO ANTONIO</t>
  </si>
  <si>
    <t>ILHA POMBOS</t>
  </si>
  <si>
    <t>JORDÃO NAT.</t>
  </si>
  <si>
    <t>SLT SANTIAGO</t>
  </si>
  <si>
    <t>SALTO PILAO</t>
  </si>
  <si>
    <t>COMPLEXO</t>
  </si>
  <si>
    <t>PEDRA DO CAVALO</t>
  </si>
  <si>
    <t>SANTO ANTONIO DO JARI</t>
  </si>
  <si>
    <t>QUEBRA-QUEIXO</t>
  </si>
  <si>
    <t>Sudeste</t>
  </si>
  <si>
    <t>Sul</t>
  </si>
  <si>
    <t>Nordeste</t>
  </si>
  <si>
    <t>Norte</t>
  </si>
  <si>
    <t>SANTA CLARA</t>
  </si>
  <si>
    <t>GUILMAN AMORIM</t>
  </si>
  <si>
    <t>CAP.CACHOEIRA</t>
  </si>
  <si>
    <t>SALTO OSÓRIO</t>
  </si>
  <si>
    <t>STA CLARA</t>
  </si>
  <si>
    <t>C. DOURADA</t>
  </si>
  <si>
    <t>CAPIM BRANCO II</t>
  </si>
  <si>
    <t>ÁGUA VERMELHA</t>
  </si>
  <si>
    <t>P. COLOMBIA</t>
  </si>
  <si>
    <t>PARANAPANEMA (SE)</t>
  </si>
  <si>
    <t>Produtividade</t>
  </si>
  <si>
    <t>Cod Região</t>
  </si>
  <si>
    <t>Bacia</t>
  </si>
  <si>
    <t>Nome</t>
  </si>
  <si>
    <t>Sem 1</t>
  </si>
  <si>
    <t>Sem 2</t>
  </si>
  <si>
    <t>Sem 3</t>
  </si>
  <si>
    <t>Sem 4</t>
  </si>
  <si>
    <t>Sem 5</t>
  </si>
  <si>
    <t>Sem 6</t>
  </si>
  <si>
    <t>Postos Artificiais</t>
  </si>
  <si>
    <t>Postos</t>
  </si>
  <si>
    <t>Usado</t>
  </si>
  <si>
    <t>Erro</t>
  </si>
  <si>
    <t>MLT</t>
  </si>
  <si>
    <t>BOCAINA</t>
  </si>
  <si>
    <t>S GDE CHOPI</t>
  </si>
  <si>
    <t>SAO JOAO</t>
  </si>
  <si>
    <t>BAIXO IGUAC</t>
  </si>
  <si>
    <t>ITAPARICA F</t>
  </si>
  <si>
    <t>COUTO MAGAL</t>
  </si>
  <si>
    <t>ITAOCARA</t>
  </si>
  <si>
    <t>SLT APIACAS</t>
  </si>
  <si>
    <t>COLIDER</t>
  </si>
  <si>
    <t>TRAIRA</t>
  </si>
  <si>
    <t>BAU I</t>
  </si>
  <si>
    <t>S. QUEBRADA</t>
  </si>
  <si>
    <t>OLHO DAGUA</t>
  </si>
  <si>
    <t>ITUMIRIM</t>
  </si>
  <si>
    <t>VIGARIO</t>
  </si>
  <si>
    <t>BILLINGS AN</t>
  </si>
  <si>
    <t>ITAGUACU</t>
  </si>
  <si>
    <t>BILLINGS_PE</t>
  </si>
  <si>
    <t>CACH. CALDEI</t>
  </si>
  <si>
    <t>CUBATÃO</t>
  </si>
  <si>
    <t>SÃO JERONIM</t>
  </si>
  <si>
    <t>Grande</t>
  </si>
  <si>
    <t>Paranaíba</t>
  </si>
  <si>
    <t>Tietê</t>
  </si>
  <si>
    <t>Paranapanema (SE)</t>
  </si>
  <si>
    <t>Paranapanema (S)</t>
  </si>
  <si>
    <t>Alto Paraná</t>
  </si>
  <si>
    <t>Baixo Paraná</t>
  </si>
  <si>
    <t>Alto Tietê</t>
  </si>
  <si>
    <t>Paraíba do Sul</t>
  </si>
  <si>
    <t>Itabapoana</t>
  </si>
  <si>
    <t>Mucuri</t>
  </si>
  <si>
    <t>Doce</t>
  </si>
  <si>
    <t>Paraguai</t>
  </si>
  <si>
    <t>Iguaçu</t>
  </si>
  <si>
    <t>Jacuí</t>
  </si>
  <si>
    <t>Uruguai</t>
  </si>
  <si>
    <t>Capivari</t>
  </si>
  <si>
    <t>Itajaí-Açu</t>
  </si>
  <si>
    <t>São Francisco (SE)</t>
  </si>
  <si>
    <t>São Francisco (NE)</t>
  </si>
  <si>
    <t>Parnaíba</t>
  </si>
  <si>
    <t>Paraguaçu</t>
  </si>
  <si>
    <t>Jequitinhonha (SE)</t>
  </si>
  <si>
    <t>Jequitinhonha (NE)</t>
  </si>
  <si>
    <t>Tocantins (SE)</t>
  </si>
  <si>
    <t>Tocantins (N)</t>
  </si>
  <si>
    <t>Amazonas (SE)</t>
  </si>
  <si>
    <t>Amazonas (N)</t>
  </si>
  <si>
    <t>ILHA SOLTEIRA EQUIVALENTE</t>
  </si>
  <si>
    <t>Prevs  - BASE</t>
  </si>
  <si>
    <t>ENERGIA NATURAL AFLUENTE (%MLT)</t>
  </si>
  <si>
    <t>ENERGIA NATURAL AFLUENTE (MWmed)</t>
  </si>
  <si>
    <t>MADEIRA</t>
  </si>
  <si>
    <t>PARANA</t>
  </si>
  <si>
    <t>REE's</t>
  </si>
  <si>
    <t>ENAS BACIAS</t>
  </si>
  <si>
    <t>Variação</t>
  </si>
  <si>
    <t>Fevereiro</t>
  </si>
  <si>
    <t>Março</t>
  </si>
  <si>
    <t>Maio</t>
  </si>
  <si>
    <t>Setembro</t>
  </si>
  <si>
    <t>Dezembro</t>
  </si>
  <si>
    <t>Novembro</t>
  </si>
  <si>
    <t>Janeiro</t>
  </si>
  <si>
    <t>Abril</t>
  </si>
  <si>
    <t>Junho</t>
  </si>
  <si>
    <t>Julho</t>
  </si>
  <si>
    <t>Agosto</t>
  </si>
  <si>
    <t>Outubro</t>
  </si>
  <si>
    <t>RV1</t>
  </si>
  <si>
    <t>Prodt.</t>
  </si>
  <si>
    <t>Chk</t>
  </si>
  <si>
    <t>Linha</t>
  </si>
  <si>
    <t/>
  </si>
  <si>
    <t>RV0</t>
  </si>
  <si>
    <t>RV2</t>
  </si>
  <si>
    <t>RV3</t>
  </si>
  <si>
    <t>RV4</t>
  </si>
  <si>
    <t>RV5</t>
  </si>
  <si>
    <t>1 - Sudeste</t>
  </si>
  <si>
    <t>2 - Sul</t>
  </si>
  <si>
    <t>3 - Nordeste</t>
  </si>
  <si>
    <t>4 - Norte</t>
  </si>
  <si>
    <t>Dadger</t>
  </si>
  <si>
    <t>Sumario</t>
  </si>
  <si>
    <t>INCR. ITAIPU</t>
  </si>
  <si>
    <t>Prod.</t>
  </si>
  <si>
    <t xml:space="preserve">Post. </t>
  </si>
  <si>
    <t>Araguari</t>
  </si>
  <si>
    <t>SM</t>
  </si>
  <si>
    <t>REE</t>
  </si>
  <si>
    <t>BCA</t>
  </si>
  <si>
    <t>PST</t>
  </si>
  <si>
    <t>Projeção</t>
  </si>
  <si>
    <t>292_1</t>
  </si>
  <si>
    <t>292_2</t>
  </si>
  <si>
    <t>Mês_1</t>
  </si>
  <si>
    <t>Mês_2</t>
  </si>
  <si>
    <t>Belo Monte</t>
  </si>
  <si>
    <t>PRNPANEMA</t>
  </si>
  <si>
    <t>IGUACU</t>
  </si>
  <si>
    <t>MANAUS</t>
  </si>
  <si>
    <t>REE's II</t>
  </si>
  <si>
    <t>FICT.STA BRA</t>
  </si>
  <si>
    <t>FICT.MAUA</t>
  </si>
  <si>
    <t>A.A. LAYDNER</t>
  </si>
  <si>
    <t>L.N. GARCEZ</t>
  </si>
  <si>
    <t>CAPIM BRANC1</t>
  </si>
  <si>
    <t>CAPIM BRANC2</t>
  </si>
  <si>
    <t>FOZ R. CLARO</t>
  </si>
  <si>
    <t>ESTREITO</t>
  </si>
  <si>
    <t>E. DA CUNHA</t>
  </si>
  <si>
    <t>A.S.OLIVEIRA</t>
  </si>
  <si>
    <t>A. VERMELHA</t>
  </si>
  <si>
    <t>CACH.DOURADA</t>
  </si>
  <si>
    <t>A.S. LIMA</t>
  </si>
  <si>
    <t>NAVANHANDAVA</t>
  </si>
  <si>
    <t>I. SOLT. EQV</t>
  </si>
  <si>
    <t>P. PRIMAVERA</t>
  </si>
  <si>
    <t>T.IRM. + ILHA S. - BILLINGS</t>
  </si>
  <si>
    <t>INCREMENTAL ITAIPU</t>
  </si>
  <si>
    <t>XINGU</t>
  </si>
  <si>
    <t>Xingu</t>
  </si>
  <si>
    <t>rv1</t>
  </si>
  <si>
    <t>rv2</t>
  </si>
  <si>
    <t>rv0</t>
  </si>
  <si>
    <t>rv3</t>
  </si>
  <si>
    <t>rv4</t>
  </si>
  <si>
    <t>rv5</t>
  </si>
  <si>
    <t>LI</t>
  </si>
  <si>
    <t>Semana 2</t>
  </si>
  <si>
    <t>VE</t>
  </si>
  <si>
    <t>SÃO DOMINGOS</t>
  </si>
  <si>
    <t>RDH</t>
  </si>
  <si>
    <t>AJUSTAR RDH</t>
  </si>
  <si>
    <t>SS</t>
  </si>
  <si>
    <t xml:space="preserve">     73  JORDAO        100.0  100.0  100.0  100.0</t>
  </si>
  <si>
    <t>UH    2  10          0.0               1</t>
  </si>
  <si>
    <t>UH    4  10          0.0               1</t>
  </si>
  <si>
    <t>UH   28  10          0.0               1</t>
  </si>
  <si>
    <t>UH  134   1          0.0               1</t>
  </si>
  <si>
    <t>UH   10  10          0.0               1</t>
  </si>
  <si>
    <t>UH  143   1          0.0               1</t>
  </si>
  <si>
    <t>UH  217   1          0.0               1</t>
  </si>
  <si>
    <t>UH  193   1          0.0               1</t>
  </si>
  <si>
    <t>UH  141   1          0.0               1</t>
  </si>
  <si>
    <t>UH   42  10          0.0               1</t>
  </si>
  <si>
    <t>UH   15  10          0.0               1</t>
  </si>
  <si>
    <t>UH   16  10          0.0               1</t>
  </si>
  <si>
    <t>UH   38  10          0.0               1</t>
  </si>
  <si>
    <t>UH   39  10          0.0               1</t>
  </si>
  <si>
    <t>UH   62  12          0.0               1</t>
  </si>
  <si>
    <t>UH   63  12          0.0               1</t>
  </si>
  <si>
    <t>UH   52  12          0.0               1</t>
  </si>
  <si>
    <t>UH   51  12          0.0               1</t>
  </si>
  <si>
    <t>UH   50  12          0.0               1</t>
  </si>
  <si>
    <t>UH   46  10          0.0               1</t>
  </si>
  <si>
    <t>UH    8  10          0.0               1</t>
  </si>
  <si>
    <t>UH   12  10          0.0               1</t>
  </si>
  <si>
    <t>UH  129   1          0.0               1</t>
  </si>
  <si>
    <t>UH  287   6          0.0               1</t>
  </si>
  <si>
    <t>UH  130   1          0.0               1</t>
  </si>
  <si>
    <t>UH  131   1          0.0               1</t>
  </si>
  <si>
    <t>UH  133   1          0.0               1</t>
  </si>
  <si>
    <t>UH  125   1          0.0               1</t>
  </si>
  <si>
    <t>UH  180   1          0.0               1</t>
  </si>
  <si>
    <t>UH  181   1          0.0               1</t>
  </si>
  <si>
    <t>UH  182   1          0.0               1</t>
  </si>
  <si>
    <t>UH  183   1          0.0               1</t>
  </si>
  <si>
    <t>UH  184   1          0.0               1</t>
  </si>
  <si>
    <t>UH  107  10          0.0               1</t>
  </si>
  <si>
    <t>UH  108   1          0.0               1</t>
  </si>
  <si>
    <t>UH  109   1          0.0               1</t>
  </si>
  <si>
    <t>UH  119   1          0.0               1</t>
  </si>
  <si>
    <t>UH   32  10          0.0               1</t>
  </si>
  <si>
    <t>UH   11  10          0.0               1</t>
  </si>
  <si>
    <t>UH  139   1          0.0               1</t>
  </si>
  <si>
    <t>UH  262  10          0.0               1</t>
  </si>
  <si>
    <t>UH  144   1          0.0               1</t>
  </si>
  <si>
    <t>UH   66   5         0.00               1</t>
  </si>
  <si>
    <t>UH  110   2       100.00               1</t>
  </si>
  <si>
    <t>UH  112   2          0.0               1</t>
  </si>
  <si>
    <t>UH  113   2          0.0               1</t>
  </si>
  <si>
    <t>UH  114   2          0.0               1</t>
  </si>
  <si>
    <t>UH   82  11          0.0               1</t>
  </si>
  <si>
    <t>UH   73  11        100.0               1</t>
  </si>
  <si>
    <t>UH   72  11          0.0               1</t>
  </si>
  <si>
    <t>UH   78  11          0.0               1</t>
  </si>
  <si>
    <t>UH   92   2          0.0               1</t>
  </si>
  <si>
    <t>UH  252   1          0.0               1</t>
  </si>
  <si>
    <t>UH  253   1          0.0               1</t>
  </si>
  <si>
    <t>UH  267   4          0.0               1</t>
  </si>
  <si>
    <t>UH  281   1          0.0               1</t>
  </si>
  <si>
    <t>UH    9  10          0.0               1</t>
  </si>
  <si>
    <t>UH   97   2          0.0               1</t>
  </si>
  <si>
    <t>UH   98   2          0.0               1</t>
  </si>
  <si>
    <t>UH   99   2          0.0               1</t>
  </si>
  <si>
    <t>UH  103   2          0.0               1</t>
  </si>
  <si>
    <t>UH  173   3          0.0               1</t>
  </si>
  <si>
    <t>UH  174   3          0.0               1</t>
  </si>
  <si>
    <t>UH  175   3          0.0               1</t>
  </si>
  <si>
    <t>UH  178   3          0.0               1</t>
  </si>
  <si>
    <t>UH  280   9          0.0               1</t>
  </si>
  <si>
    <t>UH  204   9          0.0               1</t>
  </si>
  <si>
    <t>UH  127   1          0.0               1</t>
  </si>
  <si>
    <t>UH  126   1          0.0               1</t>
  </si>
  <si>
    <t>UH  283   1          0.0               1</t>
  </si>
  <si>
    <t>UH  261   1          0.0               1</t>
  </si>
  <si>
    <t>UH   48  12          0.0               1</t>
  </si>
  <si>
    <t>UH  249  12          0.0               1</t>
  </si>
  <si>
    <t>UH  241  10          0.0               1</t>
  </si>
  <si>
    <t>UH  304   1          0.0               1</t>
  </si>
  <si>
    <t>UH  305   1          0.0               1</t>
  </si>
  <si>
    <t>UH  196   6          0.0               1</t>
  </si>
  <si>
    <t>UH  195   1          0.0               1</t>
  </si>
  <si>
    <t>UH  154   3          0.0               1</t>
  </si>
  <si>
    <t>UH  310   6          0.0               1</t>
  </si>
  <si>
    <t>UH   94   2          0.0               1</t>
  </si>
  <si>
    <t>UH  215   2          0.0               1</t>
  </si>
  <si>
    <t>UH  311  10        25.00               1</t>
  </si>
  <si>
    <t>UH  312  10          0.0               1</t>
  </si>
  <si>
    <t>UH  315  10          0.0               1</t>
  </si>
  <si>
    <t>UH  101   2          0.0               1</t>
  </si>
  <si>
    <t>UH  102   2          0.0               1</t>
  </si>
  <si>
    <t>UH  153  10          0.0               1</t>
  </si>
  <si>
    <t>UH  285   6          0.0               1</t>
  </si>
  <si>
    <t>UH  286   9          0.0               1</t>
  </si>
  <si>
    <t>UH  284   9          0.0               1</t>
  </si>
  <si>
    <t>UH  229   7          0.0               1</t>
  </si>
  <si>
    <t>UH  192   1          0.0               1</t>
  </si>
  <si>
    <t>UH  230   7          0.0               1</t>
  </si>
  <si>
    <t>UH   45  10          0.0               1</t>
  </si>
  <si>
    <t>UH  288   8          0.0               1                            0</t>
  </si>
  <si>
    <t>UH  314   8          0.0               1</t>
  </si>
  <si>
    <t>REE SUDESTE</t>
  </si>
  <si>
    <t>REE PARANA</t>
  </si>
  <si>
    <t>REE ITAIPU</t>
  </si>
  <si>
    <t>REE NORTE</t>
  </si>
  <si>
    <t>REE PRNPANEMA</t>
  </si>
  <si>
    <t>REE IGUACU</t>
  </si>
  <si>
    <t>CMONT</t>
  </si>
  <si>
    <t>90.00</t>
  </si>
  <si>
    <t>89.75</t>
  </si>
  <si>
    <t>87.95</t>
  </si>
  <si>
    <t>85.27</t>
  </si>
  <si>
    <t>83.30</t>
  </si>
  <si>
    <t>82.78</t>
  </si>
  <si>
    <t>83.04</t>
  </si>
  <si>
    <t>84.53</t>
  </si>
  <si>
    <t>87.15</t>
  </si>
  <si>
    <t>89.44</t>
  </si>
  <si>
    <t>73.71</t>
  </si>
  <si>
    <t>74.24</t>
  </si>
  <si>
    <t>74.02</t>
  </si>
  <si>
    <t>73.21</t>
  </si>
  <si>
    <t>72.39</t>
  </si>
  <si>
    <t>71.80</t>
  </si>
  <si>
    <t>71.49</t>
  </si>
  <si>
    <t>71.40</t>
  </si>
  <si>
    <t>71.44</t>
  </si>
  <si>
    <t>71.66</t>
  </si>
  <si>
    <t>72.14</t>
  </si>
  <si>
    <t>72.91</t>
  </si>
  <si>
    <t>Mês</t>
  </si>
  <si>
    <t>CFUGA</t>
  </si>
  <si>
    <t>285 - JIRAU</t>
  </si>
  <si>
    <t>PROD</t>
  </si>
  <si>
    <t>287 - ST ANTONIO</t>
  </si>
  <si>
    <t>71.12</t>
  </si>
  <si>
    <t>70.83</t>
  </si>
  <si>
    <t>70.92</t>
  </si>
  <si>
    <t>71.22</t>
  </si>
  <si>
    <t>71.30</t>
  </si>
  <si>
    <t>71.28</t>
  </si>
  <si>
    <t>57.21</t>
  </si>
  <si>
    <t>58.40</t>
  </si>
  <si>
    <t>58.11</t>
  </si>
  <si>
    <t>56.07</t>
  </si>
  <si>
    <t>53.54</t>
  </si>
  <si>
    <t>50.86</t>
  </si>
  <si>
    <t>48.55</t>
  </si>
  <si>
    <t>47.44</t>
  </si>
  <si>
    <t>48.04</t>
  </si>
  <si>
    <t>49.96</t>
  </si>
  <si>
    <t>52.58</t>
  </si>
  <si>
    <t>55.23</t>
  </si>
  <si>
    <t>Ano</t>
  </si>
  <si>
    <t>PERDAS</t>
  </si>
  <si>
    <t>PROD ESP</t>
  </si>
  <si>
    <t>UH    1  10        35.79               1</t>
  </si>
  <si>
    <t>UH   24  10        25.84               1</t>
  </si>
  <si>
    <t>UH   27  10        22.91               1</t>
  </si>
  <si>
    <t>UH   25  10        23.86               1</t>
  </si>
  <si>
    <t>UH  156   1        57.55               1</t>
  </si>
  <si>
    <t>UH  162   1        37.26               1</t>
  </si>
  <si>
    <t>UH  148   1        29.72               1</t>
  </si>
  <si>
    <t>UH   14  10        76.10               1</t>
  </si>
  <si>
    <t>UH   18  10        22.20               1</t>
  </si>
  <si>
    <t>UH   37  10        52.70               1</t>
  </si>
  <si>
    <t>UH   40  10        32.80               1</t>
  </si>
  <si>
    <t>UH   47  12        13.06               1</t>
  </si>
  <si>
    <t>UH   49  12        15.55               1</t>
  </si>
  <si>
    <t>UH   61  12        24.31               1</t>
  </si>
  <si>
    <t>UH  120   1        48.31               1</t>
  </si>
  <si>
    <t>UH  121   1        36.32               1</t>
  </si>
  <si>
    <t>UH    6  10        26.58               1</t>
  </si>
  <si>
    <t>UH    7  10        22.54               1</t>
  </si>
  <si>
    <t>UH   17  10        23.02               1</t>
  </si>
  <si>
    <t>UH   31  10        22.58               1</t>
  </si>
  <si>
    <t>UH   30  10        37.15               1</t>
  </si>
  <si>
    <t>UH  251   1        11.77               1</t>
  </si>
  <si>
    <t>UH  278   1        58.81               1</t>
  </si>
  <si>
    <t>UH  123   1        42.44               1</t>
  </si>
  <si>
    <t>UH   20  10        50.08               1</t>
  </si>
  <si>
    <t>UH  257   1        36.10               1</t>
  </si>
  <si>
    <t>UH  122   1        28.50               1</t>
  </si>
  <si>
    <t>UH  124   1        80.21               1</t>
  </si>
  <si>
    <t>UH  117   1        78.48               1</t>
  </si>
  <si>
    <t>UH  118   1        84.84               1</t>
  </si>
  <si>
    <t>UH  135   1        67.00               1</t>
  </si>
  <si>
    <t>UH   89   2        34.08               1</t>
  </si>
  <si>
    <t>UH  111   2        82.19               1</t>
  </si>
  <si>
    <t>UH   74  11        24.30               1</t>
  </si>
  <si>
    <t>UH   76  11        18.60               1</t>
  </si>
  <si>
    <t>UH  115   2        35.00               1</t>
  </si>
  <si>
    <t>UH   71  11        49.60               1</t>
  </si>
  <si>
    <t>UH   57  11        10.20               1</t>
  </si>
  <si>
    <t>UH  228   7         0.00               1</t>
  </si>
  <si>
    <t>UH   77  11        38.85               1</t>
  </si>
  <si>
    <t>UH   93   2        57.92               1</t>
  </si>
  <si>
    <t>UH   91   2        28.97               1</t>
  </si>
  <si>
    <t>UH   26  10        63.25               1</t>
  </si>
  <si>
    <t>UH   86   2        31.18               1</t>
  </si>
  <si>
    <t>UH   90   2        29.63               1</t>
  </si>
  <si>
    <t>UH  169   3        35.98               1</t>
  </si>
  <si>
    <t>UH  172   3        34.23               1</t>
  </si>
  <si>
    <t>UH  190   3        35.86               1</t>
  </si>
  <si>
    <t>UH  189   3        85.30               1</t>
  </si>
  <si>
    <t>UH  275   4        45.65               1</t>
  </si>
  <si>
    <t>UH  272   8        95.61               1</t>
  </si>
  <si>
    <t>UH  279   6        95.03               1</t>
  </si>
  <si>
    <t>UH   95   2        55.00               1</t>
  </si>
  <si>
    <t>UH  203  10        23.72               1</t>
  </si>
  <si>
    <t>UH   83  11          0.0               1</t>
  </si>
  <si>
    <t>UH   29  10        28.31               1</t>
  </si>
  <si>
    <t>UH  155   1         1.00               1</t>
  </si>
  <si>
    <t>UH   21  10        31.50               1</t>
  </si>
  <si>
    <t>UH  290  10        73.00               1</t>
  </si>
  <si>
    <t>UH  276   6        72.20               1</t>
  </si>
  <si>
    <t>UH  277   9        43.74               1</t>
  </si>
  <si>
    <t>UH   33  10        47.96               1</t>
  </si>
  <si>
    <t>UH   34  10        55.45               1</t>
  </si>
  <si>
    <t>UH   43  10        50.35               1</t>
  </si>
  <si>
    <t xml:space="preserve">      1  CAMARGOS       35.8   34.6   36.9   40.5</t>
  </si>
  <si>
    <t xml:space="preserve">      6  FURNAS         26.6   24.0   22.7   22.5</t>
  </si>
  <si>
    <t xml:space="preserve">      7  M. DE MORAES   22.5   33.4   38.3   39.1</t>
  </si>
  <si>
    <t xml:space="preserve">     14  CACONDE        76.1   70.0   65.9   62.9</t>
  </si>
  <si>
    <t xml:space="preserve">     17  MARIMBONDO     23.0   27.5   31.6   41.4</t>
  </si>
  <si>
    <t xml:space="preserve">     18  A. VERMELHA    22.2   19.5   20.6   20.4</t>
  </si>
  <si>
    <t xml:space="preserve">    311  CACU           25.0   23.6    0.0   41.4</t>
  </si>
  <si>
    <t xml:space="preserve">    290  ESPORA         73.0   76.9   84.3   90.0</t>
  </si>
  <si>
    <t xml:space="preserve">     20  BATALHA        50.1   46.4   44.4   42.8</t>
  </si>
  <si>
    <t xml:space="preserve">     21  SERRA FACAO    31.5   32.1   32.7   33.0</t>
  </si>
  <si>
    <t xml:space="preserve">     24  EMBORCACAO     25.8   25.2   24.9   24.5</t>
  </si>
  <si>
    <t xml:space="preserve">     25  NOVA PONTE     23.9   23.6   23.7   23.8</t>
  </si>
  <si>
    <t xml:space="preserve">     26  MIRANDA        63.2   72.5   73.3   87.0</t>
  </si>
  <si>
    <t xml:space="preserve">     27  CAPIM BRANC1   22.9  100.0  100.0  100.0</t>
  </si>
  <si>
    <t xml:space="preserve">     29  CORUMBA IV     28.3   16.4    7.5    8.6</t>
  </si>
  <si>
    <t xml:space="preserve">    203  CORUMBA III    23.7   28.6   20.3    0.0</t>
  </si>
  <si>
    <t xml:space="preserve">     30  CORUMBA I      37.1   44.4   52.3   56.8</t>
  </si>
  <si>
    <t xml:space="preserve">     31  ITUMBIARA      22.6   21.8   22.3   22.9</t>
  </si>
  <si>
    <t xml:space="preserve">     33  SAO SIMAO      48.0   52.9   59.5   68.8</t>
  </si>
  <si>
    <t xml:space="preserve">     34  I. SOLTEIRA    55.5   48.8   50.1   56.0</t>
  </si>
  <si>
    <t xml:space="preserve">    118  BILLINGS       84.8   87.0   87.7   88.4</t>
  </si>
  <si>
    <t xml:space="preserve">    117  GUARAPIRANGA   78.5   81.1   85.4   89.4</t>
  </si>
  <si>
    <t xml:space="preserve">     37  BARRA BONITA   52.7   51.6   57.4   63.8</t>
  </si>
  <si>
    <t xml:space="preserve">     40  PROMISSAO      32.8   29.0   29.0   29.0</t>
  </si>
  <si>
    <t xml:space="preserve">     43  TRES IRMAOS    50.4   48.7   50.1   55.9</t>
  </si>
  <si>
    <t xml:space="preserve">     47  A.A. LAYDNER   13.1   11.5   10.4   10.1</t>
  </si>
  <si>
    <t xml:space="preserve">     49  CHAVANTES      15.6   16.2   17.1   18.3</t>
  </si>
  <si>
    <t xml:space="preserve">     57  MAUA           10.2    7.3    4.6    5.5</t>
  </si>
  <si>
    <t xml:space="preserve">     61  CAPIVARA       24.3   25.2   27.3   30.8</t>
  </si>
  <si>
    <t xml:space="preserve">     66  ITAIPU          0.0   78.2  100.0  100.0</t>
  </si>
  <si>
    <t xml:space="preserve">    135  P. ESTRELA     67.0   69.8   58.1  100.0</t>
  </si>
  <si>
    <t xml:space="preserve">    120  JAGUARI        48.3   50.1   51.9   54.3</t>
  </si>
  <si>
    <t xml:space="preserve">    121  PARAIBUNA      36.3   36.2   36.1   36.3</t>
  </si>
  <si>
    <t xml:space="preserve">    122  SANTA BRANCA   28.5   37.0   45.6   56.4</t>
  </si>
  <si>
    <t xml:space="preserve">    123  FUNIL          42.4   43.1   52.1   56.8</t>
  </si>
  <si>
    <t xml:space="preserve">    124  LAJES          80.2   80.4   81.6   82.7</t>
  </si>
  <si>
    <t xml:space="preserve">    278  MANSO          58.8   58.5   58.7   57.8</t>
  </si>
  <si>
    <t xml:space="preserve">    279  SAMUEL         95.0   98.4  100.0  100.0</t>
  </si>
  <si>
    <t xml:space="preserve">    276  RONDON II      72.2   75.3   77.3   80.1</t>
  </si>
  <si>
    <t xml:space="preserve">    156  TRES MARIAS    57.6   58.2   59.4   60.9</t>
  </si>
  <si>
    <t xml:space="preserve">    162  QUEIMADO       37.3   33.6   30.9   26.9</t>
  </si>
  <si>
    <t xml:space="preserve">    148  IRAPE          29.7   28.6   27.4   26.8</t>
  </si>
  <si>
    <t xml:space="preserve">    251  SERRA MESA     11.8   12.2   12.7   13.4</t>
  </si>
  <si>
    <t xml:space="preserve">    257  PEIXE ANGIC    36.1   23.8   25.2    0.0</t>
  </si>
  <si>
    <t xml:space="preserve">     89  GARIBALDI      34.1   40.6    8.9   93.0</t>
  </si>
  <si>
    <t xml:space="preserve">    110  ERNESTINA     100.0    0.0    0.0    0.0</t>
  </si>
  <si>
    <t xml:space="preserve">    111  PASSO REAL     82.2   88.1   87.7   86.7</t>
  </si>
  <si>
    <t xml:space="preserve">     74  G.B. MUNHOZ    24.3   19.2   16.4   15.5</t>
  </si>
  <si>
    <t xml:space="preserve">     76  SEGREDO        18.6   36.7   33.4   25.4</t>
  </si>
  <si>
    <t xml:space="preserve">    115  G.P. SOUZA     35.0   29.1   24.8   19.4</t>
  </si>
  <si>
    <t xml:space="preserve">     71  STA CLARA PR   49.6   37.8   18.2    2.9</t>
  </si>
  <si>
    <t xml:space="preserve">     77  SLT.SANTIAGO   38.9   37.8   38.1   38.6</t>
  </si>
  <si>
    <t xml:space="preserve">     93  PASSO FUNDO    57.9   55.0   52.2   49.2</t>
  </si>
  <si>
    <t xml:space="preserve">     91  MACHADINHO     29.0   39.8   45.3   63.9</t>
  </si>
  <si>
    <t xml:space="preserve">     86  BARRA GRANDE   31.2   25.0   20.0   12.3</t>
  </si>
  <si>
    <t xml:space="preserve">     90  CAMPOS NOVOS   29.6   20.7   29.0    0.0</t>
  </si>
  <si>
    <t xml:space="preserve">    169  SOBRADINHO     36.0   35.6   34.9   34.6</t>
  </si>
  <si>
    <t xml:space="preserve">    172  ITAPARICA      34.2   32.7   33.7   32.2</t>
  </si>
  <si>
    <t xml:space="preserve">    190  B. ESPERANCA   35.9   36.7   36.8   42.2</t>
  </si>
  <si>
    <t xml:space="preserve">    189  P. CAVALO      85.3   81.0   80.7   77.6</t>
  </si>
  <si>
    <t xml:space="preserve">    275  TUCURUI        45.6   47.1   54.2   63.1</t>
  </si>
  <si>
    <t xml:space="preserve">    272  CURUA-UNA      95.6  100.0  100.0  100.0</t>
  </si>
  <si>
    <t xml:space="preserve">     95  QUEBRA QUEIX   55.0   78.4   71.6  100.0</t>
  </si>
  <si>
    <t xml:space="preserve">    155  RETIRO BAIXO    1.0   37.1   95.8  100.0</t>
  </si>
  <si>
    <t xml:space="preserve">    277  BALBINA        43.7   39.1   35.3   31.7</t>
  </si>
  <si>
    <t>LS</t>
  </si>
  <si>
    <t xml:space="preserve">ONS </t>
  </si>
  <si>
    <t>Mwmed</t>
  </si>
  <si>
    <t>JAN</t>
  </si>
  <si>
    <t>FEV</t>
  </si>
  <si>
    <t>MAR</t>
  </si>
  <si>
    <t>ABR</t>
  </si>
  <si>
    <t>MAI</t>
  </si>
  <si>
    <t>JUN</t>
  </si>
  <si>
    <t>JUL</t>
  </si>
  <si>
    <t>AGO</t>
  </si>
  <si>
    <t>SET</t>
  </si>
  <si>
    <t>OUT</t>
  </si>
  <si>
    <t>NOV</t>
  </si>
  <si>
    <t>DEZ</t>
  </si>
  <si>
    <t>PARANÁ</t>
  </si>
  <si>
    <t>Ppanema</t>
  </si>
  <si>
    <t>Iguacu</t>
  </si>
  <si>
    <t>BMONTE</t>
  </si>
  <si>
    <t>Manaus</t>
  </si>
  <si>
    <t>REE MADEIRA</t>
  </si>
  <si>
    <t>REE NORDESTE</t>
  </si>
  <si>
    <t>REE SUL</t>
  </si>
  <si>
    <t>SE</t>
  </si>
  <si>
    <t>NE</t>
  </si>
  <si>
    <t>NO</t>
  </si>
  <si>
    <t>REE MANAUS</t>
  </si>
  <si>
    <t>PROJEÇÃO KROMA</t>
  </si>
  <si>
    <t>TIBATI NAT</t>
  </si>
  <si>
    <t>S</t>
  </si>
  <si>
    <t>N</t>
  </si>
  <si>
    <t>BASE</t>
  </si>
  <si>
    <t>SE/CO</t>
  </si>
  <si>
    <t>DC</t>
  </si>
  <si>
    <t>NW</t>
  </si>
  <si>
    <t>fevereiro</t>
  </si>
  <si>
    <t>março</t>
  </si>
  <si>
    <t>abril</t>
  </si>
  <si>
    <t>maio</t>
  </si>
  <si>
    <t>junho</t>
  </si>
  <si>
    <t>julho</t>
  </si>
  <si>
    <t>agosto</t>
  </si>
  <si>
    <t>setembro</t>
  </si>
  <si>
    <t>outubro</t>
  </si>
  <si>
    <t>novembro</t>
  </si>
  <si>
    <t>dezembro</t>
  </si>
  <si>
    <t>janeiro</t>
  </si>
  <si>
    <t>REE BELO MONTE</t>
  </si>
  <si>
    <t>Ampere</t>
  </si>
  <si>
    <t>Kroma</t>
  </si>
  <si>
    <t>A - K</t>
  </si>
  <si>
    <t>x</t>
  </si>
  <si>
    <t>Teste</t>
  </si>
  <si>
    <t xml:space="preserve">REE
</t>
  </si>
  <si>
    <t xml:space="preserve"> </t>
  </si>
  <si>
    <t>REE TELES PIRES</t>
  </si>
  <si>
    <t>A</t>
  </si>
  <si>
    <t>B</t>
  </si>
  <si>
    <t>HIDROGRAMA A</t>
  </si>
  <si>
    <t>HIDROGRAMA B</t>
  </si>
  <si>
    <t>teste</t>
  </si>
  <si>
    <t>]</t>
  </si>
  <si>
    <t xml:space="preserve">    90  171         0         0         0         0         0         0</t>
  </si>
  <si>
    <t>BARRA BRAUNA</t>
  </si>
  <si>
    <t>SUIÇA</t>
  </si>
  <si>
    <t xml:space="preserve">    26   47       257       298       326       382       424       502</t>
  </si>
  <si>
    <t xml:space="preserve">    27   48       262       303       332       390       431       511</t>
  </si>
  <si>
    <t xml:space="preserve">    28   49       367       414       503       564       630       694</t>
  </si>
  <si>
    <t xml:space="preserve">    29   50       437       488       599       675       751       823</t>
  </si>
  <si>
    <t xml:space="preserve">    30   51       442       494       605       682       757       834</t>
  </si>
  <si>
    <t xml:space="preserve">    31   52       452       505       618       700       775       856</t>
  </si>
  <si>
    <t xml:space="preserve">    32   57       253       282       308       325       319       284</t>
  </si>
  <si>
    <t xml:space="preserve">    33   61       921      1052      1369      1409      1421      1446</t>
  </si>
  <si>
    <t xml:space="preserve">    34   62       955      1095      1408      1465      1468      1502</t>
  </si>
  <si>
    <t xml:space="preserve">    35   63      1039      1198      1514      1595      1586      1625</t>
  </si>
  <si>
    <t xml:space="preserve">    36   71        79        86        90        84        78        85</t>
  </si>
  <si>
    <t xml:space="preserve">    37   72        84        92        96        90        84        90</t>
  </si>
  <si>
    <t xml:space="preserve">    38   73       107       115       121       112       105       110</t>
  </si>
  <si>
    <t xml:space="preserve">    39   74       478       521       566       584       548       480</t>
  </si>
  <si>
    <t xml:space="preserve">    40   76       589       642       685       698       659       589</t>
  </si>
  <si>
    <t xml:space="preserve">    41   77       776       838       893       892       844       783</t>
  </si>
  <si>
    <t xml:space="preserve">    42   78       803       871       924       925       877       821</t>
  </si>
  <si>
    <t xml:space="preserve">    43   81      1092      1161      1232      1210      1148      1103</t>
  </si>
  <si>
    <t xml:space="preserve">    44   88       175       171       197       217       211       184</t>
  </si>
  <si>
    <t xml:space="preserve">    45   89       212       209       240       259       262       227</t>
  </si>
  <si>
    <t xml:space="preserve">    46   92       704       716       774       782       782       707</t>
  </si>
  <si>
    <t xml:space="preserve">    47   93        43        44        41        35        34        33</t>
  </si>
  <si>
    <t xml:space="preserve">    48   94       866       896       918       904       927       848</t>
  </si>
  <si>
    <t xml:space="preserve">    49   97       171       186       166       132       137       139</t>
  </si>
  <si>
    <t xml:space="preserve">    50   98       115       118       107        78        88        86</t>
  </si>
  <si>
    <t xml:space="preserve">    52  101       118       122       170       155       137       110</t>
  </si>
  <si>
    <t xml:space="preserve">    53  102       271       262       262       272       258       197</t>
  </si>
  <si>
    <t xml:space="preserve">    54  103       283       273       273       280       269       208</t>
  </si>
  <si>
    <t xml:space="preserve">    55  104        43        57        64        57        68        60</t>
  </si>
  <si>
    <t xml:space="preserve">    56  109        24        32        35        31        38        33</t>
  </si>
  <si>
    <t xml:space="preserve">    57  110        31        32        31        31        29        25</t>
  </si>
  <si>
    <t xml:space="preserve">    58  111       149       151       145       148       132       112</t>
  </si>
  <si>
    <t xml:space="preserve">    59  112       150       153       147       150       133       113</t>
  </si>
  <si>
    <t xml:space="preserve">    60  113       182       199       185       202       160       132</t>
  </si>
  <si>
    <t xml:space="preserve">    61  114       217       250       227       258       189       151</t>
  </si>
  <si>
    <t xml:space="preserve">    62  115        16        15        18        18        19        15</t>
  </si>
  <si>
    <t xml:space="preserve">    63  116         6         8         9         8         9         7</t>
  </si>
  <si>
    <t xml:space="preserve">    64  117        19        25        28        25        30        27</t>
  </si>
  <si>
    <t xml:space="preserve">    65  118        24        32        35        31        38        33</t>
  </si>
  <si>
    <t xml:space="preserve">    66  119        29        39        43        38        46        41</t>
  </si>
  <si>
    <t xml:space="preserve">    67  120        28        31        34        34        37        34</t>
  </si>
  <si>
    <t xml:space="preserve">    68  121        75        83        93        84        93        88</t>
  </si>
  <si>
    <t xml:space="preserve">    69  122        86        95       106        97       107       101</t>
  </si>
  <si>
    <t xml:space="preserve">    70  123       254       298       329       330       317       316</t>
  </si>
  <si>
    <t xml:space="preserve">    71  125       328       386       428       431       402       398</t>
  </si>
  <si>
    <t xml:space="preserve">    72  129       675       767       817       795       710       714</t>
  </si>
  <si>
    <t xml:space="preserve">    73  130       768       873       921       900       795       800</t>
  </si>
  <si>
    <t xml:space="preserve">    74  134       231       228       178       207       202       168</t>
  </si>
  <si>
    <t xml:space="preserve">    75  135       182       206       181       141       145       130</t>
  </si>
  <si>
    <t xml:space="preserve">    76  141       859       987       820       746       783       629</t>
  </si>
  <si>
    <t xml:space="preserve">    77  144      1218      1377      1143      1056      1096       883</t>
  </si>
  <si>
    <t xml:space="preserve">    79  148       978      1125       946       858       895       724</t>
  </si>
  <si>
    <t xml:space="preserve">    80  149       221       294       248       180       208       174</t>
  </si>
  <si>
    <t xml:space="preserve">    81  154        92        97       101       100       101       101</t>
  </si>
  <si>
    <t xml:space="preserve">    82  155       156       215       207       165       159       132</t>
  </si>
  <si>
    <t xml:space="preserve">    83  156       893      1080      1011       921       937       878</t>
  </si>
  <si>
    <t xml:space="preserve">    84  158        43        49        51        58        61        66</t>
  </si>
  <si>
    <t xml:space="preserve">    85  160        12        15        17        15        18        16</t>
  </si>
  <si>
    <t xml:space="preserve">    86  161       161       212       237       210       253       223</t>
  </si>
  <si>
    <t xml:space="preserve">    88  168      1792      1735      2045      2103      1875      1859</t>
  </si>
  <si>
    <t xml:space="preserve">    89  169      2543      2590      2935      3099      2960      2905</t>
  </si>
  <si>
    <t xml:space="preserve">    91  172      2501      2556      2822      3102      2997      2914</t>
  </si>
  <si>
    <t xml:space="preserve">    92  173      2501      2556      2822      3102      2997      2914</t>
  </si>
  <si>
    <t xml:space="preserve">    93  175      2501      2556      2822      3102      2997      2914</t>
  </si>
  <si>
    <t xml:space="preserve">    94  176      2501      2556      2822      3102      2997      2914</t>
  </si>
  <si>
    <t xml:space="preserve">    95  178      2464      2552      2765      3088      3019      2919</t>
  </si>
  <si>
    <t xml:space="preserve">    96  183       112       140       115        96       108        74</t>
  </si>
  <si>
    <t xml:space="preserve">    97  188       597       478       334       380       443       335</t>
  </si>
  <si>
    <t xml:space="preserve">    98  190       331       366       401       403       505       583</t>
  </si>
  <si>
    <t xml:space="preserve">    99  191       791       958       910       883      1064       933</t>
  </si>
  <si>
    <t xml:space="preserve">   100  196        65        74        53        51        51        43</t>
  </si>
  <si>
    <t xml:space="preserve">   101  197        42        45        50        43        38        38</t>
  </si>
  <si>
    <t xml:space="preserve">   102  198        96       103       113        90        82        82</t>
  </si>
  <si>
    <t xml:space="preserve">   103  201        12        14        15        13        14        13</t>
  </si>
  <si>
    <t xml:space="preserve">   104  202         6         7         7         6         7         7</t>
  </si>
  <si>
    <t xml:space="preserve">   105  203        19        21        22        19        21        19</t>
  </si>
  <si>
    <t xml:space="preserve">   106  204       387       454       528       594       710       836</t>
  </si>
  <si>
    <t xml:space="preserve">   112  213        10        11         8         6         6         5</t>
  </si>
  <si>
    <t xml:space="preserve">   113  215       187       207       225       240       234       218</t>
  </si>
  <si>
    <t xml:space="preserve">   114  216       233       230       263       284       289       250</t>
  </si>
  <si>
    <t xml:space="preserve">   115  217       512       536       598       621       620       559</t>
  </si>
  <si>
    <t xml:space="preserve">   116  220        73        76        71        60        57        57</t>
  </si>
  <si>
    <t xml:space="preserve">   117  222      1011      1077      1145      1128      1071      1021</t>
  </si>
  <si>
    <t xml:space="preserve">   118  227       963      1016      1104      1137      1136      1187</t>
  </si>
  <si>
    <t xml:space="preserve">   120  229      3182      3342      3567      3736      3851      3988</t>
  </si>
  <si>
    <t xml:space="preserve">   121  230      3196      3353      3583      3752      3869      4008</t>
  </si>
  <si>
    <t xml:space="preserve">   122  237       443       618       688       742       765       707</t>
  </si>
  <si>
    <t xml:space="preserve">   123  238       479       665       752       801       828       781</t>
  </si>
  <si>
    <t xml:space="preserve">   124  239       554       758       883       915       956       910</t>
  </si>
  <si>
    <t xml:space="preserve">   125  240       588       814       934      1007      1041      1051</t>
  </si>
  <si>
    <t xml:space="preserve">   127  242       600       829       952      1047      1070      1109</t>
  </si>
  <si>
    <t xml:space="preserve">   128  243       602       802       937      1104      1068      1200</t>
  </si>
  <si>
    <t xml:space="preserve">   134  249       369       416       505       568       632       701</t>
  </si>
  <si>
    <t xml:space="preserve">   136  252        56        58        68        67        80        80</t>
  </si>
  <si>
    <t xml:space="preserve">   137  253       885      1067      1021       992      1167      1037</t>
  </si>
  <si>
    <t xml:space="preserve">   138  254       113        98       112       183       275       120</t>
  </si>
  <si>
    <t xml:space="preserve">   139  255       273       235       199       243       240       179</t>
  </si>
  <si>
    <t xml:space="preserve">   140  257      1752      1955      1878      1853      2057      1808</t>
  </si>
  <si>
    <t xml:space="preserve">   141  259        55        57        67        66        79        79</t>
  </si>
  <si>
    <t xml:space="preserve">   143  262       111       137       112        93       106        72</t>
  </si>
  <si>
    <t xml:space="preserve">   144  263       232       229       180       208       203       168</t>
  </si>
  <si>
    <t xml:space="preserve">   146  269       516       500       500       564       549       584</t>
  </si>
  <si>
    <t xml:space="preserve">   147  270       689       844       800       772       954       833</t>
  </si>
  <si>
    <t xml:space="preserve">   148  271      4147      4609      4934      4997      5440      5301</t>
  </si>
  <si>
    <t xml:space="preserve">   149  273      2575      2827      2843      2738      2916      2733</t>
  </si>
  <si>
    <t xml:space="preserve">   150  275      8607      9903     11240     12351     13786     15268</t>
  </si>
  <si>
    <t xml:space="preserve">   151  277       100       104       109       122       144       160</t>
  </si>
  <si>
    <t xml:space="preserve">   152  278       148       177       244       217       232       225</t>
  </si>
  <si>
    <t xml:space="preserve">   154  280       387       455       529       594       710       836</t>
  </si>
  <si>
    <t xml:space="preserve">   155  281        70        69        72        73        78        79</t>
  </si>
  <si>
    <t xml:space="preserve">   156  283        75        76        61        94        90        82</t>
  </si>
  <si>
    <t xml:space="preserve">   157  284       178       195       174       139       142       146</t>
  </si>
  <si>
    <t xml:space="preserve">   159  286        61        59        54        49        53        51</t>
  </si>
  <si>
    <t xml:space="preserve">   161  288      4893      6179      7486      8862     10238     11655</t>
  </si>
  <si>
    <t xml:space="preserve">   162  290       475       597       667       844       976      1162</t>
  </si>
  <si>
    <t xml:space="preserve">   165  295        64        68        67        70        75        78</t>
  </si>
  <si>
    <t xml:space="preserve">   169  320        29        39        43        38        46        41</t>
  </si>
  <si>
    <t xml:space="preserve">     4    2       160       181       200       196       167       155</t>
  </si>
  <si>
    <t xml:space="preserve">     5    6      1049      1351      1471      1464      1252      1250</t>
  </si>
  <si>
    <t xml:space="preserve">     6    7      1139      1455      1612      1657      1438      1443</t>
  </si>
  <si>
    <t xml:space="preserve">     7    8      1159      1472      1645      1700      1484      1488</t>
  </si>
  <si>
    <t xml:space="preserve">     8    9      1166      1475      1657      1719      1504      1507</t>
  </si>
  <si>
    <t xml:space="preserve">     9   10      1189      1492      1695      1769      1561      1559</t>
  </si>
  <si>
    <t xml:space="preserve">    10   11      1252      1550      1785      1872      1682      1673</t>
  </si>
  <si>
    <t xml:space="preserve">    11   12      1393      1708      1983      2090      1929      1917</t>
  </si>
  <si>
    <t xml:space="preserve">    12   14        63        71        67        63        63        67</t>
  </si>
  <si>
    <t xml:space="preserve">    13   15       100       117       108       104       104       110</t>
  </si>
  <si>
    <t xml:space="preserve">    14   16       100       118       109       106       104       112</t>
  </si>
  <si>
    <t xml:space="preserve">    15   17      1852      2333      2723      2907      2729      2730</t>
  </si>
  <si>
    <t xml:space="preserve">    16   18      2050      2579      3064      3325      3175      3166</t>
  </si>
  <si>
    <t xml:space="preserve">    17   22       123       158       151       150       161       166</t>
  </si>
  <si>
    <t xml:space="preserve">    18   23       159       181       192       190       213       213</t>
  </si>
  <si>
    <t xml:space="preserve">    19   24       475       635       588       564       619       610</t>
  </si>
  <si>
    <t xml:space="preserve">    20   25       335       397       342       370       458       424</t>
  </si>
  <si>
    <t xml:space="preserve">    21   28       343       414       375       389       462       452</t>
  </si>
  <si>
    <t xml:space="preserve">    22   31      1475      1915      1872      1866      2010      1971</t>
  </si>
  <si>
    <t xml:space="preserve">    23   32      1517      1967      1947      1935      2070      2050</t>
  </si>
  <si>
    <t xml:space="preserve">    24   33      2314      2930      3052      2989      3163      3153</t>
  </si>
  <si>
    <t xml:space="preserve">    25   34      5235      6365      7244      7533      7568      7636</t>
  </si>
  <si>
    <t xml:space="preserve">    51   99        68        69        72        72        74        75</t>
  </si>
  <si>
    <t xml:space="preserve">    78  145        90        94        99       102       113       113</t>
  </si>
  <si>
    <t xml:space="preserve">    87  166      3334      2648      3193      3888      3820      3959</t>
  </si>
  <si>
    <t xml:space="preserve">   107  205       132       147       159       153       176       177</t>
  </si>
  <si>
    <t xml:space="preserve">   108  206       343       412       362       384       467       440</t>
  </si>
  <si>
    <t xml:space="preserve">   109  207       343       413       366       385       466       444</t>
  </si>
  <si>
    <t xml:space="preserve">   110  209       394       489       495       519       558       541</t>
  </si>
  <si>
    <t xml:space="preserve">   111  211       362       411       454       431       373       352</t>
  </si>
  <si>
    <t xml:space="preserve">   119  228       840       884       958       994       991      1033</t>
  </si>
  <si>
    <t xml:space="preserve">   126  241       178       183       201       198       199       197</t>
  </si>
  <si>
    <t xml:space="preserve">   129  244      5927      7286      8321      8802      8796      9016</t>
  </si>
  <si>
    <t xml:space="preserve">   130  245      5767      6994      8007      8480      8472      8687</t>
  </si>
  <si>
    <t xml:space="preserve">   131  246      6422      7362      8700      9296      9392      9742</t>
  </si>
  <si>
    <t xml:space="preserve">   132  247       219       222       258       232       227       225</t>
  </si>
  <si>
    <t xml:space="preserve">   133  248       228       230       267       243       237       235</t>
  </si>
  <si>
    <t xml:space="preserve">   135  251       198       255       246       244       261       269</t>
  </si>
  <si>
    <t xml:space="preserve">   142  261       244       245       285       262       254       251</t>
  </si>
  <si>
    <t xml:space="preserve">   145  266      9713     10406     12228     13404     13343     13708</t>
  </si>
  <si>
    <t xml:space="preserve">   153  279       363       418       460       475       491       546</t>
  </si>
  <si>
    <t xml:space="preserve">   158  285     17809     20208     22208     24182     25973     26721</t>
  </si>
  <si>
    <t xml:space="preserve">   160  287     18747     21165     23406     25293     27282     28078</t>
  </si>
  <si>
    <t xml:space="preserve">   163  291       446       504       550       551       570       622</t>
  </si>
  <si>
    <t xml:space="preserve">   164  294       166       170       189       181       184       183</t>
  </si>
  <si>
    <t xml:space="preserve">   166  296        19        26        28        25        30        26</t>
  </si>
  <si>
    <t xml:space="preserve">   167  297       389       389       389       389       389       389</t>
  </si>
  <si>
    <t xml:space="preserve">   167  301        24        31        35        31        38        33</t>
  </si>
  <si>
    <t xml:space="preserve">     3    1       159       179       199       194       166       154
     4    2       160       181       200       196       167       155
     5    6      1049      1351      1471      1464      1252      1250
     6    7      1139      1455      1612      1657      1438      1443
     7    8      1159      1472      1645      1700      1484      1488
     8    9      1166      1475      1657      1719      1504      1507
     9   10      1189      1492      1695      1769      1561      1559
    10   11      1252      1550      1785      1872      1682      1673
    11   12      1393      1708      1983      2090      1929      1917
    12   14        63        71        67        63        63        67
    13   15       100       117       108       104       104       110
    14   16       100       118       109       106       104       112
    15   17      1852      2333      2723      2907      2729      2730
    16   18      2050      2579      3064      3325      3175      3166
    17   22       123       158       151       150       161       166
    18   23       159       181       192       190       213       213
    19   24       475       635       588       564       619       610
    20   25       335       397       342       370       458       424
    21   28       343       414       375       389       462       452
    22   31      1475      1915      1872      1866      2010      1971
    23   32      1517      1967      1947      1935      2070      2050
    24   33      2314      2930      3052      2989      3163      3153
    25   34      5235      6365      7244      7533      7568      7636
    26   47       257       298       326       382       424       502
    27   48       262       303       332       390       431       511
    28   49       367       414       503       564       630       694
    29   50       437       488       599       675       751       823
    30   51       442       494       605       682       757       834
    31   52       452       505       618       700       775       856
    32   57       253       282       308       325       319       284
    33   61       921      1052      1369      1409      1421      1446
    34   62       955      1095      1408      1465      1468      1502
    35   63      1039      1198      1514      1595      1586      1625
    36   71        79        86        90        84        78        85
    37   72        84        92        96        90        84        90
    38   73       107       115       121       112       105       110
    39   74       478       521       566       584       548       480
    40   76       589       642       685       698       659       589
    41   77       776       838       893       892       844       783
    42   78       803       871       924       925       877       821
    43   81      1092      1161      1232      1210      1148      1103
    44   88       175       171       197       217       211       184
    45   89       212       209       240       259       262       227
    46   92       704       716       774       782       782       707
    47   93        43        44        41        35        34        33
    48   94       866       896       918       904       927       848
    49   97       171       186       166       132       137       139
    50   98       115       118       107        78        88        86
    51   99        68        69        72        72        74        75
    52  101       118       122       170       155       137       110
    53  102       271       262       262       272       258       197
    54  103       283       273       273       280       269       208
    55  104        43        57        64        57        68        60
    56  109        24        32        35        31        38        33
    57  110        31        32        31        31        29        25
    58  111       149       151       145       148       132       112
    59  112       150       153       147       150       133       113
    60  113       182       199       185       202       160       132
    61  114       217       250       227       258       189       151
    62  115        16        15        18        18        19        15
    63  116         6         8         9         8         9         7
    64  117        19        25        28        25        30        27
    65  118        24        32        35        31        38        33
    66  119        29        39        43        38        46        41
    67  120        28        31        34        34        37        34
    68  121        75        83        93        84        93        88
    69  122        86        95       106        97       107       101
    70  123       254       298       329       330       317       316
    71  125       328       386       428       431       402       398
    72  129       675       767       817       795       710       714
    73  130       768       873       921       900       795       800
    74  134       231       228       178       207       202       168
    75  135       182       206       181       141       145       130
    76  141       859       987       820       746       783       629
    77  144      1218      1377      1143      1056      1096       883
    78  145        90        94        99       102       113       113
    79  148       978      1125       946       858       895       724
    80  149       221       294       248       180       208       174
    81  154        92        97       101       100       101       101
    82  155       156       215       207       165       159       132
    83  156       893      1080      1011       921       937       878
    84  158        43        49        51        58        61        66
    85  160        12        15        17        15        18        16
    86  161       161       212       237       210       253       223
    87  166      3334      2648      3193      3888      3820      3959
    88  168      1971      1909      2250      2313      2063      2045
    89  169      2797      2849      3229      3409      3256      3196
    90  171         0         0         0         0         0         0
    91  172      2751      2812      3104      3412      3297      3205
    92  173      2751      2812      3104      3412      3297      3205
    93  175      2751      2812      3104      3412      3297      3205
    94  176      2751      2812      3104      3412      3297      3205
    95  178      2710      2807      3042      3397      3321      3211
    96  183       112       140       115        96       108        74
    97  188       657       526       367       418       487       369
    98  190       364       403       441       443       556       641
    99  191       791       958       910       883      1064       933
   100  196        65        74        53        51        51        43
   101  197        42        45        50        43        38        38
   102  198        96       103       113        90        82        82
   103  201        12        14        15        13        14        13
   104  202         6         7         7         6         7         7
   105  203        19        21        22        19        21        19
   106  204       341       400       465       552       731       836
   107  205       132       147       159       153       176       177
   108  206       343       412       362       384       467       440
   109  207       343       413       366       385       466       444
   110  209       394       489       495       519       558       541
   111  211       362       411       454       431       373       352
   112  213        10        11         8         6         6         5
   113  215       187       207       225       240       234       218
   114  216       233       230       263       284       289       250
   115  217       512       536       598       621       620       559
   116  220        73        76        71        60        57        57
   117  222      1011      1077      1145      1128      1071      1021
   118  227       963      1016      1104      1137      1136      1187
   119  228       840       884       958       994       991      1033
   120  229      3182      3342      3567      3736      3851      3988
   121  230      3196      3353      3583      3752      3869      4008
   122  237       443       618       688       742       765       707
   123  238       479       665       752       801       828       781
   124  239       554       758       883       915       956       910
   125  240       588       814       934      1007      1041      1051
   126  241       178       183       201       198       199       197
   127  242       600       829       952      1047      1070      1109
   128  243       602       802       937      1104      1068      1200
   129  244      5927      7286      8321      8802      8796      9016
   130  245      5767      6994      8007      8480      8472      8687
   131  246      6422      7362      8700      9296      9392      9742
   132  247       219       222       258       232       227       225
   133  248       228       230       267       243       237       235
   134  249       369       416       505       568       632       701
   135  251       198       255       246       244       261       269
   136  252        56        58        68        67        80        80
   137  253       885      1067      1021       992      1167      1037
   138  254       124       108       123       201       303       132
   139  255       273       235       199       243       240       179
   140  257      1752      1955      1878      1853      2057      1808
   141  259        55        57        67        66        79        79
   142  261       244       245       285       262       254       251
   143  262       111       137       112        93       106        72
   144  263       232       229       180       208       203       168
   145  266      9713     10406     12228     13404     13343     13708
   146  269       454       440       440       525       565       584
   147  270       689       844       800       772       954       833
   148  271      3649      4056      4342      4647      5603      5301
   149  273      2575      2827      2843      2738      2916      2733
   150  275      7574      8715      9891     11486     14200     15268
   151  277        88        92        96       113       148       160
   152  278       148       177       244       217       232       225
   153  279       363       418       460       475       491       546
   154  280       341       400       466       552       731       836
   155  281        70        69        72        73        78        79
   156  283        75        76        61        94        90        82
   157  284       178       195       174       139       142       146
   158  285     17809     20208     22208     24182     25973     26721
   159  286        61        59        54        49        53        51
   160  287     18747     21165     23406     25293     27282     28078
   161  288      4306      5438      6588      8242     10545     11655
   162  290       418       525       587       785      1005      1162
   163  291       446       504       550       551       570       622
   164  294       166       170       189       181       184       183
   165  295        64        68        67        70        75        78
   166  296        24        32        35        31        38        33
   167  297       342       342       342       362       401       389
   167  301        24        31        35        31        38        33
   169  320        29        39        43        38        46        41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</si>
</sst>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quot;R$ &quot;* #,##0.00_);_(&quot;R$ &quot;* \(#,##0.00\);_(&quot;R$ &quot;* &quot;-&quot;??_);_(@_)"/>
    <numFmt numFmtId="166" formatCode="0.0%"/>
    <numFmt numFmtId="167" formatCode="0.000"/>
    <numFmt numFmtId="168" formatCode="0.0000"/>
    <numFmt numFmtId="169" formatCode="0.0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9"/>
      <color indexed="81"/>
      <name val="Tahoma"/>
      <family val="2"/>
    </font>
    <font>
      <sz val="11"/>
      <color rgb="FF000000"/>
      <name val="Calibri"/>
      <family val="2"/>
    </font>
    <font>
      <sz val="11"/>
      <color theme="1"/>
      <name val="Calibri"/>
      <family val="2"/>
      <scheme val="minor"/>
    </font>
    <font>
      <b/>
      <sz val="18"/>
      <color theme="0"/>
      <name val="Calibri"/>
      <family val="2"/>
      <scheme val="minor"/>
    </font>
    <font>
      <b/>
      <sz val="11"/>
      <color theme="0"/>
      <name val="Calibri"/>
      <family val="2"/>
      <scheme val="minor"/>
    </font>
    <font>
      <b/>
      <sz val="11"/>
      <color theme="1"/>
      <name val="Calibri"/>
      <family val="2"/>
      <scheme val="minor"/>
    </font>
    <font>
      <sz val="10"/>
      <color theme="1"/>
      <name val="Arial"/>
      <family val="2"/>
    </font>
    <font>
      <sz val="11"/>
      <name val="Calibri"/>
      <family val="2"/>
      <scheme val="minor"/>
    </font>
    <font>
      <sz val="11"/>
      <color theme="1"/>
      <name val="Calibri"/>
      <family val="2"/>
      <scheme val="minor"/>
    </font>
    <font>
      <sz val="10"/>
      <color theme="1"/>
      <name val="Calibri"/>
      <family val="2"/>
      <scheme val="minor"/>
    </font>
    <font>
      <b/>
      <sz val="11"/>
      <name val="Calibri"/>
      <family val="2"/>
      <scheme val="minor"/>
    </font>
    <font>
      <b/>
      <sz val="11"/>
      <color theme="0"/>
      <name val="Calibri"/>
      <family val="2"/>
      <scheme val="minor"/>
    </font>
    <font>
      <b/>
      <sz val="12"/>
      <color theme="9" tint="-0.249977111117893"/>
      <name val="Calibri"/>
      <family val="2"/>
      <scheme val="minor"/>
    </font>
    <font>
      <b/>
      <sz val="11"/>
      <color theme="9" tint="-0.249977111117893"/>
      <name val="Calibri"/>
      <family val="2"/>
      <scheme val="minor"/>
    </font>
    <font>
      <b/>
      <sz val="12"/>
      <color theme="0"/>
      <name val="Calibri"/>
      <family val="2"/>
      <scheme val="minor"/>
    </font>
    <font>
      <b/>
      <sz val="12"/>
      <color theme="1"/>
      <name val="Calibri"/>
      <family val="2"/>
      <scheme val="minor"/>
    </font>
    <font>
      <b/>
      <sz val="11"/>
      <color theme="1"/>
      <name val="Calibri"/>
      <family val="2"/>
      <scheme val="minor"/>
    </font>
    <font>
      <sz val="11"/>
      <color theme="1" tint="0.14999847407452621"/>
      <name val="Calibri"/>
      <family val="2"/>
      <scheme val="minor"/>
    </font>
    <font>
      <b/>
      <sz val="12"/>
      <color theme="1" tint="0.14999847407452621"/>
      <name val="Calibri"/>
      <family val="2"/>
      <scheme val="minor"/>
    </font>
    <font>
      <b/>
      <sz val="11"/>
      <color theme="8"/>
      <name val="Calibri"/>
      <family val="2"/>
      <scheme val="minor"/>
    </font>
    <font>
      <b/>
      <sz val="12"/>
      <color theme="8"/>
      <name val="Calibri"/>
      <family val="2"/>
      <scheme val="minor"/>
    </font>
    <font>
      <i/>
      <sz val="11"/>
      <color theme="1" tint="0.249977111117893"/>
      <name val="Calibri"/>
      <family val="2"/>
      <scheme val="minor"/>
    </font>
    <font>
      <sz val="11"/>
      <color rgb="FFFF0000"/>
      <name val="Calibri"/>
      <family val="2"/>
      <scheme val="minor"/>
    </font>
    <font>
      <sz val="11"/>
      <name val="Calibri"/>
      <family val="2"/>
      <scheme val="minor"/>
    </font>
    <font>
      <sz val="11"/>
      <name val="Arial"/>
      <family val="2"/>
    </font>
    <font>
      <sz val="9"/>
      <name val="Arial"/>
      <family val="2"/>
    </font>
    <font>
      <sz val="11"/>
      <color theme="0"/>
      <name val="Calibri"/>
      <family val="2"/>
      <scheme val="minor"/>
    </font>
    <font>
      <b/>
      <sz val="11"/>
      <name val="Arial"/>
      <family val="2"/>
    </font>
    <font>
      <sz val="11"/>
      <color theme="1" tint="0.34998626667073579"/>
      <name val="Calibri"/>
      <family val="2"/>
      <scheme val="minor"/>
    </font>
    <font>
      <sz val="9"/>
      <color indexed="81"/>
      <name val="Tahoma"/>
      <family val="2"/>
    </font>
    <font>
      <sz val="12"/>
      <name val="Arial"/>
      <family val="2"/>
    </font>
    <font>
      <sz val="8"/>
      <name val="Calibri"/>
      <family val="2"/>
      <scheme val="minor"/>
    </font>
    <font>
      <u/>
      <sz val="11"/>
      <color theme="1"/>
      <name val="Calibri"/>
      <family val="2"/>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00B050"/>
        <bgColor indexed="64"/>
      </patternFill>
    </fill>
    <fill>
      <patternFill patternType="solid">
        <fgColor rgb="FFC0504D"/>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1" tint="0.14999847407452621"/>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0070C0"/>
        <bgColor indexed="64"/>
      </patternFill>
    </fill>
    <fill>
      <patternFill patternType="solid">
        <fgColor theme="5" tint="0.39997558519241921"/>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9" fontId="1" fillId="0" borderId="0" applyFont="0" applyFill="0" applyBorder="0" applyAlignment="0" applyProtection="0"/>
    <xf numFmtId="165" fontId="18" fillId="0" borderId="0" applyFont="0" applyFill="0" applyBorder="0" applyAlignment="0" applyProtection="0"/>
    <xf numFmtId="0" fontId="18" fillId="0" borderId="0"/>
    <xf numFmtId="9" fontId="18" fillId="0" borderId="0" applyFont="0" applyFill="0" applyBorder="0" applyAlignment="0" applyProtection="0"/>
    <xf numFmtId="0" fontId="1" fillId="0" borderId="0"/>
    <xf numFmtId="0" fontId="1" fillId="0" borderId="0"/>
  </cellStyleXfs>
  <cellXfs count="237">
    <xf numFmtId="0" fontId="0" fillId="0" borderId="0" xfId="0"/>
    <xf numFmtId="0" fontId="17" fillId="38" borderId="10" xfId="0" applyFont="1" applyFill="1" applyBorder="1" applyAlignment="1">
      <alignment horizontal="center"/>
    </xf>
    <xf numFmtId="0" fontId="0" fillId="34" borderId="0" xfId="0" applyFill="1" applyAlignment="1">
      <alignment horizontal="center"/>
    </xf>
    <xf numFmtId="0" fontId="0" fillId="34" borderId="0" xfId="0" applyFill="1"/>
    <xf numFmtId="0" fontId="0" fillId="34" borderId="10" xfId="0" applyFill="1" applyBorder="1" applyAlignment="1">
      <alignment horizontal="center"/>
    </xf>
    <xf numFmtId="0" fontId="0" fillId="0" borderId="10" xfId="0" applyBorder="1" applyAlignment="1">
      <alignment horizontal="center"/>
    </xf>
    <xf numFmtId="0" fontId="0" fillId="35" borderId="10" xfId="0" applyFill="1" applyBorder="1" applyAlignment="1">
      <alignment horizontal="center"/>
    </xf>
    <xf numFmtId="0" fontId="16" fillId="47" borderId="10" xfId="0" applyFont="1" applyFill="1" applyBorder="1" applyAlignment="1">
      <alignment horizontal="center" vertical="center"/>
    </xf>
    <xf numFmtId="0" fontId="16" fillId="48" borderId="10" xfId="0" applyFont="1" applyFill="1" applyBorder="1" applyAlignment="1">
      <alignment horizontal="center" vertical="center"/>
    </xf>
    <xf numFmtId="0" fontId="16" fillId="42" borderId="10" xfId="0" applyFont="1" applyFill="1" applyBorder="1" applyAlignment="1">
      <alignment horizontal="center" vertical="center"/>
    </xf>
    <xf numFmtId="0" fontId="16" fillId="41" borderId="10" xfId="0" applyFont="1" applyFill="1" applyBorder="1" applyAlignment="1">
      <alignment horizontal="center" vertical="center"/>
    </xf>
    <xf numFmtId="0" fontId="16" fillId="46" borderId="10" xfId="0" applyFont="1" applyFill="1" applyBorder="1" applyAlignment="1">
      <alignment horizontal="center" vertical="center"/>
    </xf>
    <xf numFmtId="1" fontId="0" fillId="47" borderId="10" xfId="0" applyNumberFormat="1" applyFill="1" applyBorder="1" applyAlignment="1">
      <alignment horizontal="center" vertical="center"/>
    </xf>
    <xf numFmtId="1" fontId="0" fillId="48" borderId="10" xfId="0" applyNumberFormat="1" applyFill="1" applyBorder="1" applyAlignment="1">
      <alignment horizontal="center" vertical="center"/>
    </xf>
    <xf numFmtId="1" fontId="0" fillId="42" borderId="10" xfId="0" applyNumberFormat="1" applyFill="1" applyBorder="1" applyAlignment="1">
      <alignment horizontal="center" vertical="center"/>
    </xf>
    <xf numFmtId="1" fontId="0" fillId="41" borderId="10" xfId="0" applyNumberFormat="1" applyFill="1" applyBorder="1" applyAlignment="1">
      <alignment horizontal="center" vertical="center"/>
    </xf>
    <xf numFmtId="14" fontId="16" fillId="46" borderId="10" xfId="0" applyNumberFormat="1" applyFont="1" applyFill="1" applyBorder="1" applyAlignment="1">
      <alignment vertical="center"/>
    </xf>
    <xf numFmtId="0" fontId="21" fillId="0" borderId="0" xfId="0" applyFont="1" applyAlignment="1">
      <alignment horizontal="center"/>
    </xf>
    <xf numFmtId="0" fontId="21" fillId="0" borderId="0" xfId="0" applyFont="1"/>
    <xf numFmtId="0" fontId="21" fillId="34" borderId="0" xfId="0" applyFont="1" applyFill="1" applyAlignment="1">
      <alignment horizontal="center"/>
    </xf>
    <xf numFmtId="0" fontId="21" fillId="34" borderId="0" xfId="0" applyFont="1" applyFill="1"/>
    <xf numFmtId="0" fontId="22" fillId="33" borderId="10" xfId="0" applyFont="1" applyFill="1" applyBorder="1" applyAlignment="1">
      <alignment horizontal="center" vertical="center" wrapText="1"/>
    </xf>
    <xf numFmtId="0" fontId="23" fillId="33" borderId="10" xfId="0" applyFont="1" applyFill="1" applyBorder="1" applyAlignment="1">
      <alignment horizontal="center" vertical="center" wrapText="1"/>
    </xf>
    <xf numFmtId="0" fontId="24" fillId="45" borderId="10" xfId="0" applyFont="1" applyFill="1" applyBorder="1" applyAlignment="1">
      <alignment horizontal="left"/>
    </xf>
    <xf numFmtId="2" fontId="21" fillId="45" borderId="10" xfId="0" applyNumberFormat="1" applyFont="1" applyFill="1" applyBorder="1" applyAlignment="1">
      <alignment horizontal="center"/>
    </xf>
    <xf numFmtId="166" fontId="21" fillId="42" borderId="10" xfId="0" applyNumberFormat="1" applyFont="1" applyFill="1" applyBorder="1" applyAlignment="1">
      <alignment horizontal="center"/>
    </xf>
    <xf numFmtId="0" fontId="25" fillId="0" borderId="0" xfId="0" applyFont="1" applyAlignment="1">
      <alignment horizontal="center" wrapText="1"/>
    </xf>
    <xf numFmtId="164" fontId="25" fillId="0" borderId="0" xfId="0" applyNumberFormat="1" applyFont="1" applyAlignment="1">
      <alignment horizontal="center" wrapText="1"/>
    </xf>
    <xf numFmtId="166" fontId="21" fillId="0" borderId="0" xfId="0" applyNumberFormat="1" applyFont="1" applyAlignment="1">
      <alignment horizontal="center"/>
    </xf>
    <xf numFmtId="164" fontId="21" fillId="0" borderId="0" xfId="0" applyNumberFormat="1" applyFont="1" applyAlignment="1">
      <alignment horizontal="center"/>
    </xf>
    <xf numFmtId="2" fontId="21" fillId="0" borderId="0" xfId="0" applyNumberFormat="1" applyFont="1"/>
    <xf numFmtId="0" fontId="24" fillId="34" borderId="10" xfId="0" applyFont="1" applyFill="1" applyBorder="1" applyAlignment="1">
      <alignment horizontal="center"/>
    </xf>
    <xf numFmtId="22" fontId="21" fillId="0" borderId="0" xfId="0" applyNumberFormat="1" applyFont="1"/>
    <xf numFmtId="0" fontId="22" fillId="33" borderId="0" xfId="0" applyFont="1" applyFill="1" applyAlignment="1">
      <alignment horizontal="center" vertical="center" wrapText="1"/>
    </xf>
    <xf numFmtId="0" fontId="21" fillId="0" borderId="0" xfId="0" applyFont="1" applyAlignment="1">
      <alignment vertical="center" wrapText="1"/>
    </xf>
    <xf numFmtId="0" fontId="21" fillId="37" borderId="0" xfId="0" applyFont="1" applyFill="1" applyAlignment="1">
      <alignment horizontal="center" vertical="center" wrapText="1"/>
    </xf>
    <xf numFmtId="0" fontId="21" fillId="42" borderId="0" xfId="0" applyFont="1" applyFill="1" applyAlignment="1">
      <alignment horizontal="left"/>
    </xf>
    <xf numFmtId="0" fontId="26" fillId="42" borderId="0" xfId="0" applyFont="1" applyFill="1" applyAlignment="1">
      <alignment horizontal="left"/>
    </xf>
    <xf numFmtId="0" fontId="21" fillId="43" borderId="0" xfId="0" applyFont="1" applyFill="1"/>
    <xf numFmtId="0" fontId="21" fillId="37" borderId="0" xfId="0" applyFont="1" applyFill="1" applyAlignment="1">
      <alignment horizontal="center"/>
    </xf>
    <xf numFmtId="2" fontId="21" fillId="37" borderId="0" xfId="0" applyNumberFormat="1" applyFont="1" applyFill="1" applyAlignment="1">
      <alignment horizontal="center"/>
    </xf>
    <xf numFmtId="0" fontId="21" fillId="37" borderId="0" xfId="0" applyFont="1" applyFill="1" applyAlignment="1">
      <alignment vertical="center"/>
    </xf>
    <xf numFmtId="0" fontId="27" fillId="0" borderId="0" xfId="0" applyFont="1" applyAlignment="1">
      <alignment horizontal="center"/>
    </xf>
    <xf numFmtId="0" fontId="27" fillId="0" borderId="0" xfId="0" applyFont="1"/>
    <xf numFmtId="14" fontId="28" fillId="0" borderId="0" xfId="0" applyNumberFormat="1" applyFont="1" applyAlignment="1">
      <alignment horizontal="center"/>
    </xf>
    <xf numFmtId="0" fontId="28" fillId="0" borderId="0" xfId="0" applyFont="1" applyAlignment="1">
      <alignment horizontal="center"/>
    </xf>
    <xf numFmtId="0" fontId="27" fillId="0" borderId="0" xfId="0" applyFont="1" applyAlignment="1">
      <alignment horizontal="left"/>
    </xf>
    <xf numFmtId="0" fontId="30" fillId="50" borderId="10" xfId="30" applyFont="1" applyFill="1" applyBorder="1" applyAlignment="1">
      <alignment horizontal="center"/>
    </xf>
    <xf numFmtId="0" fontId="31" fillId="0" borderId="0" xfId="0" applyFont="1"/>
    <xf numFmtId="0" fontId="30" fillId="50" borderId="10" xfId="30" applyFont="1" applyFill="1" applyBorder="1"/>
    <xf numFmtId="9" fontId="27" fillId="42" borderId="10" xfId="48" applyFont="1" applyFill="1" applyBorder="1" applyAlignment="1">
      <alignment horizontal="center"/>
    </xf>
    <xf numFmtId="0" fontId="32" fillId="44" borderId="0" xfId="0" applyFont="1" applyFill="1" applyAlignment="1">
      <alignment horizontal="right"/>
    </xf>
    <xf numFmtId="0" fontId="30" fillId="44" borderId="0" xfId="0" applyFont="1" applyFill="1" applyAlignment="1">
      <alignment horizontal="center"/>
    </xf>
    <xf numFmtId="0" fontId="33" fillId="44" borderId="0" xfId="0" applyFont="1" applyFill="1" applyAlignment="1">
      <alignment horizontal="center"/>
    </xf>
    <xf numFmtId="0" fontId="30" fillId="40" borderId="11" xfId="0" applyFont="1" applyFill="1" applyBorder="1" applyAlignment="1">
      <alignment horizontal="center"/>
    </xf>
    <xf numFmtId="0" fontId="35" fillId="50" borderId="10" xfId="0" applyFont="1" applyFill="1" applyBorder="1" applyAlignment="1">
      <alignment horizontal="center"/>
    </xf>
    <xf numFmtId="0" fontId="27" fillId="0" borderId="0" xfId="0" applyFont="1" applyAlignment="1">
      <alignment horizontal="left" vertical="center"/>
    </xf>
    <xf numFmtId="0" fontId="27" fillId="0" borderId="0" xfId="0" applyFont="1" applyAlignment="1">
      <alignment horizontal="center" vertical="center"/>
    </xf>
    <xf numFmtId="1" fontId="27" fillId="0" borderId="0" xfId="0" applyNumberFormat="1" applyFont="1" applyAlignment="1">
      <alignment horizontal="center" vertical="center"/>
    </xf>
    <xf numFmtId="0" fontId="30" fillId="44" borderId="0" xfId="0" applyFont="1" applyFill="1" applyAlignment="1">
      <alignment horizontal="right" vertical="center"/>
    </xf>
    <xf numFmtId="3" fontId="36" fillId="43" borderId="0" xfId="0" applyNumberFormat="1" applyFont="1" applyFill="1" applyAlignment="1">
      <alignment horizontal="center"/>
    </xf>
    <xf numFmtId="3" fontId="37" fillId="43" borderId="0" xfId="0" applyNumberFormat="1" applyFont="1" applyFill="1" applyAlignment="1">
      <alignment horizontal="center"/>
    </xf>
    <xf numFmtId="3" fontId="36" fillId="43" borderId="14" xfId="0" applyNumberFormat="1" applyFont="1" applyFill="1" applyBorder="1" applyAlignment="1">
      <alignment horizontal="center"/>
    </xf>
    <xf numFmtId="9" fontId="27" fillId="42" borderId="10" xfId="0" applyNumberFormat="1" applyFont="1" applyFill="1" applyBorder="1" applyAlignment="1">
      <alignment horizontal="center"/>
    </xf>
    <xf numFmtId="166" fontId="27" fillId="0" borderId="0" xfId="0" applyNumberFormat="1" applyFont="1" applyAlignment="1">
      <alignment horizontal="center"/>
    </xf>
    <xf numFmtId="0" fontId="35" fillId="0" borderId="0" xfId="0" applyFont="1" applyAlignment="1">
      <alignment horizontal="center"/>
    </xf>
    <xf numFmtId="0" fontId="38" fillId="44" borderId="0" xfId="0" applyFont="1" applyFill="1" applyAlignment="1">
      <alignment horizontal="right" vertical="center"/>
    </xf>
    <xf numFmtId="3" fontId="38" fillId="44" borderId="12" xfId="0" applyNumberFormat="1" applyFont="1" applyFill="1" applyBorder="1" applyAlignment="1">
      <alignment horizontal="center"/>
    </xf>
    <xf numFmtId="3" fontId="39" fillId="44" borderId="12" xfId="0" applyNumberFormat="1" applyFont="1" applyFill="1" applyBorder="1" applyAlignment="1">
      <alignment horizontal="center"/>
    </xf>
    <xf numFmtId="9" fontId="38" fillId="44" borderId="12" xfId="48" applyFont="1" applyFill="1" applyBorder="1" applyAlignment="1">
      <alignment horizontal="center"/>
    </xf>
    <xf numFmtId="0" fontId="30" fillId="50" borderId="10" xfId="0" applyFont="1" applyFill="1" applyBorder="1" applyAlignment="1">
      <alignment horizontal="center" vertical="center"/>
    </xf>
    <xf numFmtId="0" fontId="28" fillId="0" borderId="10" xfId="0" applyFont="1" applyBorder="1" applyAlignment="1">
      <alignment horizontal="center" vertical="center"/>
    </xf>
    <xf numFmtId="0" fontId="40" fillId="0" borderId="0" xfId="0" applyFont="1" applyAlignment="1">
      <alignment horizontal="center"/>
    </xf>
    <xf numFmtId="0" fontId="41" fillId="0" borderId="0" xfId="0" applyFont="1"/>
    <xf numFmtId="9" fontId="27" fillId="0" borderId="0" xfId="48" applyFont="1"/>
    <xf numFmtId="1" fontId="27" fillId="0" borderId="0" xfId="0" applyNumberFormat="1" applyFont="1"/>
    <xf numFmtId="3" fontId="27" fillId="0" borderId="0" xfId="0" applyNumberFormat="1" applyFont="1"/>
    <xf numFmtId="0" fontId="27" fillId="0" borderId="0" xfId="0" applyFont="1" applyAlignment="1">
      <alignment vertical="center"/>
    </xf>
    <xf numFmtId="1" fontId="27" fillId="0" borderId="0" xfId="0" applyNumberFormat="1" applyFont="1" applyAlignment="1">
      <alignment horizontal="center"/>
    </xf>
    <xf numFmtId="0" fontId="30" fillId="44" borderId="0" xfId="0" applyFont="1" applyFill="1" applyAlignment="1">
      <alignment horizontal="center" vertical="center"/>
    </xf>
    <xf numFmtId="0" fontId="33" fillId="44" borderId="0" xfId="0" applyFont="1" applyFill="1" applyAlignment="1">
      <alignment horizontal="center" vertical="center"/>
    </xf>
    <xf numFmtId="1" fontId="35" fillId="50" borderId="10" xfId="0" applyNumberFormat="1" applyFont="1" applyFill="1" applyBorder="1" applyAlignment="1">
      <alignment horizontal="center"/>
    </xf>
    <xf numFmtId="0" fontId="34" fillId="0" borderId="10" xfId="0" applyFont="1" applyBorder="1" applyAlignment="1">
      <alignment horizontal="center"/>
    </xf>
    <xf numFmtId="0" fontId="38" fillId="44" borderId="12" xfId="0" applyFont="1" applyFill="1" applyBorder="1" applyAlignment="1">
      <alignment horizontal="right"/>
    </xf>
    <xf numFmtId="9" fontId="39" fillId="44" borderId="12" xfId="48" applyFont="1" applyFill="1" applyBorder="1" applyAlignment="1">
      <alignment horizontal="center"/>
    </xf>
    <xf numFmtId="0" fontId="27" fillId="34" borderId="0" xfId="0" applyFont="1" applyFill="1"/>
    <xf numFmtId="0" fontId="42" fillId="0" borderId="0" xfId="0" applyFont="1" applyAlignment="1">
      <alignment horizontal="left" vertical="center"/>
    </xf>
    <xf numFmtId="0" fontId="42" fillId="0" borderId="0" xfId="0" applyFont="1" applyAlignment="1">
      <alignment horizontal="center" vertical="center"/>
    </xf>
    <xf numFmtId="0" fontId="41" fillId="0" borderId="10" xfId="0" applyFont="1" applyBorder="1" applyAlignment="1">
      <alignment horizontal="center"/>
    </xf>
    <xf numFmtId="0" fontId="43" fillId="0" borderId="0" xfId="43" applyFont="1" applyAlignment="1">
      <alignment horizontal="center" vertical="center"/>
    </xf>
    <xf numFmtId="3" fontId="44" fillId="0" borderId="0" xfId="43" applyNumberFormat="1" applyFont="1" applyAlignment="1">
      <alignment horizontal="center" vertical="center"/>
    </xf>
    <xf numFmtId="0" fontId="41" fillId="0" borderId="0" xfId="0" applyFont="1" applyAlignment="1">
      <alignment horizontal="center"/>
    </xf>
    <xf numFmtId="0" fontId="30" fillId="39" borderId="10" xfId="0" applyFont="1" applyFill="1" applyBorder="1" applyAlignment="1">
      <alignment horizontal="center" vertical="center"/>
    </xf>
    <xf numFmtId="0" fontId="33" fillId="40" borderId="10" xfId="0" applyFont="1" applyFill="1" applyBorder="1" applyAlignment="1">
      <alignment horizontal="center" vertical="center" wrapText="1"/>
    </xf>
    <xf numFmtId="0" fontId="35" fillId="49" borderId="10" xfId="0" applyFont="1" applyFill="1" applyBorder="1" applyAlignment="1">
      <alignment horizontal="center"/>
    </xf>
    <xf numFmtId="0" fontId="45" fillId="33" borderId="10" xfId="0" applyFont="1" applyFill="1" applyBorder="1" applyAlignment="1">
      <alignment horizontal="center" vertical="center"/>
    </xf>
    <xf numFmtId="0" fontId="45" fillId="33" borderId="0" xfId="0" applyFont="1" applyFill="1" applyAlignment="1">
      <alignment horizontal="center" vertical="center"/>
    </xf>
    <xf numFmtId="0" fontId="27" fillId="46" borderId="0" xfId="0" applyFont="1" applyFill="1"/>
    <xf numFmtId="0" fontId="42" fillId="46" borderId="0" xfId="0" applyFont="1" applyFill="1" applyAlignment="1">
      <alignment horizontal="left" vertical="center"/>
    </xf>
    <xf numFmtId="0" fontId="27" fillId="37" borderId="0" xfId="0" applyFont="1" applyFill="1"/>
    <xf numFmtId="0" fontId="27" fillId="48" borderId="0" xfId="0" applyFont="1" applyFill="1" applyAlignment="1">
      <alignment horizontal="center"/>
    </xf>
    <xf numFmtId="0" fontId="27" fillId="37" borderId="10" xfId="0" applyFont="1" applyFill="1" applyBorder="1" applyAlignment="1">
      <alignment horizontal="center"/>
    </xf>
    <xf numFmtId="0" fontId="27" fillId="37" borderId="0" xfId="0" applyFont="1" applyFill="1" applyAlignment="1">
      <alignment horizontal="center"/>
    </xf>
    <xf numFmtId="0" fontId="27" fillId="0" borderId="10" xfId="0" applyFont="1" applyBorder="1" applyAlignment="1">
      <alignment horizontal="center"/>
    </xf>
    <xf numFmtId="1" fontId="27" fillId="0" borderId="10" xfId="0" applyNumberFormat="1" applyFont="1" applyBorder="1" applyAlignment="1">
      <alignment horizontal="center"/>
    </xf>
    <xf numFmtId="0" fontId="27" fillId="36" borderId="0" xfId="0" applyFont="1" applyFill="1" applyAlignment="1">
      <alignment horizontal="center"/>
    </xf>
    <xf numFmtId="0" fontId="46" fillId="0" borderId="0" xfId="43" applyFont="1" applyAlignment="1">
      <alignment horizontal="left" vertical="center"/>
    </xf>
    <xf numFmtId="9" fontId="47" fillId="0" borderId="0" xfId="48" applyFont="1" applyAlignment="1">
      <alignment horizontal="center"/>
    </xf>
    <xf numFmtId="0" fontId="43" fillId="0" borderId="0" xfId="43" quotePrefix="1" applyFont="1" applyAlignment="1">
      <alignment horizontal="center" vertical="center"/>
    </xf>
    <xf numFmtId="0" fontId="46" fillId="0" borderId="0" xfId="43" quotePrefix="1" applyFont="1" applyAlignment="1">
      <alignment horizontal="left" vertical="center"/>
    </xf>
    <xf numFmtId="0" fontId="42" fillId="0" borderId="0" xfId="0" applyFont="1" applyAlignment="1">
      <alignment horizontal="center"/>
    </xf>
    <xf numFmtId="0" fontId="42" fillId="34" borderId="0" xfId="0" applyFont="1" applyFill="1" applyAlignment="1">
      <alignment horizontal="center"/>
    </xf>
    <xf numFmtId="9" fontId="27" fillId="0" borderId="0" xfId="48" applyFont="1" applyAlignment="1">
      <alignment horizontal="center"/>
    </xf>
    <xf numFmtId="0" fontId="27" fillId="0" borderId="14" xfId="0" applyFont="1" applyBorder="1" applyAlignment="1">
      <alignment horizontal="center"/>
    </xf>
    <xf numFmtId="0" fontId="27" fillId="0" borderId="18" xfId="0" applyFont="1" applyBorder="1" applyAlignment="1">
      <alignment horizontal="center"/>
    </xf>
    <xf numFmtId="0" fontId="41" fillId="0" borderId="14" xfId="0" applyFont="1" applyBorder="1" applyAlignment="1">
      <alignment horizontal="center"/>
    </xf>
    <xf numFmtId="1" fontId="41" fillId="0" borderId="0" xfId="0" applyNumberFormat="1" applyFont="1" applyAlignment="1">
      <alignment horizontal="center"/>
    </xf>
    <xf numFmtId="1" fontId="41" fillId="0" borderId="18" xfId="0" applyNumberFormat="1" applyFont="1" applyBorder="1" applyAlignment="1">
      <alignment horizontal="center"/>
    </xf>
    <xf numFmtId="14" fontId="27" fillId="0" borderId="0" xfId="0" applyNumberFormat="1" applyFont="1" applyAlignment="1">
      <alignment horizontal="center"/>
    </xf>
    <xf numFmtId="14" fontId="27" fillId="0" borderId="18" xfId="0" applyNumberFormat="1" applyFont="1" applyBorder="1" applyAlignment="1">
      <alignment horizontal="center"/>
    </xf>
    <xf numFmtId="0" fontId="27" fillId="0" borderId="19" xfId="0" applyFont="1" applyBorder="1" applyAlignment="1">
      <alignment horizontal="center"/>
    </xf>
    <xf numFmtId="0" fontId="27" fillId="0" borderId="20" xfId="0" applyFont="1" applyBorder="1" applyAlignment="1">
      <alignment horizontal="center"/>
    </xf>
    <xf numFmtId="0" fontId="27" fillId="0" borderId="21" xfId="0" applyFont="1" applyBorder="1" applyAlignment="1">
      <alignment horizontal="center"/>
    </xf>
    <xf numFmtId="0" fontId="27" fillId="34" borderId="0" xfId="0" applyFont="1" applyFill="1" applyAlignment="1">
      <alignment horizontal="center"/>
    </xf>
    <xf numFmtId="0" fontId="27" fillId="35" borderId="10" xfId="0" applyFont="1" applyFill="1" applyBorder="1" applyAlignment="1">
      <alignment horizontal="center"/>
    </xf>
    <xf numFmtId="0" fontId="0" fillId="0" borderId="0" xfId="0" applyAlignment="1">
      <alignment horizontal="center"/>
    </xf>
    <xf numFmtId="0" fontId="0" fillId="34" borderId="10" xfId="0" applyFill="1" applyBorder="1"/>
    <xf numFmtId="0" fontId="13" fillId="44" borderId="0" xfId="0" applyFont="1" applyFill="1" applyAlignment="1">
      <alignment horizontal="right" vertical="center"/>
    </xf>
    <xf numFmtId="0" fontId="21" fillId="36" borderId="0" xfId="0" applyFont="1" applyFill="1" applyAlignment="1">
      <alignment horizontal="center"/>
    </xf>
    <xf numFmtId="0" fontId="0" fillId="34" borderId="0" xfId="0" applyFill="1" applyAlignment="1">
      <alignment horizontal="left"/>
    </xf>
    <xf numFmtId="0" fontId="0" fillId="0" borderId="0" xfId="0" applyAlignment="1">
      <alignment horizontal="left"/>
    </xf>
    <xf numFmtId="0" fontId="0" fillId="46" borderId="0" xfId="0" applyFill="1" applyAlignment="1">
      <alignment horizontal="center"/>
    </xf>
    <xf numFmtId="0" fontId="0" fillId="46" borderId="0" xfId="0" applyFill="1"/>
    <xf numFmtId="1" fontId="27" fillId="35" borderId="10" xfId="0" applyNumberFormat="1" applyFont="1" applyFill="1" applyBorder="1" applyAlignment="1">
      <alignment horizontal="center"/>
    </xf>
    <xf numFmtId="167" fontId="27" fillId="0" borderId="0" xfId="0" applyNumberFormat="1" applyFont="1"/>
    <xf numFmtId="167" fontId="27" fillId="0" borderId="0" xfId="48" applyNumberFormat="1" applyFont="1" applyAlignment="1">
      <alignment horizontal="center"/>
    </xf>
    <xf numFmtId="0" fontId="0" fillId="0" borderId="0" xfId="0" applyAlignment="1">
      <alignment horizontal="center" vertical="center"/>
    </xf>
    <xf numFmtId="1" fontId="0" fillId="0" borderId="0" xfId="0" applyNumberFormat="1" applyAlignment="1">
      <alignment horizontal="center"/>
    </xf>
    <xf numFmtId="164" fontId="21" fillId="37" borderId="0" xfId="0" applyNumberFormat="1" applyFont="1" applyFill="1" applyAlignment="1">
      <alignment horizontal="center"/>
    </xf>
    <xf numFmtId="166" fontId="27" fillId="42" borderId="10" xfId="0" applyNumberFormat="1" applyFont="1" applyFill="1" applyBorder="1" applyAlignment="1">
      <alignment horizontal="center"/>
    </xf>
    <xf numFmtId="0" fontId="0" fillId="42" borderId="10" xfId="0" applyFill="1" applyBorder="1" applyAlignment="1">
      <alignment horizontal="center"/>
    </xf>
    <xf numFmtId="0" fontId="29" fillId="50" borderId="10" xfId="0" applyFont="1" applyFill="1" applyBorder="1" applyAlignment="1">
      <alignment horizontal="center"/>
    </xf>
    <xf numFmtId="9" fontId="21" fillId="34" borderId="0" xfId="48" applyFont="1" applyFill="1"/>
    <xf numFmtId="166" fontId="0" fillId="42" borderId="10" xfId="0" applyNumberFormat="1" applyFill="1" applyBorder="1" applyAlignment="1">
      <alignment horizontal="center"/>
    </xf>
    <xf numFmtId="0" fontId="0" fillId="42" borderId="0" xfId="0" applyFill="1" applyAlignment="1">
      <alignment horizontal="left"/>
    </xf>
    <xf numFmtId="0" fontId="0" fillId="35" borderId="22" xfId="0" applyFill="1" applyBorder="1"/>
    <xf numFmtId="0" fontId="0" fillId="35" borderId="23" xfId="0" applyFill="1" applyBorder="1"/>
    <xf numFmtId="0" fontId="49" fillId="35" borderId="24" xfId="0" applyFont="1" applyFill="1" applyBorder="1"/>
    <xf numFmtId="0" fontId="49" fillId="35" borderId="25" xfId="0" applyFont="1" applyFill="1" applyBorder="1"/>
    <xf numFmtId="0" fontId="49" fillId="35" borderId="26" xfId="0" applyFont="1" applyFill="1" applyBorder="1"/>
    <xf numFmtId="0" fontId="49" fillId="35" borderId="27" xfId="0" applyFont="1" applyFill="1" applyBorder="1"/>
    <xf numFmtId="0" fontId="1" fillId="36" borderId="0" xfId="0" applyFont="1" applyFill="1" applyAlignment="1">
      <alignment horizontal="center"/>
    </xf>
    <xf numFmtId="0" fontId="27" fillId="0" borderId="31" xfId="0" applyFont="1" applyBorder="1" applyAlignment="1">
      <alignment horizontal="center"/>
    </xf>
    <xf numFmtId="0" fontId="32" fillId="44" borderId="22" xfId="0" applyFont="1" applyFill="1" applyBorder="1" applyAlignment="1">
      <alignment horizontal="center" vertical="center"/>
    </xf>
    <xf numFmtId="0" fontId="13" fillId="44" borderId="28" xfId="0" applyFont="1" applyFill="1" applyBorder="1" applyAlignment="1">
      <alignment horizontal="center" vertical="center"/>
    </xf>
    <xf numFmtId="0" fontId="13" fillId="44" borderId="32" xfId="0" applyFont="1" applyFill="1" applyBorder="1" applyAlignment="1">
      <alignment horizontal="center" vertical="center"/>
    </xf>
    <xf numFmtId="3" fontId="36" fillId="43" borderId="25" xfId="0" applyNumberFormat="1" applyFont="1" applyFill="1" applyBorder="1" applyAlignment="1">
      <alignment horizontal="center" vertical="center"/>
    </xf>
    <xf numFmtId="0" fontId="13" fillId="44" borderId="33" xfId="0" applyFont="1" applyFill="1" applyBorder="1" applyAlignment="1">
      <alignment horizontal="center" vertical="center"/>
    </xf>
    <xf numFmtId="0" fontId="13" fillId="44" borderId="34" xfId="0" applyFont="1" applyFill="1" applyBorder="1" applyAlignment="1">
      <alignment horizontal="center" vertical="center"/>
    </xf>
    <xf numFmtId="3" fontId="36" fillId="43" borderId="27" xfId="0" applyNumberFormat="1" applyFont="1" applyFill="1" applyBorder="1" applyAlignment="1">
      <alignment horizontal="center" vertical="center"/>
    </xf>
    <xf numFmtId="166" fontId="36" fillId="43" borderId="0" xfId="0" applyNumberFormat="1" applyFont="1" applyFill="1" applyAlignment="1">
      <alignment horizontal="center"/>
    </xf>
    <xf numFmtId="0" fontId="0" fillId="0" borderId="0" xfId="0" applyAlignment="1">
      <alignment horizontal="right"/>
    </xf>
    <xf numFmtId="166" fontId="37" fillId="43" borderId="0" xfId="0" applyNumberFormat="1" applyFont="1" applyFill="1" applyAlignment="1">
      <alignment horizontal="center"/>
    </xf>
    <xf numFmtId="0" fontId="26" fillId="46" borderId="0" xfId="0" applyFont="1" applyFill="1" applyAlignment="1">
      <alignment horizontal="left" vertical="center"/>
    </xf>
    <xf numFmtId="0" fontId="0" fillId="0" borderId="24" xfId="0" applyBorder="1" applyAlignment="1">
      <alignment vertical="center"/>
    </xf>
    <xf numFmtId="0" fontId="0" fillId="0" borderId="22" xfId="0" applyBorder="1" applyAlignment="1">
      <alignment horizontal="center" vertical="center"/>
    </xf>
    <xf numFmtId="0" fontId="0" fillId="0" borderId="3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3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168" fontId="0" fillId="0" borderId="23" xfId="0" applyNumberFormat="1" applyBorder="1" applyAlignment="1">
      <alignment horizontal="center" vertical="center"/>
    </xf>
    <xf numFmtId="168" fontId="0" fillId="0" borderId="25" xfId="0" applyNumberFormat="1" applyBorder="1" applyAlignment="1">
      <alignment horizontal="center" vertical="center"/>
    </xf>
    <xf numFmtId="168" fontId="0" fillId="0" borderId="27" xfId="0" applyNumberFormat="1" applyBorder="1" applyAlignment="1">
      <alignment horizontal="center" vertical="center"/>
    </xf>
    <xf numFmtId="0" fontId="14" fillId="0" borderId="0" xfId="0" applyFont="1" applyAlignment="1">
      <alignment horizontal="center"/>
    </xf>
    <xf numFmtId="1" fontId="0" fillId="0" borderId="0" xfId="0" applyNumberFormat="1" applyAlignment="1">
      <alignment horizontal="center" vertical="center"/>
    </xf>
    <xf numFmtId="0" fontId="30" fillId="40" borderId="10" xfId="0" applyFont="1" applyFill="1" applyBorder="1" applyAlignment="1">
      <alignment horizontal="center"/>
    </xf>
    <xf numFmtId="3" fontId="38" fillId="44" borderId="10" xfId="0" applyNumberFormat="1" applyFont="1" applyFill="1" applyBorder="1" applyAlignment="1">
      <alignment horizontal="center"/>
    </xf>
    <xf numFmtId="3" fontId="36" fillId="43" borderId="37" xfId="0" applyNumberFormat="1" applyFont="1" applyFill="1" applyBorder="1" applyAlignment="1">
      <alignment horizontal="center"/>
    </xf>
    <xf numFmtId="0" fontId="26" fillId="0" borderId="0" xfId="0" applyFont="1" applyAlignment="1">
      <alignment horizontal="center"/>
    </xf>
    <xf numFmtId="1" fontId="26" fillId="0" borderId="0" xfId="0" applyNumberFormat="1" applyFont="1" applyAlignment="1">
      <alignment horizontal="center"/>
    </xf>
    <xf numFmtId="9" fontId="0" fillId="42" borderId="10" xfId="0" applyNumberFormat="1" applyFill="1" applyBorder="1" applyAlignment="1">
      <alignment horizontal="center"/>
    </xf>
    <xf numFmtId="9" fontId="27" fillId="0" borderId="0" xfId="0" applyNumberFormat="1" applyFont="1" applyAlignment="1">
      <alignment horizontal="center"/>
    </xf>
    <xf numFmtId="9" fontId="30" fillId="50" borderId="10" xfId="30" applyNumberFormat="1" applyFont="1" applyFill="1" applyBorder="1" applyAlignment="1">
      <alignment horizontal="center"/>
    </xf>
    <xf numFmtId="0" fontId="27" fillId="48" borderId="0" xfId="0" applyFont="1" applyFill="1" applyAlignment="1">
      <alignment horizontal="center" vertical="center"/>
    </xf>
    <xf numFmtId="0" fontId="0" fillId="48" borderId="0" xfId="0" applyFill="1" applyAlignment="1">
      <alignment horizontal="center" vertical="center"/>
    </xf>
    <xf numFmtId="3" fontId="26" fillId="0" borderId="0" xfId="0" applyNumberFormat="1" applyFont="1" applyAlignment="1">
      <alignment horizontal="center"/>
    </xf>
    <xf numFmtId="3" fontId="14" fillId="0" borderId="0" xfId="0" applyNumberFormat="1" applyFont="1" applyAlignment="1">
      <alignment horizontal="center"/>
    </xf>
    <xf numFmtId="9" fontId="14" fillId="0" borderId="0" xfId="0" applyNumberFormat="1" applyFont="1" applyAlignment="1">
      <alignment horizontal="center"/>
    </xf>
    <xf numFmtId="169" fontId="27" fillId="0" borderId="0" xfId="0" applyNumberFormat="1" applyFont="1"/>
    <xf numFmtId="169" fontId="0" fillId="0" borderId="0" xfId="0" applyNumberFormat="1"/>
    <xf numFmtId="167" fontId="0" fillId="0" borderId="0" xfId="48" applyNumberFormat="1" applyFont="1" applyAlignment="1">
      <alignment horizontal="center"/>
    </xf>
    <xf numFmtId="1" fontId="27" fillId="42" borderId="10" xfId="0" applyNumberFormat="1" applyFont="1" applyFill="1" applyBorder="1" applyAlignment="1">
      <alignment horizontal="center"/>
    </xf>
    <xf numFmtId="168" fontId="27" fillId="0" borderId="0" xfId="48" applyNumberFormat="1" applyFont="1" applyAlignment="1">
      <alignment horizontal="center"/>
    </xf>
    <xf numFmtId="0" fontId="16" fillId="50" borderId="10" xfId="0" applyFont="1" applyFill="1" applyBorder="1" applyAlignment="1">
      <alignment horizontal="center"/>
    </xf>
    <xf numFmtId="0" fontId="51" fillId="36" borderId="0" xfId="0" applyFont="1" applyFill="1" applyAlignment="1">
      <alignment horizontal="center"/>
    </xf>
    <xf numFmtId="3" fontId="37" fillId="35" borderId="0" xfId="0" applyNumberFormat="1" applyFont="1" applyFill="1" applyAlignment="1">
      <alignment horizontal="center"/>
    </xf>
    <xf numFmtId="3" fontId="27" fillId="0" borderId="0" xfId="0" applyNumberFormat="1" applyFont="1" applyAlignment="1">
      <alignment vertical="center"/>
    </xf>
    <xf numFmtId="167" fontId="0" fillId="0" borderId="0" xfId="0" applyNumberFormat="1"/>
    <xf numFmtId="3" fontId="0" fillId="0" borderId="0" xfId="0" applyNumberFormat="1" applyAlignment="1">
      <alignment vertical="center"/>
    </xf>
    <xf numFmtId="10" fontId="38" fillId="44" borderId="12" xfId="48" applyNumberFormat="1" applyFont="1" applyFill="1" applyBorder="1" applyAlignment="1">
      <alignment horizontal="center"/>
    </xf>
    <xf numFmtId="0" fontId="34" fillId="0" borderId="10" xfId="48" applyNumberFormat="1" applyFont="1" applyBorder="1" applyAlignment="1">
      <alignment horizontal="center" vertical="center"/>
    </xf>
    <xf numFmtId="0" fontId="13" fillId="50" borderId="10" xfId="0" applyFont="1" applyFill="1" applyBorder="1" applyAlignment="1">
      <alignment horizontal="center" vertical="center"/>
    </xf>
    <xf numFmtId="0" fontId="27" fillId="37" borderId="0" xfId="0" applyFont="1" applyFill="1" applyAlignment="1">
      <alignment wrapText="1"/>
    </xf>
    <xf numFmtId="9" fontId="34" fillId="0" borderId="10" xfId="0" applyNumberFormat="1" applyFont="1" applyBorder="1" applyAlignment="1">
      <alignment horizontal="center" vertical="center"/>
    </xf>
    <xf numFmtId="9" fontId="27" fillId="0" borderId="0" xfId="0" applyNumberFormat="1" applyFont="1"/>
    <xf numFmtId="9" fontId="32" fillId="44" borderId="0" xfId="0" applyNumberFormat="1" applyFont="1" applyFill="1" applyAlignment="1">
      <alignment horizontal="right" vertical="center"/>
    </xf>
    <xf numFmtId="9" fontId="30" fillId="44" borderId="0" xfId="0" applyNumberFormat="1" applyFont="1" applyFill="1" applyAlignment="1">
      <alignment horizontal="center" vertical="center"/>
    </xf>
    <xf numFmtId="9" fontId="0" fillId="0" borderId="0" xfId="48" applyFont="1" applyAlignment="1">
      <alignment horizontal="center"/>
    </xf>
    <xf numFmtId="9" fontId="0" fillId="42" borderId="10" xfId="48" applyFont="1" applyFill="1" applyBorder="1" applyAlignment="1">
      <alignment horizontal="center"/>
    </xf>
    <xf numFmtId="0" fontId="32" fillId="44" borderId="0" xfId="0" applyFont="1" applyFill="1" applyAlignment="1">
      <alignment horizontal="center"/>
    </xf>
    <xf numFmtId="0" fontId="0" fillId="35" borderId="0" xfId="0" applyFill="1" applyAlignment="1">
      <alignment horizontal="center"/>
    </xf>
    <xf numFmtId="0" fontId="27" fillId="35" borderId="0" xfId="0" applyFont="1" applyFill="1" applyAlignment="1">
      <alignment horizontal="center"/>
    </xf>
    <xf numFmtId="0" fontId="0" fillId="36" borderId="0" xfId="0" applyFill="1" applyAlignment="1">
      <alignment horizontal="center" vertical="center"/>
    </xf>
    <xf numFmtId="14" fontId="34" fillId="0" borderId="10" xfId="0" applyNumberFormat="1" applyFont="1" applyBorder="1" applyAlignment="1">
      <alignment horizontal="center" vertical="center" textRotation="90"/>
    </xf>
    <xf numFmtId="0" fontId="34" fillId="0" borderId="10" xfId="0" applyFont="1" applyBorder="1" applyAlignment="1">
      <alignment horizontal="center" vertical="center" textRotation="90"/>
    </xf>
    <xf numFmtId="0" fontId="0" fillId="0" borderId="0" xfId="0" applyAlignment="1">
      <alignment horizontal="center"/>
    </xf>
    <xf numFmtId="0" fontId="0" fillId="0" borderId="29" xfId="0" applyBorder="1" applyAlignment="1">
      <alignment horizontal="center"/>
    </xf>
    <xf numFmtId="0" fontId="27" fillId="0" borderId="30"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27" fillId="0" borderId="17" xfId="0" applyFont="1" applyBorder="1" applyAlignment="1">
      <alignment horizontal="center"/>
    </xf>
    <xf numFmtId="0" fontId="30" fillId="40" borderId="11" xfId="0" applyFont="1" applyFill="1" applyBorder="1" applyAlignment="1">
      <alignment horizontal="center" vertical="center"/>
    </xf>
    <xf numFmtId="0" fontId="30" fillId="40" borderId="12" xfId="0" applyFont="1" applyFill="1" applyBorder="1" applyAlignment="1">
      <alignment horizontal="center" vertical="center"/>
    </xf>
    <xf numFmtId="0" fontId="30" fillId="40" borderId="13" xfId="0" applyFont="1" applyFill="1" applyBorder="1" applyAlignment="1">
      <alignment horizontal="center" vertical="center"/>
    </xf>
    <xf numFmtId="0" fontId="45" fillId="33" borderId="11" xfId="0" applyFont="1" applyFill="1" applyBorder="1" applyAlignment="1">
      <alignment horizontal="center"/>
    </xf>
    <xf numFmtId="0" fontId="45" fillId="33" borderId="12" xfId="0" applyFont="1" applyFill="1" applyBorder="1" applyAlignment="1">
      <alignment horizontal="center"/>
    </xf>
    <xf numFmtId="0" fontId="45" fillId="40" borderId="11" xfId="0" applyFont="1" applyFill="1" applyBorder="1" applyAlignment="1">
      <alignment horizontal="center" vertical="center" wrapText="1"/>
    </xf>
    <xf numFmtId="0" fontId="45" fillId="40" borderId="12" xfId="0" applyFont="1" applyFill="1" applyBorder="1" applyAlignment="1">
      <alignment horizontal="center" vertical="center" wrapText="1"/>
    </xf>
    <xf numFmtId="0" fontId="45" fillId="40" borderId="13" xfId="0" applyFont="1" applyFill="1" applyBorder="1" applyAlignment="1">
      <alignment horizontal="center" vertical="center" wrapText="1"/>
    </xf>
    <xf numFmtId="14" fontId="27" fillId="0" borderId="11" xfId="0" applyNumberFormat="1" applyFont="1" applyBorder="1" applyAlignment="1">
      <alignment horizontal="center"/>
    </xf>
    <xf numFmtId="14" fontId="27" fillId="0" borderId="13" xfId="0" applyNumberFormat="1" applyFont="1" applyBorder="1" applyAlignment="1">
      <alignment horizont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cellXfs>
  <cellStyles count="54">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Moeda 2" xfId="49" xr:uid="{00000000-0005-0000-0000-000023000000}"/>
    <cellStyle name="Neutro" xfId="8" builtinId="28" customBuiltin="1"/>
    <cellStyle name="Normal" xfId="0" builtinId="0"/>
    <cellStyle name="Normal 2" xfId="43" xr:uid="{00000000-0005-0000-0000-000026000000}"/>
    <cellStyle name="Normal 2 2" xfId="50" xr:uid="{00000000-0005-0000-0000-000027000000}"/>
    <cellStyle name="Normal 3" xfId="44" xr:uid="{00000000-0005-0000-0000-000028000000}"/>
    <cellStyle name="Normal 3 2" xfId="45" xr:uid="{00000000-0005-0000-0000-000029000000}"/>
    <cellStyle name="Normal 3 3" xfId="46" xr:uid="{00000000-0005-0000-0000-00002A000000}"/>
    <cellStyle name="Normal 3 4" xfId="52" xr:uid="{00000000-0005-0000-0000-00002B000000}"/>
    <cellStyle name="Normal 4" xfId="42" xr:uid="{00000000-0005-0000-0000-00002C000000}"/>
    <cellStyle name="Normal 5" xfId="47" xr:uid="{00000000-0005-0000-0000-00002D000000}"/>
    <cellStyle name="Normal 9 2" xfId="53" xr:uid="{22243AEE-D55A-497E-9AD4-08B8C402D7A5}"/>
    <cellStyle name="Nota" xfId="15" builtinId="10" customBuiltin="1"/>
    <cellStyle name="Porcentagem" xfId="48" builtinId="5"/>
    <cellStyle name="Porcentagem 2" xfId="51" xr:uid="{00000000-0005-0000-0000-000031000000}"/>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24">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4BACC6"/>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heetMetadata" Target="metadata.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PERFIL HIDROLÓGICO</a:t>
            </a:r>
            <a:r>
              <a:rPr lang="pt-BR" baseline="0"/>
              <a:t> DOS SUBMERCADOS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Enas!$C$4</c:f>
              <c:strCache>
                <c:ptCount val="1"/>
                <c:pt idx="0">
                  <c:v>Sudeste</c:v>
                </c:pt>
              </c:strCache>
            </c:strRef>
          </c:tx>
          <c:spPr>
            <a:ln w="28575" cap="rnd">
              <a:solidFill>
                <a:schemeClr val="accent1"/>
              </a:solidFill>
              <a:round/>
            </a:ln>
            <a:effectLst/>
          </c:spPr>
          <c:marker>
            <c:symbol val="none"/>
          </c:marker>
          <c:cat>
            <c:strRef>
              <c:f>Enas!$D$3:$O$3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Enas!$D$4:$O$4</c:f>
              <c:numCache>
                <c:formatCode>0</c:formatCode>
                <c:ptCount val="12"/>
                <c:pt idx="0">
                  <c:v>65805.009999999995</c:v>
                </c:pt>
                <c:pt idx="1">
                  <c:v>70900.240000000005</c:v>
                </c:pt>
                <c:pt idx="2">
                  <c:v>69325.88</c:v>
                </c:pt>
                <c:pt idx="3">
                  <c:v>54954.29</c:v>
                </c:pt>
                <c:pt idx="4">
                  <c:v>40060.04</c:v>
                </c:pt>
                <c:pt idx="5">
                  <c:v>32662.14</c:v>
                </c:pt>
                <c:pt idx="6">
                  <c:v>25728.42</c:v>
                </c:pt>
                <c:pt idx="7">
                  <c:v>20615.990000000002</c:v>
                </c:pt>
                <c:pt idx="8">
                  <c:v>19716.29</c:v>
                </c:pt>
                <c:pt idx="9">
                  <c:v>23606.46</c:v>
                </c:pt>
                <c:pt idx="10">
                  <c:v>31431.13</c:v>
                </c:pt>
                <c:pt idx="11">
                  <c:v>48039.13</c:v>
                </c:pt>
              </c:numCache>
            </c:numRef>
          </c:val>
          <c:smooth val="1"/>
          <c:extLst>
            <c:ext xmlns:c16="http://schemas.microsoft.com/office/drawing/2014/chart" uri="{C3380CC4-5D6E-409C-BE32-E72D297353CC}">
              <c16:uniqueId val="{00000000-6B5B-466B-AFE6-7931388A7053}"/>
            </c:ext>
          </c:extLst>
        </c:ser>
        <c:ser>
          <c:idx val="1"/>
          <c:order val="1"/>
          <c:tx>
            <c:strRef>
              <c:f>Enas!$C$5</c:f>
              <c:strCache>
                <c:ptCount val="1"/>
                <c:pt idx="0">
                  <c:v>Sul</c:v>
                </c:pt>
              </c:strCache>
            </c:strRef>
          </c:tx>
          <c:spPr>
            <a:ln w="28575" cap="rnd">
              <a:solidFill>
                <a:schemeClr val="accent2"/>
              </a:solidFill>
              <a:round/>
            </a:ln>
            <a:effectLst/>
          </c:spPr>
          <c:marker>
            <c:symbol val="none"/>
          </c:marker>
          <c:cat>
            <c:strRef>
              <c:f>Enas!$D$3:$O$3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Enas!$D$5:$O$5</c:f>
              <c:numCache>
                <c:formatCode>0</c:formatCode>
                <c:ptCount val="12"/>
                <c:pt idx="0">
                  <c:v>7473.8</c:v>
                </c:pt>
                <c:pt idx="1">
                  <c:v>8215.48</c:v>
                </c:pt>
                <c:pt idx="2">
                  <c:v>7010.29</c:v>
                </c:pt>
                <c:pt idx="3">
                  <c:v>6482.86</c:v>
                </c:pt>
                <c:pt idx="4">
                  <c:v>8493.81</c:v>
                </c:pt>
                <c:pt idx="5">
                  <c:v>10387.290000000001</c:v>
                </c:pt>
                <c:pt idx="6">
                  <c:v>10886.57</c:v>
                </c:pt>
                <c:pt idx="7">
                  <c:v>9928.59</c:v>
                </c:pt>
                <c:pt idx="8">
                  <c:v>11548.7</c:v>
                </c:pt>
                <c:pt idx="9">
                  <c:v>13135.1</c:v>
                </c:pt>
                <c:pt idx="10">
                  <c:v>9270.06</c:v>
                </c:pt>
                <c:pt idx="11">
                  <c:v>7389.75</c:v>
                </c:pt>
              </c:numCache>
            </c:numRef>
          </c:val>
          <c:smooth val="1"/>
          <c:extLst>
            <c:ext xmlns:c16="http://schemas.microsoft.com/office/drawing/2014/chart" uri="{C3380CC4-5D6E-409C-BE32-E72D297353CC}">
              <c16:uniqueId val="{00000001-6B5B-466B-AFE6-7931388A7053}"/>
            </c:ext>
          </c:extLst>
        </c:ser>
        <c:ser>
          <c:idx val="2"/>
          <c:order val="2"/>
          <c:tx>
            <c:strRef>
              <c:f>Enas!$C$6</c:f>
              <c:strCache>
                <c:ptCount val="1"/>
                <c:pt idx="0">
                  <c:v>Nordeste</c:v>
                </c:pt>
              </c:strCache>
            </c:strRef>
          </c:tx>
          <c:spPr>
            <a:ln w="28575" cap="rnd">
              <a:solidFill>
                <a:schemeClr val="accent3"/>
              </a:solidFill>
              <a:round/>
            </a:ln>
            <a:effectLst/>
          </c:spPr>
          <c:marker>
            <c:symbol val="none"/>
          </c:marker>
          <c:cat>
            <c:strRef>
              <c:f>Enas!$D$3:$O$3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Enas!$D$6:$O$6</c:f>
              <c:numCache>
                <c:formatCode>0</c:formatCode>
                <c:ptCount val="12"/>
                <c:pt idx="0">
                  <c:v>13511.91</c:v>
                </c:pt>
                <c:pt idx="1">
                  <c:v>14255.8</c:v>
                </c:pt>
                <c:pt idx="2">
                  <c:v>14160.49</c:v>
                </c:pt>
                <c:pt idx="3">
                  <c:v>11573.88</c:v>
                </c:pt>
                <c:pt idx="4">
                  <c:v>6987.51</c:v>
                </c:pt>
                <c:pt idx="5">
                  <c:v>4610.84</c:v>
                </c:pt>
                <c:pt idx="6">
                  <c:v>3799.05</c:v>
                </c:pt>
                <c:pt idx="7">
                  <c:v>3314.04</c:v>
                </c:pt>
                <c:pt idx="8">
                  <c:v>2958.98</c:v>
                </c:pt>
                <c:pt idx="9">
                  <c:v>3224.32</c:v>
                </c:pt>
                <c:pt idx="10">
                  <c:v>5303.18</c:v>
                </c:pt>
                <c:pt idx="11">
                  <c:v>9836.7000000000007</c:v>
                </c:pt>
              </c:numCache>
            </c:numRef>
          </c:val>
          <c:smooth val="1"/>
          <c:extLst>
            <c:ext xmlns:c16="http://schemas.microsoft.com/office/drawing/2014/chart" uri="{C3380CC4-5D6E-409C-BE32-E72D297353CC}">
              <c16:uniqueId val="{00000002-6B5B-466B-AFE6-7931388A7053}"/>
            </c:ext>
          </c:extLst>
        </c:ser>
        <c:ser>
          <c:idx val="3"/>
          <c:order val="3"/>
          <c:tx>
            <c:strRef>
              <c:f>Enas!$C$7</c:f>
              <c:strCache>
                <c:ptCount val="1"/>
                <c:pt idx="0">
                  <c:v>Norte</c:v>
                </c:pt>
              </c:strCache>
            </c:strRef>
          </c:tx>
          <c:spPr>
            <a:ln w="28575" cap="rnd">
              <a:solidFill>
                <a:schemeClr val="accent4"/>
              </a:solidFill>
              <a:round/>
            </a:ln>
            <a:effectLst/>
          </c:spPr>
          <c:marker>
            <c:symbol val="none"/>
          </c:marker>
          <c:cat>
            <c:strRef>
              <c:f>Enas!$D$3:$O$3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Enas!$D$7:$O$7</c:f>
              <c:numCache>
                <c:formatCode>0</c:formatCode>
                <c:ptCount val="12"/>
                <c:pt idx="0">
                  <c:v>15596.88</c:v>
                </c:pt>
                <c:pt idx="1">
                  <c:v>22630.29</c:v>
                </c:pt>
                <c:pt idx="2">
                  <c:v>26689.57</c:v>
                </c:pt>
                <c:pt idx="3">
                  <c:v>27000.71</c:v>
                </c:pt>
                <c:pt idx="4">
                  <c:v>20390.64</c:v>
                </c:pt>
                <c:pt idx="5">
                  <c:v>10663.97</c:v>
                </c:pt>
                <c:pt idx="6">
                  <c:v>5246.41</c:v>
                </c:pt>
                <c:pt idx="7">
                  <c:v>3188.8</c:v>
                </c:pt>
                <c:pt idx="8">
                  <c:v>2273.9499999999998</c:v>
                </c:pt>
                <c:pt idx="9">
                  <c:v>2389.7800000000002</c:v>
                </c:pt>
                <c:pt idx="10">
                  <c:v>4029.2</c:v>
                </c:pt>
                <c:pt idx="11">
                  <c:v>8270.6</c:v>
                </c:pt>
              </c:numCache>
            </c:numRef>
          </c:val>
          <c:smooth val="1"/>
          <c:extLst>
            <c:ext xmlns:c16="http://schemas.microsoft.com/office/drawing/2014/chart" uri="{C3380CC4-5D6E-409C-BE32-E72D297353CC}">
              <c16:uniqueId val="{00000003-6B5B-466B-AFE6-7931388A7053}"/>
            </c:ext>
          </c:extLst>
        </c:ser>
        <c:dLbls>
          <c:showLegendKey val="0"/>
          <c:showVal val="0"/>
          <c:showCatName val="0"/>
          <c:showSerName val="0"/>
          <c:showPercent val="0"/>
          <c:showBubbleSize val="0"/>
        </c:dLbls>
        <c:smooth val="0"/>
        <c:axId val="1296070463"/>
        <c:axId val="87201807"/>
      </c:lineChart>
      <c:catAx>
        <c:axId val="1296070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201807"/>
        <c:crosses val="autoZero"/>
        <c:auto val="1"/>
        <c:lblAlgn val="ctr"/>
        <c:lblOffset val="100"/>
        <c:noMultiLvlLbl val="0"/>
      </c:catAx>
      <c:valAx>
        <c:axId val="872018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2960704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1821180</xdr:colOff>
          <xdr:row>1</xdr:row>
          <xdr:rowOff>76200</xdr:rowOff>
        </xdr:from>
        <xdr:to>
          <xdr:col>9</xdr:col>
          <xdr:colOff>2636520</xdr:colOff>
          <xdr:row>5</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Armazena Valores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6</xdr:row>
          <xdr:rowOff>30480</xdr:rowOff>
        </xdr:from>
        <xdr:to>
          <xdr:col>8</xdr:col>
          <xdr:colOff>0</xdr:colOff>
          <xdr:row>6</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Zerar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30480</xdr:rowOff>
        </xdr:from>
        <xdr:to>
          <xdr:col>7</xdr:col>
          <xdr:colOff>426720</xdr:colOff>
          <xdr:row>28</xdr:row>
          <xdr:rowOff>182880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Colar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2979420</xdr:colOff>
          <xdr:row>28</xdr:row>
          <xdr:rowOff>30480</xdr:rowOff>
        </xdr:from>
        <xdr:to>
          <xdr:col>10</xdr:col>
          <xdr:colOff>0</xdr:colOff>
          <xdr:row>28</xdr:row>
          <xdr:rowOff>182880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7</xdr:row>
          <xdr:rowOff>7620</xdr:rowOff>
        </xdr:from>
        <xdr:to>
          <xdr:col>23</xdr:col>
          <xdr:colOff>541020</xdr:colOff>
          <xdr:row>8</xdr:row>
          <xdr:rowOff>7620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15</xdr:row>
          <xdr:rowOff>30480</xdr:rowOff>
        </xdr:from>
        <xdr:to>
          <xdr:col>26</xdr:col>
          <xdr:colOff>30480</xdr:colOff>
          <xdr:row>15</xdr:row>
          <xdr:rowOff>182880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609600</xdr:colOff>
          <xdr:row>8</xdr:row>
          <xdr:rowOff>30480</xdr:rowOff>
        </xdr:from>
        <xdr:to>
          <xdr:col>22</xdr:col>
          <xdr:colOff>0</xdr:colOff>
          <xdr:row>9</xdr:row>
          <xdr:rowOff>45720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Exportar ENAs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xdr:colOff>
          <xdr:row>1</xdr:row>
          <xdr:rowOff>76200</xdr:rowOff>
        </xdr:from>
        <xdr:to>
          <xdr:col>9</xdr:col>
          <xdr:colOff>487680</xdr:colOff>
          <xdr:row>3</xdr:row>
          <xdr:rowOff>45720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xdr:colOff>
          <xdr:row>3</xdr:row>
          <xdr:rowOff>152400</xdr:rowOff>
        </xdr:from>
        <xdr:to>
          <xdr:col>9</xdr:col>
          <xdr:colOff>487680</xdr:colOff>
          <xdr:row>5</xdr:row>
          <xdr:rowOff>121920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xdr:row>
          <xdr:rowOff>76200</xdr:rowOff>
        </xdr:from>
        <xdr:to>
          <xdr:col>9</xdr:col>
          <xdr:colOff>1028700</xdr:colOff>
          <xdr:row>3</xdr:row>
          <xdr:rowOff>45720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3</xdr:row>
          <xdr:rowOff>152400</xdr:rowOff>
        </xdr:from>
        <xdr:to>
          <xdr:col>9</xdr:col>
          <xdr:colOff>1028700</xdr:colOff>
          <xdr:row>5</xdr:row>
          <xdr:rowOff>114300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1135380</xdr:colOff>
          <xdr:row>1</xdr:row>
          <xdr:rowOff>76200</xdr:rowOff>
        </xdr:from>
        <xdr:to>
          <xdr:col>9</xdr:col>
          <xdr:colOff>1592580</xdr:colOff>
          <xdr:row>3</xdr:row>
          <xdr:rowOff>45720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1112520</xdr:colOff>
          <xdr:row>3</xdr:row>
          <xdr:rowOff>144780</xdr:rowOff>
        </xdr:from>
        <xdr:to>
          <xdr:col>9</xdr:col>
          <xdr:colOff>1569720</xdr:colOff>
          <xdr:row>5</xdr:row>
          <xdr:rowOff>114300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30</xdr:row>
          <xdr:rowOff>190500</xdr:rowOff>
        </xdr:from>
        <xdr:to>
          <xdr:col>22</xdr:col>
          <xdr:colOff>22860</xdr:colOff>
          <xdr:row>32</xdr:row>
          <xdr:rowOff>22860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Calc 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419100</xdr:rowOff>
        </xdr:from>
        <xdr:to>
          <xdr:col>2</xdr:col>
          <xdr:colOff>0</xdr:colOff>
          <xdr:row>2</xdr:row>
          <xdr:rowOff>121920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Read DADGER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xdr:row>
          <xdr:rowOff>68580</xdr:rowOff>
        </xdr:from>
        <xdr:to>
          <xdr:col>2</xdr:col>
          <xdr:colOff>0</xdr:colOff>
          <xdr:row>5</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Limpar Dados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198120</xdr:rowOff>
        </xdr:from>
        <xdr:to>
          <xdr:col>4</xdr:col>
          <xdr:colOff>998220</xdr:colOff>
          <xdr:row>0</xdr:row>
          <xdr:rowOff>419100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Zerar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152400</xdr:rowOff>
        </xdr:from>
        <xdr:to>
          <xdr:col>4</xdr:col>
          <xdr:colOff>7620</xdr:colOff>
          <xdr:row>8</xdr:row>
          <xdr:rowOff>182880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Colar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7</xdr:row>
          <xdr:rowOff>144780</xdr:rowOff>
        </xdr:from>
        <xdr:to>
          <xdr:col>5</xdr:col>
          <xdr:colOff>2857500</xdr:colOff>
          <xdr:row>8</xdr:row>
          <xdr:rowOff>182880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259080</xdr:rowOff>
        </xdr:from>
        <xdr:to>
          <xdr:col>8</xdr:col>
          <xdr:colOff>0</xdr:colOff>
          <xdr:row>0</xdr:row>
          <xdr:rowOff>419100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100" b="0" i="0" u="none" strike="noStrike" baseline="0">
                  <a:solidFill>
                    <a:srgbClr val="000000"/>
                  </a:solidFill>
                  <a:latin typeface="Calibri"/>
                  <a:ea typeface="Calibri"/>
                  <a:cs typeface="Calibri"/>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400050</xdr:colOff>
      <xdr:row>8</xdr:row>
      <xdr:rowOff>90487</xdr:rowOff>
    </xdr:from>
    <xdr:to>
      <xdr:col>18</xdr:col>
      <xdr:colOff>219075</xdr:colOff>
      <xdr:row>30</xdr:row>
      <xdr:rowOff>47624</xdr:rowOff>
    </xdr:to>
    <xdr:graphicFrame macro="">
      <xdr:nvGraphicFramePr>
        <xdr:cNvPr id="2" name="Gráfic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ario.moura\Desktop\Uso\Treinamento\Material%20de%20aux&#237;lio\Decomp\RV0%20-%20Treinament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dlacorte\Google%20Drive\Bruno%20-%20Skydrive\Projeto%20LDC\Vers&#227;o%20Final%20Buno%20-%20Indador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MO\Previs&#245;es\Previs&#245;es_2011\06_2011\REVISAO_2\Planilha_previsao_16.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_RE"/>
      <sheetName val="DADGER"/>
      <sheetName val="DADGNL"/>
      <sheetName val="semanas"/>
      <sheetName val="sumario.rvx"/>
      <sheetName val="RVX"/>
      <sheetName val="CT"/>
      <sheetName val="VE"/>
      <sheetName val="arquivos.dat"/>
      <sheetName val="adterm.dat"/>
      <sheetName val="dger.dat"/>
      <sheetName val="ree.dat"/>
      <sheetName val="sistema.dat"/>
      <sheetName val="c_adic.dat"/>
      <sheetName val="patamar.dat"/>
      <sheetName val="agrint.dat"/>
      <sheetName val="re.dat"/>
      <sheetName val="conft.dat"/>
      <sheetName val="clast.dat"/>
      <sheetName val="rv1"/>
      <sheetName val="expt.dat"/>
      <sheetName val="manutt.dat"/>
      <sheetName val="term.dat"/>
      <sheetName val="confhd.dat"/>
      <sheetName val="exph.dat"/>
      <sheetName val="EA"/>
      <sheetName val="modif.dat"/>
      <sheetName val="hidr.dat"/>
      <sheetName val="ghmin.dat"/>
      <sheetName val="vazpast.dat"/>
      <sheetName val="dsvagua.dat"/>
      <sheetName val="RV0"/>
      <sheetName val="TEIFop"/>
      <sheetName val="IPop"/>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ow r="8">
          <cell r="C8">
            <v>2018</v>
          </cell>
        </row>
      </sheetData>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inel"/>
      <sheetName val="PLD Histórico"/>
      <sheetName val="Negociações ACL"/>
      <sheetName val="ENA"/>
      <sheetName val="CARGA"/>
      <sheetName val="EAR-SE"/>
      <sheetName val="EAR-S"/>
      <sheetName val="EAR-NE"/>
      <sheetName val="EAR-N"/>
      <sheetName val="crono-dist"/>
      <sheetName val="Break Even Dist"/>
      <sheetName val="Distribuição"/>
      <sheetName val="ACR-leiloes"/>
      <sheetName val="ENA Gráfico"/>
      <sheetName val="EAR mes a mes"/>
      <sheetName val="PLD-Imput"/>
      <sheetName val="MLT - ENA"/>
      <sheetName val="Patamar"/>
      <sheetName val="Plan2"/>
    </sheetNames>
    <sheetDataSet>
      <sheetData sheetId="0" refreshError="1"/>
      <sheetData sheetId="1" refreshError="1"/>
      <sheetData sheetId="2" refreshError="1"/>
      <sheetData sheetId="3">
        <row r="37">
          <cell r="S37" t="str">
            <v>Data</v>
          </cell>
          <cell r="T37" t="str">
            <v>ENA SE</v>
          </cell>
          <cell r="U37" t="str">
            <v>ENA S</v>
          </cell>
          <cell r="V37" t="str">
            <v>ENA NE</v>
          </cell>
          <cell r="W37" t="str">
            <v>ENA N</v>
          </cell>
          <cell r="X37" t="str">
            <v>Geração Térmica SIN</v>
          </cell>
          <cell r="Y37" t="str">
            <v>Carga SIN</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3">
          <cell r="L3">
            <v>241</v>
          </cell>
        </row>
      </sheetData>
      <sheetData sheetId="14">
        <row r="5">
          <cell r="AV5">
            <v>146</v>
          </cell>
        </row>
        <row r="9">
          <cell r="AP9">
            <v>36526</v>
          </cell>
          <cell r="AQ9">
            <v>58497.929999999993</v>
          </cell>
          <cell r="AR9">
            <v>9439.6749999999993</v>
          </cell>
          <cell r="AS9">
            <v>39257.262999999999</v>
          </cell>
          <cell r="AT9">
            <v>10800.119000000001</v>
          </cell>
          <cell r="AU9">
            <v>170339.64715</v>
          </cell>
          <cell r="AV9">
            <v>287716</v>
          </cell>
        </row>
      </sheetData>
      <sheetData sheetId="15" refreshError="1"/>
      <sheetData sheetId="16" refreshError="1"/>
      <sheetData sheetId="17" refreshError="1"/>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genda"/>
      <sheetName val="Atualizações"/>
      <sheetName val="Calendário"/>
      <sheetName val="Geral"/>
      <sheetName val="Lista_Carrega_BDT"/>
      <sheetName val="CARREGA_BDT"/>
      <sheetName val="Solic_Prev"/>
      <sheetName val="MLTUSI"/>
      <sheetName val="MLTBAC"/>
      <sheetName val="Correlações"/>
      <sheetName val="Processamento"/>
      <sheetName val="ENAS_passadas"/>
      <sheetName val="Auxílio"/>
      <sheetName val="S1"/>
      <sheetName val="S2"/>
      <sheetName val="S3"/>
      <sheetName val="S4"/>
      <sheetName val="S5"/>
      <sheetName val="Consulta_Propagações"/>
      <sheetName val="Propagações"/>
      <sheetName val="Semana_estimada"/>
      <sheetName val="RDH-ENAsist"/>
      <sheetName val="RDH-ENAbac"/>
      <sheetName val="Prevs-SAOFRANCISCO"/>
      <sheetName val="Todos"/>
      <sheetName val="LEGENDA_Prevs-DECOMP"/>
      <sheetName val="Prevs-DECOMP"/>
      <sheetName val="Prevs_POCP"/>
      <sheetName val="Prevs_MENSAL"/>
      <sheetName val="Carrega_vazão_estimada"/>
      <sheetName val="Carrega_vazão_mês_anterior_PMO"/>
      <sheetName val="FUZ_MGB_SMAP"/>
      <sheetName val="ONS"/>
      <sheetName val="Agentes"/>
      <sheetName val="Consolida_Final"/>
      <sheetName val="vaz_diaria"/>
      <sheetName val="EXPANSÃO"/>
      <sheetName val="Capa"/>
      <sheetName val="Tab-1"/>
      <sheetName val="Tab-2-3-4"/>
      <sheetName val="Tab-5-6-7"/>
      <sheetName val="Tab-8"/>
      <sheetName val="Tab-9-10-11"/>
      <sheetName val="Tab-12"/>
      <sheetName val="Tab-13-14-15"/>
      <sheetName val="Tab-16"/>
      <sheetName val="Tab-17-18-19"/>
      <sheetName val="Tab-20"/>
      <sheetName val="Tab-21-22-23"/>
      <sheetName val="Tab-24"/>
      <sheetName val="Tab-25"/>
      <sheetName val="REV-1"/>
      <sheetName val="REV-2"/>
      <sheetName val="REV-3"/>
      <sheetName val="REV-4"/>
      <sheetName val="REV-5"/>
      <sheetName val="REV-6"/>
      <sheetName val="REV-7"/>
      <sheetName val="REV-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ow r="5">
          <cell r="A5">
            <v>1</v>
          </cell>
          <cell r="B5" t="str">
            <v>CAMARGOS</v>
          </cell>
          <cell r="C5">
            <v>0.1971</v>
          </cell>
          <cell r="E5">
            <v>70</v>
          </cell>
          <cell r="F5" t="str">
            <v>JORDÃO</v>
          </cell>
          <cell r="G5">
            <v>0</v>
          </cell>
        </row>
        <row r="6">
          <cell r="A6">
            <v>2</v>
          </cell>
          <cell r="B6" t="str">
            <v>ITUTINGA</v>
          </cell>
          <cell r="C6">
            <v>0.2447</v>
          </cell>
          <cell r="E6">
            <v>71</v>
          </cell>
          <cell r="F6" t="str">
            <v>STA CLARA PR</v>
          </cell>
          <cell r="G6">
            <v>0.81330000000000002</v>
          </cell>
        </row>
        <row r="7">
          <cell r="A7">
            <v>6</v>
          </cell>
          <cell r="B7" t="str">
            <v>FURNAS</v>
          </cell>
          <cell r="C7">
            <v>0.77259999999999995</v>
          </cell>
          <cell r="E7">
            <v>72</v>
          </cell>
          <cell r="F7" t="str">
            <v>FUNDÃO</v>
          </cell>
          <cell r="G7">
            <v>0.82989999999999997</v>
          </cell>
        </row>
        <row r="8">
          <cell r="A8">
            <v>7</v>
          </cell>
          <cell r="B8" t="str">
            <v>MASC. DE MORAES</v>
          </cell>
          <cell r="C8">
            <v>0.3337</v>
          </cell>
          <cell r="E8">
            <v>74</v>
          </cell>
          <cell r="F8" t="str">
            <v>FOZ DO AREIA</v>
          </cell>
          <cell r="G8">
            <v>1.1476999999999999</v>
          </cell>
        </row>
        <row r="9">
          <cell r="A9">
            <v>8</v>
          </cell>
          <cell r="B9" t="str">
            <v>ESTREITO</v>
          </cell>
          <cell r="C9">
            <v>0.56269999999999998</v>
          </cell>
          <cell r="E9">
            <v>75</v>
          </cell>
          <cell r="F9" t="str">
            <v>SEGREDO</v>
          </cell>
          <cell r="G9">
            <v>1.0242</v>
          </cell>
        </row>
        <row r="10">
          <cell r="A10">
            <v>9</v>
          </cell>
          <cell r="B10" t="str">
            <v>JAGUARA</v>
          </cell>
          <cell r="C10">
            <v>0.40429999999999999</v>
          </cell>
          <cell r="E10">
            <v>77</v>
          </cell>
          <cell r="F10" t="str">
            <v>SLT SANTIAGO</v>
          </cell>
          <cell r="G10">
            <v>0.88200000000000001</v>
          </cell>
        </row>
        <row r="11">
          <cell r="A11">
            <v>10</v>
          </cell>
          <cell r="B11" t="str">
            <v>IGARAPAVA</v>
          </cell>
          <cell r="C11">
            <v>0.1525</v>
          </cell>
          <cell r="E11">
            <v>78</v>
          </cell>
          <cell r="F11" t="str">
            <v>SALTO OSORIO</v>
          </cell>
          <cell r="G11">
            <v>0.63070000000000004</v>
          </cell>
        </row>
        <row r="12">
          <cell r="A12">
            <v>11</v>
          </cell>
          <cell r="B12" t="str">
            <v>VOLTA GRANDE</v>
          </cell>
          <cell r="C12">
            <v>0.2472</v>
          </cell>
          <cell r="E12">
            <v>92</v>
          </cell>
          <cell r="F12" t="str">
            <v>ITÁ</v>
          </cell>
          <cell r="G12">
            <v>0.91859999999999997</v>
          </cell>
        </row>
        <row r="13">
          <cell r="A13">
            <v>12</v>
          </cell>
          <cell r="B13" t="str">
            <v>P COLOMBIA</v>
          </cell>
          <cell r="C13">
            <v>0.20380000000000001</v>
          </cell>
          <cell r="E13">
            <v>93</v>
          </cell>
          <cell r="F13" t="str">
            <v xml:space="preserve">PASSO FUNDO </v>
          </cell>
          <cell r="G13">
            <v>2.2427000000000001</v>
          </cell>
        </row>
        <row r="14">
          <cell r="A14">
            <v>14</v>
          </cell>
          <cell r="B14" t="str">
            <v>CACONDE</v>
          </cell>
          <cell r="C14">
            <v>0.81459999999999999</v>
          </cell>
          <cell r="E14">
            <v>94</v>
          </cell>
          <cell r="F14" t="str">
            <v>FOZ CHAPECO</v>
          </cell>
          <cell r="G14">
            <v>0.46350000000000002</v>
          </cell>
        </row>
        <row r="15">
          <cell r="A15">
            <v>15</v>
          </cell>
          <cell r="B15" t="str">
            <v>EUC DA CUNHA</v>
          </cell>
          <cell r="C15">
            <v>0.74609999999999999</v>
          </cell>
          <cell r="E15">
            <v>97</v>
          </cell>
          <cell r="F15" t="str">
            <v>MONTE CLARO</v>
          </cell>
          <cell r="G15">
            <v>0.36009999999999998</v>
          </cell>
        </row>
        <row r="16">
          <cell r="A16">
            <v>16</v>
          </cell>
          <cell r="B16" t="str">
            <v>LIMOEIRO</v>
          </cell>
          <cell r="C16">
            <v>0.2064</v>
          </cell>
          <cell r="E16">
            <v>98</v>
          </cell>
          <cell r="F16" t="str">
            <v>CASTRO ALVES</v>
          </cell>
          <cell r="G16">
            <v>0.75849999999999995</v>
          </cell>
        </row>
        <row r="17">
          <cell r="A17">
            <v>17</v>
          </cell>
          <cell r="B17" t="str">
            <v>MARIMBONDO</v>
          </cell>
          <cell r="C17">
            <v>0.49390000000000001</v>
          </cell>
          <cell r="E17">
            <v>101</v>
          </cell>
          <cell r="F17" t="str">
            <v>SALTO PILAO</v>
          </cell>
          <cell r="G17">
            <v>1.8158000000000001</v>
          </cell>
        </row>
        <row r="18">
          <cell r="A18">
            <v>18</v>
          </cell>
          <cell r="B18" t="str">
            <v>AGUA VERMELHA</v>
          </cell>
          <cell r="C18">
            <v>0.47099999999999997</v>
          </cell>
          <cell r="E18">
            <v>102</v>
          </cell>
          <cell r="F18" t="str">
            <v>SÃO JOSÉ</v>
          </cell>
          <cell r="G18">
            <v>0</v>
          </cell>
        </row>
        <row r="19">
          <cell r="A19">
            <v>23</v>
          </cell>
          <cell r="B19" t="str">
            <v>CORUMBA III</v>
          </cell>
          <cell r="C19">
            <v>0.36209999999999998</v>
          </cell>
          <cell r="E19">
            <v>111</v>
          </cell>
          <cell r="F19" t="str">
            <v xml:space="preserve">PASSO REAL  </v>
          </cell>
          <cell r="G19">
            <v>0.37969999999999998</v>
          </cell>
        </row>
        <row r="20">
          <cell r="A20">
            <v>24</v>
          </cell>
          <cell r="B20" t="str">
            <v>EMBORCACAO</v>
          </cell>
          <cell r="C20">
            <v>1.1027</v>
          </cell>
          <cell r="E20">
            <v>112</v>
          </cell>
          <cell r="F20" t="str">
            <v xml:space="preserve">JACUI       </v>
          </cell>
          <cell r="G20">
            <v>0.82820000000000005</v>
          </cell>
        </row>
        <row r="21">
          <cell r="A21">
            <v>25</v>
          </cell>
          <cell r="B21" t="str">
            <v>NOVA PONTE</v>
          </cell>
          <cell r="C21">
            <v>1.0024999999999999</v>
          </cell>
          <cell r="E21">
            <v>113</v>
          </cell>
          <cell r="F21" t="str">
            <v xml:space="preserve">ITAUBA      </v>
          </cell>
          <cell r="G21">
            <v>0.82589999999999997</v>
          </cell>
        </row>
        <row r="22">
          <cell r="A22">
            <v>28</v>
          </cell>
          <cell r="B22" t="str">
            <v>CAPIM BRANCO 2</v>
          </cell>
          <cell r="C22">
            <v>0.40179999999999999</v>
          </cell>
          <cell r="E22">
            <v>114</v>
          </cell>
          <cell r="F22" t="str">
            <v>D.FRANCISCA</v>
          </cell>
          <cell r="G22">
            <v>0.34320000000000001</v>
          </cell>
        </row>
        <row r="23">
          <cell r="A23">
            <v>31</v>
          </cell>
          <cell r="B23" t="str">
            <v>ITUMBIARA</v>
          </cell>
          <cell r="C23">
            <v>0.68130000000000002</v>
          </cell>
          <cell r="E23">
            <v>115</v>
          </cell>
          <cell r="F23" t="str">
            <v xml:space="preserve">CAP.CACH.   </v>
          </cell>
          <cell r="G23">
            <v>6.5259</v>
          </cell>
        </row>
        <row r="24">
          <cell r="A24">
            <v>32</v>
          </cell>
          <cell r="B24" t="str">
            <v>CACH DOURADA</v>
          </cell>
          <cell r="C24">
            <v>0.28260000000000002</v>
          </cell>
          <cell r="E24">
            <v>145</v>
          </cell>
          <cell r="F24" t="str">
            <v>RONDON II</v>
          </cell>
          <cell r="G24">
            <v>0</v>
          </cell>
        </row>
        <row r="25">
          <cell r="A25">
            <v>33</v>
          </cell>
          <cell r="B25" t="str">
            <v>SAO SIMAO</v>
          </cell>
          <cell r="C25">
            <v>0.62409999999999999</v>
          </cell>
          <cell r="E25">
            <v>169</v>
          </cell>
          <cell r="F25" t="str">
            <v xml:space="preserve">SOBRADINHO  </v>
          </cell>
          <cell r="G25">
            <v>0.24099999999999999</v>
          </cell>
        </row>
        <row r="26">
          <cell r="A26">
            <v>34</v>
          </cell>
          <cell r="B26" t="str">
            <v>ILHA SOLTEIRA</v>
          </cell>
          <cell r="C26">
            <v>0.3901</v>
          </cell>
          <cell r="E26">
            <v>172</v>
          </cell>
          <cell r="F26" t="str">
            <v>ITAPARICA</v>
          </cell>
          <cell r="G26">
            <v>0.44790000000000002</v>
          </cell>
        </row>
        <row r="27">
          <cell r="A27">
            <v>37</v>
          </cell>
          <cell r="B27" t="str">
            <v>BARRA BONITA</v>
          </cell>
          <cell r="C27">
            <v>0.17230000000000001</v>
          </cell>
          <cell r="E27">
            <v>176</v>
          </cell>
          <cell r="F27" t="str">
            <v>COMPLEXO</v>
          </cell>
          <cell r="G27">
            <v>1.0201</v>
          </cell>
        </row>
        <row r="28">
          <cell r="A28">
            <v>38</v>
          </cell>
          <cell r="B28" t="str">
            <v>BARIRI</v>
          </cell>
          <cell r="C28">
            <v>0.18809999999999999</v>
          </cell>
          <cell r="E28">
            <v>178</v>
          </cell>
          <cell r="F28" t="str">
            <v>XINGÓ</v>
          </cell>
          <cell r="G28">
            <v>1.0846</v>
          </cell>
        </row>
        <row r="29">
          <cell r="A29">
            <v>39</v>
          </cell>
          <cell r="B29" t="str">
            <v>IBITINGA</v>
          </cell>
          <cell r="C29">
            <v>0.18720000000000001</v>
          </cell>
          <cell r="E29">
            <v>188</v>
          </cell>
          <cell r="F29" t="str">
            <v>ITAPEBI</v>
          </cell>
          <cell r="G29">
            <v>0.7177</v>
          </cell>
        </row>
        <row r="30">
          <cell r="A30">
            <v>40</v>
          </cell>
          <cell r="B30" t="str">
            <v>PROMISSAO</v>
          </cell>
          <cell r="C30">
            <v>0.2059</v>
          </cell>
          <cell r="E30">
            <v>190</v>
          </cell>
          <cell r="F30" t="str">
            <v>B. ESPERANCA</v>
          </cell>
          <cell r="G30">
            <v>0.37190000000000001</v>
          </cell>
        </row>
        <row r="31">
          <cell r="A31">
            <v>42</v>
          </cell>
          <cell r="B31" t="str">
            <v>N.AVANHANDAVA</v>
          </cell>
          <cell r="C31">
            <v>0.2601</v>
          </cell>
          <cell r="E31">
            <v>215</v>
          </cell>
          <cell r="F31" t="str">
            <v>BARRA GRANDE</v>
          </cell>
          <cell r="G31">
            <v>1.3895999999999999</v>
          </cell>
        </row>
        <row r="32">
          <cell r="A32">
            <v>43</v>
          </cell>
          <cell r="B32" t="str">
            <v>TRES IRMAOS</v>
          </cell>
          <cell r="C32">
            <v>0.3901</v>
          </cell>
          <cell r="E32">
            <v>216</v>
          </cell>
          <cell r="F32" t="str">
            <v>CAMPOS NOVOS</v>
          </cell>
          <cell r="G32">
            <v>1.6244000000000001</v>
          </cell>
        </row>
        <row r="33">
          <cell r="A33">
            <v>45</v>
          </cell>
          <cell r="B33" t="str">
            <v>JUPIA</v>
          </cell>
          <cell r="C33">
            <v>0.19800000000000001</v>
          </cell>
          <cell r="E33">
            <v>217</v>
          </cell>
          <cell r="F33" t="str">
            <v>MACHADINHO</v>
          </cell>
          <cell r="G33">
            <v>0.91869999999999996</v>
          </cell>
        </row>
        <row r="34">
          <cell r="A34">
            <v>46</v>
          </cell>
          <cell r="B34" t="str">
            <v>P.PRIMAVERA</v>
          </cell>
          <cell r="C34">
            <v>0.1593</v>
          </cell>
          <cell r="E34">
            <v>220</v>
          </cell>
          <cell r="F34" t="str">
            <v>MONJOLINHO</v>
          </cell>
          <cell r="G34">
            <v>0.55969999999999998</v>
          </cell>
        </row>
        <row r="35">
          <cell r="A35">
            <v>47</v>
          </cell>
          <cell r="B35" t="str">
            <v>JURUMIRIM</v>
          </cell>
          <cell r="C35">
            <v>0.29349999999999998</v>
          </cell>
          <cell r="E35">
            <v>222</v>
          </cell>
          <cell r="F35" t="str">
            <v>SALTO CAXIAS</v>
          </cell>
          <cell r="G35">
            <v>0.59299999999999997</v>
          </cell>
        </row>
        <row r="36">
          <cell r="A36">
            <v>48</v>
          </cell>
          <cell r="B36" t="str">
            <v>PIRAJU</v>
          </cell>
          <cell r="C36">
            <v>0.2296</v>
          </cell>
          <cell r="E36">
            <v>254</v>
          </cell>
          <cell r="F36" t="str">
            <v>PEDRA DO CAVALO</v>
          </cell>
          <cell r="G36">
            <v>0.9204</v>
          </cell>
        </row>
        <row r="37">
          <cell r="A37">
            <v>49</v>
          </cell>
          <cell r="B37" t="str">
            <v>CHAVANTES</v>
          </cell>
          <cell r="C37">
            <v>0.62470000000000003</v>
          </cell>
          <cell r="E37">
            <v>255</v>
          </cell>
          <cell r="F37" t="str">
            <v>IRAPÉ</v>
          </cell>
          <cell r="G37">
            <v>1.4905999999999999</v>
          </cell>
        </row>
        <row r="38">
          <cell r="A38">
            <v>50</v>
          </cell>
          <cell r="B38" t="str">
            <v>LUCAS GARCEZ</v>
          </cell>
          <cell r="C38">
            <v>0.1497</v>
          </cell>
          <cell r="E38">
            <v>275</v>
          </cell>
          <cell r="F38" t="str">
            <v xml:space="preserve">TUCURUI     </v>
          </cell>
          <cell r="G38">
            <v>0.54820000000000002</v>
          </cell>
        </row>
        <row r="39">
          <cell r="A39">
            <v>51</v>
          </cell>
          <cell r="B39" t="str">
            <v>CANOAS 2</v>
          </cell>
          <cell r="C39">
            <v>0.12889999999999999</v>
          </cell>
          <cell r="E39">
            <v>277</v>
          </cell>
          <cell r="F39" t="str">
            <v xml:space="preserve">CURUA-UNA   </v>
          </cell>
          <cell r="G39">
            <v>0.157</v>
          </cell>
        </row>
        <row r="40">
          <cell r="A40">
            <v>52</v>
          </cell>
          <cell r="B40" t="str">
            <v>CANOAS 1</v>
          </cell>
          <cell r="C40">
            <v>0.15090000000000001</v>
          </cell>
          <cell r="E40">
            <v>284</v>
          </cell>
          <cell r="F40" t="str">
            <v>14 DE JULHO</v>
          </cell>
          <cell r="G40">
            <v>0.30609999999999998</v>
          </cell>
        </row>
        <row r="41">
          <cell r="A41">
            <v>61</v>
          </cell>
          <cell r="B41" t="str">
            <v>CAPIVARA</v>
          </cell>
          <cell r="C41">
            <v>0.37119999999999997</v>
          </cell>
          <cell r="E41">
            <v>286</v>
          </cell>
          <cell r="F41" t="str">
            <v>QUEBRA-QUEIXO</v>
          </cell>
          <cell r="G41">
            <v>1.0522</v>
          </cell>
        </row>
        <row r="42">
          <cell r="A42">
            <v>62</v>
          </cell>
          <cell r="B42" t="str">
            <v>TAQUARUCU</v>
          </cell>
          <cell r="C42">
            <v>0.22070000000000001</v>
          </cell>
        </row>
        <row r="43">
          <cell r="A43">
            <v>63</v>
          </cell>
          <cell r="B43" t="str">
            <v>ROSANA</v>
          </cell>
          <cell r="C43">
            <v>0.17199999999999999</v>
          </cell>
        </row>
        <row r="44">
          <cell r="A44">
            <v>66</v>
          </cell>
          <cell r="B44" t="str">
            <v>ITAIPU ART.</v>
          </cell>
          <cell r="C44">
            <v>1.0647</v>
          </cell>
        </row>
        <row r="45">
          <cell r="A45">
            <v>99</v>
          </cell>
          <cell r="B45" t="str">
            <v>ESPORA</v>
          </cell>
          <cell r="C45">
            <v>0.39950000000000002</v>
          </cell>
        </row>
        <row r="46">
          <cell r="A46">
            <v>120</v>
          </cell>
          <cell r="B46" t="str">
            <v>JAGUARI</v>
          </cell>
          <cell r="C46">
            <v>0.50460000000000005</v>
          </cell>
        </row>
        <row r="47">
          <cell r="A47">
            <v>121</v>
          </cell>
          <cell r="B47" t="str">
            <v>PARAIBUNA</v>
          </cell>
          <cell r="C47">
            <v>0.70030000000000003</v>
          </cell>
        </row>
        <row r="48">
          <cell r="A48">
            <v>122</v>
          </cell>
          <cell r="B48" t="str">
            <v>SANTA BRANCA</v>
          </cell>
          <cell r="C48">
            <v>0.35239999999999999</v>
          </cell>
        </row>
        <row r="49">
          <cell r="A49">
            <v>123</v>
          </cell>
          <cell r="B49" t="str">
            <v>FUNIL</v>
          </cell>
          <cell r="C49">
            <v>0.53269999999999995</v>
          </cell>
        </row>
        <row r="50">
          <cell r="A50">
            <v>131</v>
          </cell>
          <cell r="B50" t="str">
            <v>NILO PEÇANHA</v>
          </cell>
          <cell r="C50">
            <v>2.633</v>
          </cell>
        </row>
        <row r="51">
          <cell r="A51">
            <v>134</v>
          </cell>
          <cell r="B51" t="str">
            <v>SALTO GRANDE</v>
          </cell>
          <cell r="C51">
            <v>0.78290000000000004</v>
          </cell>
        </row>
        <row r="52">
          <cell r="A52">
            <v>141</v>
          </cell>
          <cell r="B52" t="str">
            <v>BAGUARI</v>
          </cell>
          <cell r="C52">
            <v>0.1623</v>
          </cell>
        </row>
        <row r="53">
          <cell r="A53">
            <v>144</v>
          </cell>
          <cell r="B53" t="str">
            <v>MASCARENHAS</v>
          </cell>
          <cell r="C53">
            <v>0.18890000000000001</v>
          </cell>
        </row>
        <row r="54">
          <cell r="A54">
            <v>148</v>
          </cell>
          <cell r="B54" t="str">
            <v>AIMORÉS</v>
          </cell>
          <cell r="C54">
            <v>0.24709999999999999</v>
          </cell>
        </row>
        <row r="55">
          <cell r="A55">
            <v>149</v>
          </cell>
          <cell r="B55" t="str">
            <v>CANDONGA</v>
          </cell>
          <cell r="C55">
            <v>0.46639999999999998</v>
          </cell>
        </row>
        <row r="56">
          <cell r="A56">
            <v>155</v>
          </cell>
          <cell r="B56" t="str">
            <v>RETIRO BAIXO</v>
          </cell>
          <cell r="C56">
            <v>0.3261</v>
          </cell>
        </row>
        <row r="57">
          <cell r="A57">
            <v>156</v>
          </cell>
          <cell r="B57" t="str">
            <v>TRES MARIAS</v>
          </cell>
          <cell r="C57">
            <v>0.43009999999999998</v>
          </cell>
        </row>
        <row r="58">
          <cell r="A58">
            <v>158</v>
          </cell>
          <cell r="B58" t="str">
            <v>QUEIMADO</v>
          </cell>
          <cell r="C58">
            <v>1.6039000000000001</v>
          </cell>
        </row>
        <row r="59">
          <cell r="A59">
            <v>183</v>
          </cell>
          <cell r="B59" t="str">
            <v>A. DIAS + SÁ CARVALHO</v>
          </cell>
          <cell r="C59">
            <v>0.9375</v>
          </cell>
        </row>
        <row r="60">
          <cell r="A60">
            <v>191</v>
          </cell>
          <cell r="B60" t="str">
            <v>CANA BRAVA</v>
          </cell>
          <cell r="C60">
            <v>0.39900000000000002</v>
          </cell>
        </row>
        <row r="61">
          <cell r="A61">
            <v>196</v>
          </cell>
          <cell r="B61" t="str">
            <v>ROSAL</v>
          </cell>
          <cell r="C61">
            <v>1.6950000000000001</v>
          </cell>
        </row>
        <row r="62">
          <cell r="A62">
            <v>197</v>
          </cell>
          <cell r="B62" t="str">
            <v>PICADA</v>
          </cell>
          <cell r="C62">
            <v>1.1053999999999999</v>
          </cell>
        </row>
        <row r="63">
          <cell r="A63">
            <v>198</v>
          </cell>
          <cell r="B63" t="str">
            <v>SOBRAGI</v>
          </cell>
          <cell r="C63">
            <v>0.62519999999999998</v>
          </cell>
        </row>
        <row r="64">
          <cell r="A64">
            <v>205</v>
          </cell>
          <cell r="B64" t="str">
            <v>CORUMBA IV</v>
          </cell>
          <cell r="C64">
            <v>0.61899999999999999</v>
          </cell>
        </row>
        <row r="65">
          <cell r="A65">
            <v>206</v>
          </cell>
          <cell r="B65" t="str">
            <v>MIRANDA</v>
          </cell>
          <cell r="C65">
            <v>0.61429999999999996</v>
          </cell>
        </row>
        <row r="66">
          <cell r="A66">
            <v>207</v>
          </cell>
          <cell r="B66" t="str">
            <v>CAPIM BRANCO 1</v>
          </cell>
          <cell r="C66">
            <v>0.50360000000000005</v>
          </cell>
        </row>
        <row r="67">
          <cell r="A67">
            <v>209</v>
          </cell>
          <cell r="B67" t="str">
            <v>CORUMBA I</v>
          </cell>
          <cell r="C67">
            <v>0.61060000000000003</v>
          </cell>
        </row>
        <row r="68">
          <cell r="A68">
            <v>211</v>
          </cell>
          <cell r="B68" t="str">
            <v>FUNIL-GRANDE</v>
          </cell>
          <cell r="C68">
            <v>0.34570000000000001</v>
          </cell>
        </row>
        <row r="69">
          <cell r="A69">
            <v>241</v>
          </cell>
          <cell r="B69" t="str">
            <v>SLT VERDINHO</v>
          </cell>
          <cell r="C69">
            <v>0.36570000000000003</v>
          </cell>
        </row>
        <row r="70">
          <cell r="A70">
            <v>247</v>
          </cell>
          <cell r="B70" t="str">
            <v>CACU</v>
          </cell>
          <cell r="C70">
            <v>0.24079999999999999</v>
          </cell>
        </row>
        <row r="71">
          <cell r="A71">
            <v>248</v>
          </cell>
          <cell r="B71" t="str">
            <v>B. COQUEIROS</v>
          </cell>
          <cell r="C71">
            <v>0.32469999999999999</v>
          </cell>
        </row>
        <row r="72">
          <cell r="A72">
            <v>249</v>
          </cell>
          <cell r="B72" t="str">
            <v>OURINHOS</v>
          </cell>
          <cell r="C72">
            <v>9.4399999999999998E-2</v>
          </cell>
        </row>
        <row r="73">
          <cell r="A73">
            <v>251</v>
          </cell>
          <cell r="B73" t="str">
            <v>SERRA FACAO</v>
          </cell>
          <cell r="C73">
            <v>0.64290000000000003</v>
          </cell>
        </row>
        <row r="74">
          <cell r="A74">
            <v>252</v>
          </cell>
          <cell r="B74" t="str">
            <v>ITIQUIRA II</v>
          </cell>
          <cell r="C74">
            <v>1.1593</v>
          </cell>
        </row>
        <row r="75">
          <cell r="A75">
            <v>253</v>
          </cell>
          <cell r="B75" t="str">
            <v>SÃO SALVADOR</v>
          </cell>
          <cell r="C75">
            <v>0.20349999999999999</v>
          </cell>
        </row>
        <row r="76">
          <cell r="A76">
            <v>257</v>
          </cell>
          <cell r="B76" t="str">
            <v>PEIXE ANGICAL</v>
          </cell>
          <cell r="C76">
            <v>0.2457</v>
          </cell>
        </row>
        <row r="77">
          <cell r="A77">
            <v>259</v>
          </cell>
          <cell r="B77" t="str">
            <v>ITIQUIRA I</v>
          </cell>
          <cell r="C77">
            <v>0.76419999999999999</v>
          </cell>
        </row>
        <row r="78">
          <cell r="A78">
            <v>261</v>
          </cell>
          <cell r="B78" t="str">
            <v>FOZ DO RIO CLARO</v>
          </cell>
          <cell r="C78">
            <v>0.248</v>
          </cell>
        </row>
        <row r="79">
          <cell r="A79">
            <v>262</v>
          </cell>
          <cell r="B79" t="str">
            <v>GUILMAN</v>
          </cell>
          <cell r="C79">
            <v>1.0242</v>
          </cell>
        </row>
        <row r="80">
          <cell r="A80">
            <v>263</v>
          </cell>
          <cell r="B80" t="str">
            <v>PORTO ESTRELA</v>
          </cell>
          <cell r="C80">
            <v>0.42420000000000002</v>
          </cell>
        </row>
        <row r="81">
          <cell r="A81">
            <v>270</v>
          </cell>
          <cell r="B81" t="str">
            <v>SERRA DA MESA</v>
          </cell>
          <cell r="C81">
            <v>1.0315000000000001</v>
          </cell>
        </row>
        <row r="82">
          <cell r="A82">
            <v>271</v>
          </cell>
          <cell r="B82" t="str">
            <v>ESTREITO TOC</v>
          </cell>
          <cell r="C82">
            <v>0</v>
          </cell>
        </row>
        <row r="83">
          <cell r="A83">
            <v>273</v>
          </cell>
          <cell r="B83" t="str">
            <v>LAJEADO</v>
          </cell>
          <cell r="C83">
            <v>0.32479999999999998</v>
          </cell>
        </row>
        <row r="84">
          <cell r="A84">
            <v>278</v>
          </cell>
          <cell r="B84" t="str">
            <v>MANSO</v>
          </cell>
          <cell r="C84">
            <v>0.51449999999999996</v>
          </cell>
        </row>
        <row r="85">
          <cell r="A85">
            <v>279</v>
          </cell>
          <cell r="B85" t="str">
            <v>SAMUEL</v>
          </cell>
          <cell r="C85">
            <v>0.27110000000000001</v>
          </cell>
        </row>
        <row r="86">
          <cell r="A86">
            <v>281</v>
          </cell>
          <cell r="B86" t="str">
            <v>P.PEDRA</v>
          </cell>
          <cell r="C86">
            <v>2.2012</v>
          </cell>
        </row>
        <row r="87">
          <cell r="A87">
            <v>283</v>
          </cell>
          <cell r="B87" t="str">
            <v>SANTA CLARA - MG</v>
          </cell>
          <cell r="C87">
            <v>0.45839999999999997</v>
          </cell>
        </row>
        <row r="88">
          <cell r="A88">
            <v>294</v>
          </cell>
          <cell r="B88" t="str">
            <v>SALTO</v>
          </cell>
          <cell r="C88">
            <v>0.4113</v>
          </cell>
        </row>
        <row r="89">
          <cell r="A89">
            <v>295</v>
          </cell>
          <cell r="B89" t="str">
            <v>JAURU</v>
          </cell>
          <cell r="C89">
            <v>0.91820000000000002</v>
          </cell>
        </row>
        <row r="90">
          <cell r="A90">
            <v>296</v>
          </cell>
          <cell r="B90" t="str">
            <v>GUAPORÉ</v>
          </cell>
          <cell r="C90">
            <v>1.4108000000000001</v>
          </cell>
        </row>
        <row r="91">
          <cell r="A91">
            <v>299</v>
          </cell>
          <cell r="B91" t="str">
            <v>ILHA POMBOS</v>
          </cell>
          <cell r="C91">
            <v>0.25879999999999997</v>
          </cell>
        </row>
        <row r="92">
          <cell r="A92">
            <v>303</v>
          </cell>
          <cell r="B92" t="str">
            <v>FONTES</v>
          </cell>
          <cell r="C92">
            <v>2.5295000000000001</v>
          </cell>
        </row>
        <row r="93">
          <cell r="A93">
            <v>306</v>
          </cell>
          <cell r="B93" t="str">
            <v>PEREIRA PASSOS</v>
          </cell>
          <cell r="C93">
            <v>0.314</v>
          </cell>
        </row>
        <row r="94">
          <cell r="A94">
            <v>318</v>
          </cell>
          <cell r="B94" t="str">
            <v>H.BORDEN</v>
          </cell>
          <cell r="C94">
            <v>5.6536999999999997</v>
          </cell>
        </row>
      </sheetData>
      <sheetData sheetId="50"/>
      <sheetData sheetId="51"/>
      <sheetData sheetId="52"/>
      <sheetData sheetId="53"/>
      <sheetData sheetId="54"/>
      <sheetData sheetId="55"/>
      <sheetData sheetId="56"/>
      <sheetData sheetId="57"/>
      <sheetData sheetId="5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CM726"/>
  <sheetViews>
    <sheetView showGridLines="0" tabSelected="1" topLeftCell="A154" zoomScale="70" zoomScaleNormal="70" workbookViewId="0">
      <selection activeCell="B197" sqref="B197:B199"/>
    </sheetView>
  </sheetViews>
  <sheetFormatPr defaultColWidth="9.109375" defaultRowHeight="14.4" x14ac:dyDescent="0.3"/>
  <cols>
    <col min="1" max="1" width="3.5546875" style="43" customWidth="1"/>
    <col min="2" max="2" width="53.44140625" style="42" bestFit="1" customWidth="1"/>
    <col min="3" max="4" width="6.88671875" style="42" bestFit="1" customWidth="1"/>
    <col min="5" max="5" width="7.109375" style="42" customWidth="1"/>
    <col min="6" max="6" width="6.6640625" style="42" bestFit="1" customWidth="1"/>
    <col min="7" max="8" width="6.88671875" style="42" bestFit="1" customWidth="1"/>
    <col min="9" max="9" width="3.109375" style="42" customWidth="1"/>
    <col min="10" max="10" width="56.5546875" style="43" customWidth="1"/>
    <col min="11" max="11" width="4.5546875" style="43" bestFit="1" customWidth="1"/>
    <col min="12" max="12" width="20.109375" style="43" customWidth="1"/>
    <col min="13" max="17" width="8.5546875" style="43" customWidth="1"/>
    <col min="18" max="19" width="11.109375" style="43" bestFit="1" customWidth="1"/>
    <col min="20" max="20" width="10" style="43" bestFit="1" customWidth="1"/>
    <col min="21" max="21" width="10.33203125" style="43" bestFit="1" customWidth="1"/>
    <col min="22" max="22" width="9.109375" style="43" bestFit="1" customWidth="1"/>
    <col min="23" max="23" width="7.44140625" style="43" bestFit="1" customWidth="1"/>
    <col min="24" max="24" width="8.6640625" style="42" bestFit="1" customWidth="1"/>
    <col min="25" max="26" width="7.44140625" style="42" bestFit="1" customWidth="1"/>
    <col min="27" max="27" width="5.88671875" style="42" bestFit="1" customWidth="1"/>
    <col min="28" max="28" width="9.5546875" style="42" bestFit="1" customWidth="1"/>
    <col min="29" max="29" width="10.5546875" style="42" customWidth="1"/>
    <col min="30" max="33" width="9.5546875" style="43" bestFit="1" customWidth="1"/>
    <col min="34" max="34" width="10" style="43" customWidth="1"/>
    <col min="35" max="35" width="12.109375" style="43" bestFit="1" customWidth="1"/>
    <col min="36" max="37" width="10" style="43" customWidth="1"/>
    <col min="38" max="38" width="9.88671875" style="43" bestFit="1" customWidth="1"/>
    <col min="39" max="39" width="20.5546875" style="43" customWidth="1"/>
    <col min="40" max="40" width="11" style="43" customWidth="1"/>
    <col min="41" max="41" width="7.88671875" style="43" bestFit="1" customWidth="1"/>
    <col min="42" max="42" width="7.44140625" style="42" bestFit="1" customWidth="1"/>
    <col min="43" max="43" width="23.88671875" style="42" customWidth="1"/>
    <col min="44" max="44" width="11.44140625" style="43" customWidth="1"/>
    <col min="45" max="45" width="13.109375" style="43" bestFit="1" customWidth="1"/>
    <col min="46" max="46" width="15" style="42" bestFit="1" customWidth="1"/>
    <col min="47" max="47" width="7" style="42" bestFit="1" customWidth="1"/>
    <col min="48" max="48" width="11.44140625" style="42" customWidth="1"/>
    <col min="49" max="49" width="10.5546875" style="42" customWidth="1"/>
    <col min="50" max="52" width="7.88671875" style="42" bestFit="1" customWidth="1"/>
    <col min="53" max="53" width="7" style="42" bestFit="1" customWidth="1"/>
    <col min="54" max="54" width="10.6640625" style="42" bestFit="1" customWidth="1"/>
    <col min="55" max="55" width="12.44140625" style="42" bestFit="1" customWidth="1"/>
    <col min="56" max="56" width="12.44140625" style="42" customWidth="1"/>
    <col min="57" max="57" width="12.6640625" style="42" bestFit="1" customWidth="1"/>
    <col min="58" max="63" width="11.5546875" style="42" bestFit="1" customWidth="1"/>
    <col min="64" max="64" width="3.88671875" style="43" customWidth="1"/>
    <col min="65" max="68" width="9.109375" style="42" bestFit="1" customWidth="1"/>
    <col min="69" max="69" width="11" style="42" customWidth="1"/>
    <col min="70" max="72" width="9.109375" style="42" bestFit="1" customWidth="1"/>
    <col min="73" max="73" width="9.109375" style="43" customWidth="1"/>
    <col min="74" max="74" width="4.109375" style="43" bestFit="1" customWidth="1"/>
    <col min="75" max="75" width="19.109375" style="46" bestFit="1" customWidth="1"/>
    <col min="76" max="76" width="23.109375" style="43" bestFit="1" customWidth="1"/>
    <col min="77" max="78" width="9.109375" style="43" customWidth="1"/>
    <col min="79" max="16384" width="9.109375" style="43"/>
  </cols>
  <sheetData>
    <row r="1" spans="2:80" x14ac:dyDescent="0.3">
      <c r="B1" s="42" t="s">
        <v>709</v>
      </c>
      <c r="R1" s="44">
        <f>DATE(J10,IF(J11="Janeiro",1,IF(J11="Fevereiro",2,IF(J11="Março",3,IF(J11="Abril",4,IF(J11="Maio",5,IF(J11="Junho",6,IF(J11="Julho",7,IF(J11="Agosto",8,IF(J11="Setembro",9,IF(J11="Outubro",10,IF(J11="Novembro",11,IF(J11="Dezembro",12,)))))))))))),1)</f>
        <v>45658</v>
      </c>
      <c r="S1" s="44">
        <f>DATE(YEAR(R1),MONTH(R1)+1,DAY(R1))</f>
        <v>45689</v>
      </c>
      <c r="T1" s="45">
        <f>7-(R1-R2)</f>
        <v>3</v>
      </c>
      <c r="U1" s="45">
        <f>S1-S2</f>
        <v>0</v>
      </c>
      <c r="AJ1" s="212" t="s">
        <v>684</v>
      </c>
      <c r="AK1" s="212"/>
      <c r="AL1" s="212"/>
      <c r="AM1" s="212"/>
      <c r="AN1" s="212"/>
      <c r="AO1" s="212"/>
      <c r="AR1" s="212" t="s">
        <v>658</v>
      </c>
      <c r="AS1" s="212"/>
      <c r="AT1" s="212"/>
      <c r="AU1" s="212"/>
      <c r="AV1" s="212"/>
      <c r="AW1" s="212"/>
      <c r="AZ1" s="125"/>
      <c r="BF1" s="125"/>
    </row>
    <row r="2" spans="2:80" ht="15.6" x14ac:dyDescent="0.3">
      <c r="B2" s="141" t="s">
        <v>65</v>
      </c>
      <c r="C2" s="47" t="s">
        <v>313</v>
      </c>
      <c r="D2" s="47" t="s">
        <v>308</v>
      </c>
      <c r="E2" s="47" t="s">
        <v>314</v>
      </c>
      <c r="F2" s="47" t="s">
        <v>315</v>
      </c>
      <c r="G2" s="47" t="s">
        <v>316</v>
      </c>
      <c r="H2" s="47" t="s">
        <v>317</v>
      </c>
      <c r="L2" s="48" t="s">
        <v>290</v>
      </c>
      <c r="R2" s="44">
        <f>IF(WEEKDAY(R1)=7,R1,R1-WEEKDAY(R1))</f>
        <v>45654</v>
      </c>
      <c r="S2" s="44">
        <f>IF(WEEKDAY(S1)=7,S1,S1-WEEKDAY(S1))</f>
        <v>45689</v>
      </c>
      <c r="T2" s="45">
        <f>DAY(EOMONTH(R1,0))</f>
        <v>31</v>
      </c>
      <c r="U2" s="45">
        <f>(S2-R2-7)/7</f>
        <v>4</v>
      </c>
      <c r="Z2" s="125"/>
      <c r="AB2" s="78">
        <v>24026.708837894741</v>
      </c>
      <c r="AJ2" s="52" t="s">
        <v>313</v>
      </c>
      <c r="AK2" s="52" t="s">
        <v>308</v>
      </c>
      <c r="AL2" s="52" t="s">
        <v>314</v>
      </c>
      <c r="AM2" s="52" t="s">
        <v>315</v>
      </c>
      <c r="AN2" s="52" t="s">
        <v>316</v>
      </c>
      <c r="AO2" s="52" t="s">
        <v>317</v>
      </c>
      <c r="AR2" s="52" t="s">
        <v>313</v>
      </c>
      <c r="AS2" s="52" t="s">
        <v>308</v>
      </c>
      <c r="AT2" s="52" t="s">
        <v>314</v>
      </c>
      <c r="AU2" s="52" t="s">
        <v>315</v>
      </c>
      <c r="AV2" s="52" t="s">
        <v>316</v>
      </c>
      <c r="AW2" s="52" t="s">
        <v>317</v>
      </c>
      <c r="AZ2" s="181"/>
      <c r="BA2" s="181"/>
      <c r="BB2" s="181"/>
      <c r="BC2" s="181"/>
      <c r="BD2" s="181"/>
      <c r="BE2" s="181"/>
      <c r="BF2" s="176"/>
      <c r="BG2" s="176"/>
      <c r="BH2" s="176"/>
      <c r="BI2" s="176"/>
      <c r="BJ2" s="176"/>
      <c r="BK2" s="176"/>
      <c r="BM2" s="125" t="s">
        <v>708</v>
      </c>
      <c r="BN2" s="125" t="s">
        <v>708</v>
      </c>
      <c r="BO2" s="125" t="s">
        <v>708</v>
      </c>
      <c r="BP2" s="125" t="s">
        <v>708</v>
      </c>
      <c r="BQ2" s="125" t="s">
        <v>708</v>
      </c>
      <c r="BR2" s="125" t="s">
        <v>708</v>
      </c>
      <c r="BS2" s="125" t="s">
        <v>708</v>
      </c>
      <c r="BT2" s="125" t="s">
        <v>708</v>
      </c>
      <c r="BU2" s="125" t="s">
        <v>708</v>
      </c>
    </row>
    <row r="3" spans="2:80" ht="15.75" customHeight="1" x14ac:dyDescent="0.3">
      <c r="B3" s="49">
        <v>1</v>
      </c>
      <c r="C3" s="50">
        <v>0.36360694506687463</v>
      </c>
      <c r="D3" s="50">
        <v>0.36360694506687463</v>
      </c>
      <c r="E3" s="50">
        <v>0.36360694506687463</v>
      </c>
      <c r="F3" s="50">
        <v>0.36360694506687463</v>
      </c>
      <c r="G3" s="50">
        <v>0.36360694506687463</v>
      </c>
      <c r="H3" s="50">
        <v>0.36360694506687463</v>
      </c>
      <c r="L3" s="51" t="s">
        <v>14</v>
      </c>
      <c r="M3" s="52" t="s">
        <v>313</v>
      </c>
      <c r="N3" s="52" t="s">
        <v>308</v>
      </c>
      <c r="O3" s="52" t="s">
        <v>314</v>
      </c>
      <c r="P3" s="52" t="s">
        <v>315</v>
      </c>
      <c r="Q3" s="52" t="s">
        <v>316</v>
      </c>
      <c r="R3" s="52" t="s">
        <v>317</v>
      </c>
      <c r="S3" s="53" t="s">
        <v>162</v>
      </c>
      <c r="T3" s="52" t="s">
        <v>163</v>
      </c>
      <c r="U3" s="54" t="s">
        <v>237</v>
      </c>
      <c r="V3" s="216" t="str">
        <f>Enas!C3</f>
        <v>Média</v>
      </c>
      <c r="X3" s="55" t="s">
        <v>162</v>
      </c>
      <c r="Y3" s="112">
        <v>0.6569005346156831</v>
      </c>
      <c r="Z3" s="210">
        <v>0.65738528158682941</v>
      </c>
      <c r="AA3" s="184">
        <f>Y3-Z3</f>
        <v>-4.8474697114631038E-4</v>
      </c>
      <c r="AB3" s="137">
        <v>5872.5560000000005</v>
      </c>
      <c r="AC3" s="43">
        <v>1500</v>
      </c>
      <c r="AD3" s="43">
        <v>500</v>
      </c>
      <c r="AE3" s="74">
        <v>0.72223878910045558</v>
      </c>
      <c r="AI3" s="51" t="s">
        <v>14</v>
      </c>
      <c r="AJ3" s="215" t="s">
        <v>368</v>
      </c>
      <c r="AK3" s="215"/>
      <c r="AL3" s="215"/>
      <c r="AM3" s="215"/>
      <c r="AN3" s="215"/>
      <c r="AO3" s="215"/>
      <c r="AQ3" s="125"/>
      <c r="AR3" s="213" t="s">
        <v>368</v>
      </c>
      <c r="AS3" s="213"/>
      <c r="AT3" s="213"/>
      <c r="AU3" s="213"/>
      <c r="AV3" s="213"/>
      <c r="AW3" s="213"/>
      <c r="AZ3" s="181"/>
      <c r="BA3" s="181"/>
      <c r="BB3" s="181"/>
      <c r="BC3" s="181"/>
      <c r="BD3" s="181"/>
      <c r="BE3" s="181"/>
      <c r="BF3" s="176"/>
      <c r="BG3" s="176"/>
      <c r="BH3" s="176"/>
      <c r="BI3" s="176"/>
      <c r="BJ3" s="176"/>
      <c r="BK3" s="176"/>
      <c r="BL3" t="s">
        <v>680</v>
      </c>
    </row>
    <row r="4" spans="2:80" ht="15.75" customHeight="1" x14ac:dyDescent="0.3">
      <c r="B4" s="49">
        <v>2</v>
      </c>
      <c r="C4" s="50">
        <v>0.1857302430482588</v>
      </c>
      <c r="D4" s="50">
        <v>0.1857302430482588</v>
      </c>
      <c r="E4" s="50">
        <v>0.1857302430482588</v>
      </c>
      <c r="F4" s="50">
        <v>0.1857302430482588</v>
      </c>
      <c r="G4" s="50">
        <v>0.1857302430482588</v>
      </c>
      <c r="H4" s="50">
        <v>0.1857302430482588</v>
      </c>
      <c r="L4" s="59" t="s">
        <v>164</v>
      </c>
      <c r="M4" s="60">
        <f t="shared" ref="M4:R7" si="0">SUMIFS(AU$21:AU$372,$BA$21:$BA$372,1,$AS$21:$AS$372,$L4)</f>
        <v>57942.010799999982</v>
      </c>
      <c r="N4" s="60">
        <f t="shared" si="0"/>
        <v>66747.501500000013</v>
      </c>
      <c r="O4" s="60">
        <f t="shared" si="0"/>
        <v>73003.362499999988</v>
      </c>
      <c r="P4" s="60">
        <f>SUMIFS(AX$21:AX$372,$BA$21:$BA$372,1,$AS$21:$AS$372,$L4)</f>
        <v>76547.102900000013</v>
      </c>
      <c r="Q4" s="60">
        <f t="shared" si="0"/>
        <v>78114.392800000016</v>
      </c>
      <c r="R4" s="60">
        <f t="shared" si="0"/>
        <v>78434.195600000006</v>
      </c>
      <c r="S4" s="61">
        <f>($T$1*M4/$T$2)+(7*N4/$T$2)+(7*O4/$T$2)+(7*P4/$T$2)+((IF($U$2=4,7,$U$1))*Q4/$T$2)+((IF($U$2=3,0,$U$1))*R4/$T$2)</f>
        <v>72087.501622580647</v>
      </c>
      <c r="T4" s="160">
        <f>S4/U4</f>
        <v>1.0954713269184315</v>
      </c>
      <c r="U4" s="62">
        <f>INDEX(Enas!$D$4:$O$7,1,MONTH($R$1))</f>
        <v>65805.009999999995</v>
      </c>
      <c r="V4" s="217"/>
      <c r="X4" s="183">
        <v>1.1000000000000001</v>
      </c>
      <c r="Y4" s="112">
        <v>0.71109383202221266</v>
      </c>
      <c r="Z4" s="210">
        <v>0.6878067255692254</v>
      </c>
      <c r="AA4" s="184">
        <f t="shared" ref="AA4:AA6" si="1">Y4-Z4</f>
        <v>2.3287106452987261E-2</v>
      </c>
      <c r="AB4" s="137">
        <v>3262.6626999999999</v>
      </c>
      <c r="AC4" s="43">
        <v>2000</v>
      </c>
      <c r="AD4" s="43">
        <v>2000</v>
      </c>
      <c r="AE4" s="74">
        <v>0.57358621438450308</v>
      </c>
      <c r="AI4" s="59" t="s">
        <v>164</v>
      </c>
      <c r="AJ4" s="60">
        <f t="shared" ref="AJ4" si="2">AJ14-$AC$3</f>
        <v>55657.824500000017</v>
      </c>
      <c r="AK4" s="60">
        <f t="shared" ref="AK4:AO4" si="3">AK14-$AC$3</f>
        <v>53898.31569000001</v>
      </c>
      <c r="AL4" s="60">
        <f t="shared" si="3"/>
        <v>50055.289770000003</v>
      </c>
      <c r="AM4" s="60">
        <f t="shared" si="3"/>
        <v>46122.118039999987</v>
      </c>
      <c r="AN4" s="60">
        <f t="shared" si="3"/>
        <v>42532.287030000007</v>
      </c>
      <c r="AO4" s="60">
        <f t="shared" si="3"/>
        <v>39001.809509999999</v>
      </c>
      <c r="AP4" s="161"/>
      <c r="AQ4" s="125"/>
      <c r="AR4" s="78">
        <v>38182.518960000001</v>
      </c>
      <c r="AS4" s="78">
        <v>33729.758505789468</v>
      </c>
      <c r="AT4" s="58">
        <v>24478.803879473686</v>
      </c>
      <c r="AU4" s="58">
        <v>23355.489711052633</v>
      </c>
      <c r="AV4" s="58">
        <v>22522.430060526316</v>
      </c>
      <c r="AW4" s="58">
        <v>21184.04903894736</v>
      </c>
      <c r="AZ4" s="181"/>
      <c r="BA4" s="181"/>
      <c r="BB4" s="181"/>
      <c r="BC4" s="181"/>
      <c r="BD4" s="181"/>
      <c r="BE4" s="181"/>
      <c r="BF4" s="176"/>
      <c r="BG4" s="176"/>
      <c r="BH4" s="176"/>
      <c r="BI4" s="176"/>
      <c r="BJ4" s="176"/>
      <c r="BK4" s="176"/>
      <c r="BL4" t="s">
        <v>680</v>
      </c>
    </row>
    <row r="5" spans="2:80" ht="15.6" x14ac:dyDescent="0.3">
      <c r="B5" s="49">
        <v>3</v>
      </c>
      <c r="C5" s="50">
        <v>0.11264129751281726</v>
      </c>
      <c r="D5" s="50">
        <v>0.11264129751281726</v>
      </c>
      <c r="E5" s="50">
        <v>0.11264129751281726</v>
      </c>
      <c r="F5" s="50">
        <v>0.11264129751281726</v>
      </c>
      <c r="G5" s="50">
        <v>0.11264129751281726</v>
      </c>
      <c r="H5" s="50">
        <v>0.11264129751281726</v>
      </c>
      <c r="L5" s="59" t="s">
        <v>165</v>
      </c>
      <c r="M5" s="60">
        <f t="shared" si="0"/>
        <v>8194.6844000000019</v>
      </c>
      <c r="N5" s="60">
        <f t="shared" si="0"/>
        <v>8658.0137999999988</v>
      </c>
      <c r="O5" s="60">
        <f t="shared" si="0"/>
        <v>9267.6241000000009</v>
      </c>
      <c r="P5" s="60">
        <f t="shared" si="0"/>
        <v>9320.5845000000008</v>
      </c>
      <c r="Q5" s="60">
        <f t="shared" si="0"/>
        <v>8971.572299999998</v>
      </c>
      <c r="R5" s="60">
        <f t="shared" si="0"/>
        <v>8128.2475999999979</v>
      </c>
      <c r="S5" s="61">
        <f>($T$1*M5/$T$2)+(7*N5/$T$2)+(7*O5/$T$2)+(7*P5/$T$2)+((IF($U$2=4,7,$U$1))*Q5/$T$2)+((IF($U$2=3,0,$U$1))*R5/$T$2)</f>
        <v>8971.245680645161</v>
      </c>
      <c r="T5" s="160">
        <f t="shared" ref="T5:T8" si="4">S5/U5</f>
        <v>1.2003593460682866</v>
      </c>
      <c r="U5" s="62">
        <f>INDEX(Enas!$D$4:$O$7,2,MONTH($R$1))</f>
        <v>7473.8</v>
      </c>
      <c r="V5" s="217"/>
      <c r="X5" s="63">
        <v>1.2</v>
      </c>
      <c r="Y5" s="112">
        <v>0.71389877124928114</v>
      </c>
      <c r="Z5" s="112">
        <v>0.73159246038652359</v>
      </c>
      <c r="AA5" s="184">
        <f t="shared" si="1"/>
        <v>-1.7693689137242452E-2</v>
      </c>
      <c r="AB5" s="137">
        <v>9457.1671999999999</v>
      </c>
      <c r="AC5" s="43">
        <v>500</v>
      </c>
      <c r="AD5" s="43">
        <v>300</v>
      </c>
      <c r="AE5" s="74">
        <v>0.92034475465422927</v>
      </c>
      <c r="AI5" s="59" t="s">
        <v>165</v>
      </c>
      <c r="AJ5" s="60">
        <f>AJ15-$AD$3</f>
        <v>755.49220000000014</v>
      </c>
      <c r="AK5" s="60">
        <f t="shared" ref="AK5:AO5" si="5">AK15-$AD$3</f>
        <v>1112.8966000000005</v>
      </c>
      <c r="AL5" s="60">
        <f t="shared" si="5"/>
        <v>1292.5097999999998</v>
      </c>
      <c r="AM5" s="60">
        <f t="shared" si="5"/>
        <v>1570.8539000000005</v>
      </c>
      <c r="AN5" s="60">
        <f t="shared" si="5"/>
        <v>1818.1168000000002</v>
      </c>
      <c r="AO5" s="60">
        <f t="shared" si="5"/>
        <v>2025.1092000000003</v>
      </c>
      <c r="AP5" s="161"/>
      <c r="AR5" s="182">
        <v>32703.871999999999</v>
      </c>
      <c r="AS5" s="182">
        <v>18622.901000000002</v>
      </c>
      <c r="AT5" s="58">
        <v>5905.7518999999993</v>
      </c>
      <c r="AU5" s="58">
        <v>7546.225300000001</v>
      </c>
      <c r="AV5" s="58">
        <v>7223.2313999999997</v>
      </c>
      <c r="AW5" s="58">
        <v>6935.9284000000016</v>
      </c>
      <c r="AZ5" s="181"/>
      <c r="BA5" s="181"/>
      <c r="BB5" s="181"/>
      <c r="BC5" s="181"/>
      <c r="BD5" s="182"/>
      <c r="BE5" s="182"/>
      <c r="BF5" s="176"/>
      <c r="BG5" s="176"/>
      <c r="BH5" s="176"/>
      <c r="BI5" s="176"/>
      <c r="BJ5" s="176"/>
      <c r="BK5" s="176"/>
      <c r="BL5" t="s">
        <v>681</v>
      </c>
    </row>
    <row r="6" spans="2:80" ht="15.6" x14ac:dyDescent="0.3">
      <c r="B6" s="49">
        <v>4</v>
      </c>
      <c r="C6" s="211">
        <v>-7.3939371746625016E-2</v>
      </c>
      <c r="D6" s="211">
        <v>-7.3939371746625016E-2</v>
      </c>
      <c r="E6" s="211">
        <v>-7.3939371746625016E-2</v>
      </c>
      <c r="F6" s="211">
        <v>-7.3939371746625016E-2</v>
      </c>
      <c r="G6" s="211">
        <v>-7.3939371746625016E-2</v>
      </c>
      <c r="H6" s="211">
        <v>-7.3939371746625016E-2</v>
      </c>
      <c r="L6" s="59" t="s">
        <v>166</v>
      </c>
      <c r="M6" s="60">
        <f t="shared" si="0"/>
        <v>8456.2247000000007</v>
      </c>
      <c r="N6" s="60">
        <f t="shared" si="0"/>
        <v>8567.3284000000003</v>
      </c>
      <c r="O6" s="60">
        <f>SUMIFS(AW$21:AW$372,$BA$21:$BA$372,1,$AS$21:$AS$372,$L6)</f>
        <v>9265.6949000000004</v>
      </c>
      <c r="P6" s="60">
        <f t="shared" si="0"/>
        <v>10265.762000000001</v>
      </c>
      <c r="Q6" s="60">
        <f t="shared" si="0"/>
        <v>10164.9022</v>
      </c>
      <c r="R6" s="60">
        <f t="shared" si="0"/>
        <v>9678.1739999999991</v>
      </c>
      <c r="S6" s="61">
        <f>($T$1*M6/$T$2)+(7*N6/$T$2)+(7*O6/$T$2)+(7*P6/$T$2)+((IF($U$2=4,7,$U$1))*Q6/$T$2)+((IF($U$2=3,0,$U$1))*R6/$T$2)</f>
        <v>9458.5318258064508</v>
      </c>
      <c r="T6" s="160">
        <f t="shared" si="4"/>
        <v>0.70001441882061466</v>
      </c>
      <c r="U6" s="62">
        <f>INDEX(Enas!$D$4:$O$7,3,MONTH($R$1))</f>
        <v>13511.91</v>
      </c>
      <c r="V6" s="217"/>
      <c r="X6" s="63">
        <v>0.7</v>
      </c>
      <c r="Y6" s="112">
        <v>0.84057784446021888</v>
      </c>
      <c r="Z6" s="112">
        <v>0.87261798596354523</v>
      </c>
      <c r="AA6" s="184">
        <f t="shared" si="1"/>
        <v>-3.2040141503326347E-2</v>
      </c>
      <c r="AB6" s="125" t="s">
        <v>682</v>
      </c>
      <c r="AC6">
        <v>500</v>
      </c>
      <c r="AD6" s="43">
        <v>300</v>
      </c>
      <c r="AE6" s="74">
        <v>0.58553188099206799</v>
      </c>
      <c r="AI6" s="59" t="s">
        <v>166</v>
      </c>
      <c r="AJ6" s="60">
        <f t="shared" ref="AJ6:AO6" si="6">AJ16-$AC$3</f>
        <v>13087.618400000001</v>
      </c>
      <c r="AK6" s="60">
        <f t="shared" si="6"/>
        <v>11918.8109</v>
      </c>
      <c r="AL6" s="60">
        <f t="shared" si="6"/>
        <v>10858.113499999999</v>
      </c>
      <c r="AM6" s="60">
        <f t="shared" si="6"/>
        <v>9509.3459000000003</v>
      </c>
      <c r="AN6" s="60">
        <f t="shared" si="6"/>
        <v>8303.5102999999999</v>
      </c>
      <c r="AO6" s="60">
        <f t="shared" si="6"/>
        <v>6913.1861999999983</v>
      </c>
      <c r="AP6" s="161"/>
      <c r="AR6" s="78">
        <v>3429.8302000000003</v>
      </c>
      <c r="AS6" s="78">
        <v>2787.9412999999995</v>
      </c>
      <c r="AT6" s="58">
        <v>1879.8248999999998</v>
      </c>
      <c r="AU6" s="58">
        <v>1829.3085999999998</v>
      </c>
      <c r="AV6" s="58">
        <v>1683.864</v>
      </c>
      <c r="AW6" s="58">
        <v>1657.5176999999999</v>
      </c>
      <c r="AY6" s="42" t="s">
        <v>688</v>
      </c>
      <c r="BA6" s="188"/>
      <c r="BB6" s="188"/>
      <c r="BC6" s="188"/>
      <c r="BD6" s="188"/>
      <c r="BE6" s="188"/>
      <c r="BF6" s="188"/>
      <c r="BG6" s="189"/>
      <c r="BH6" s="190"/>
      <c r="BI6" s="176"/>
      <c r="BJ6" s="176"/>
      <c r="BK6" s="176"/>
      <c r="BL6" t="s">
        <v>682</v>
      </c>
    </row>
    <row r="7" spans="2:80" ht="15.6" x14ac:dyDescent="0.3">
      <c r="C7" s="125" t="s">
        <v>718</v>
      </c>
      <c r="D7" s="65"/>
      <c r="E7" s="65"/>
      <c r="F7" s="65"/>
      <c r="G7" s="65"/>
      <c r="H7" s="65"/>
      <c r="L7" s="59" t="s">
        <v>167</v>
      </c>
      <c r="M7" s="60">
        <f t="shared" si="0"/>
        <v>8538.7721571428574</v>
      </c>
      <c r="N7" s="60">
        <f t="shared" si="0"/>
        <v>10210.277399999999</v>
      </c>
      <c r="O7" s="60">
        <f t="shared" si="0"/>
        <v>11964.039100000002</v>
      </c>
      <c r="P7" s="60">
        <f t="shared" si="0"/>
        <v>13637.705900000001</v>
      </c>
      <c r="Q7" s="60">
        <f t="shared" si="0"/>
        <v>15541.170900000001</v>
      </c>
      <c r="R7" s="60">
        <f t="shared" si="0"/>
        <v>17064.6836</v>
      </c>
      <c r="S7" s="61">
        <f>($T$1*M7/$T$2)+(7*N7/$T$2)+(7*O7/$T$2)+(7*P7/$T$2)+((IF($U$2=4,7,$U$1))*Q7/$T$2)+((IF($U$2=3,0,$U$1))*R7/$T$2)</f>
        <v>12422.215147465438</v>
      </c>
      <c r="T7" s="160">
        <f t="shared" si="4"/>
        <v>0.7964551338130087</v>
      </c>
      <c r="U7" s="62">
        <f>INDEX(Enas!$D$4:$O$7,4,MONTH($R$1))</f>
        <v>15596.88</v>
      </c>
      <c r="V7" s="217"/>
      <c r="X7" s="63">
        <v>0.8</v>
      </c>
      <c r="Y7" s="64"/>
      <c r="AA7" s="184"/>
      <c r="AB7" s="43"/>
      <c r="AC7" s="43"/>
      <c r="AI7" s="59" t="s">
        <v>167</v>
      </c>
      <c r="AJ7" s="60">
        <f t="shared" ref="AJ7:AO7" si="7">AJ17-$AC$3</f>
        <v>26780.32694285714</v>
      </c>
      <c r="AK7" s="60">
        <f t="shared" si="7"/>
        <v>26324.914600000004</v>
      </c>
      <c r="AL7" s="60">
        <f t="shared" si="7"/>
        <v>26229.453800000003</v>
      </c>
      <c r="AM7" s="60">
        <f t="shared" si="7"/>
        <v>24520.060300000005</v>
      </c>
      <c r="AN7" s="60">
        <f t="shared" si="7"/>
        <v>22937.982885714286</v>
      </c>
      <c r="AO7" s="60">
        <f t="shared" si="7"/>
        <v>23384.268000000004</v>
      </c>
      <c r="AP7" s="161"/>
      <c r="AR7" s="78">
        <v>12905.661600000003</v>
      </c>
      <c r="AS7" s="78">
        <v>10204.578600000001</v>
      </c>
      <c r="AT7" s="58">
        <v>7883.8096000000005</v>
      </c>
      <c r="AU7" s="58">
        <v>6433.4652000000006</v>
      </c>
      <c r="AV7" s="58">
        <v>5879.6510857142848</v>
      </c>
      <c r="AW7" s="58">
        <v>5283.2884000000004</v>
      </c>
      <c r="AY7" s="42" t="s">
        <v>689</v>
      </c>
      <c r="AZ7" s="188">
        <v>30171</v>
      </c>
      <c r="BA7" s="188">
        <v>35923</v>
      </c>
      <c r="BB7" s="188">
        <v>40951</v>
      </c>
      <c r="BC7" s="188">
        <v>44726</v>
      </c>
      <c r="BD7" s="188">
        <v>49525</v>
      </c>
      <c r="BE7" s="188">
        <v>55689</v>
      </c>
      <c r="BF7" s="189">
        <v>39688</v>
      </c>
      <c r="BG7" s="189">
        <v>0.83</v>
      </c>
      <c r="BH7" s="190"/>
      <c r="BI7" s="176"/>
      <c r="BJ7" s="176"/>
      <c r="BK7" s="176"/>
    </row>
    <row r="8" spans="2:80" ht="15.6" x14ac:dyDescent="0.3">
      <c r="I8" s="65"/>
      <c r="L8" s="66" t="s">
        <v>168</v>
      </c>
      <c r="M8" s="67">
        <f>SUM(M4:M7)</f>
        <v>83131.692057142849</v>
      </c>
      <c r="N8" s="67">
        <f t="shared" ref="N8:S8" si="8">SUM(N4:N7)</f>
        <v>94183.121100000018</v>
      </c>
      <c r="O8" s="67">
        <f t="shared" si="8"/>
        <v>103500.7206</v>
      </c>
      <c r="P8" s="67">
        <f t="shared" si="8"/>
        <v>109771.15530000001</v>
      </c>
      <c r="Q8" s="67">
        <f t="shared" si="8"/>
        <v>112792.03820000001</v>
      </c>
      <c r="R8" s="67">
        <f t="shared" si="8"/>
        <v>113305.30080000001</v>
      </c>
      <c r="S8" s="68">
        <f t="shared" si="8"/>
        <v>102939.4942764977</v>
      </c>
      <c r="T8" s="202">
        <f t="shared" si="4"/>
        <v>1.0053902452689358</v>
      </c>
      <c r="U8" s="67">
        <f>SUM(U4:U7)</f>
        <v>102387.6</v>
      </c>
      <c r="V8" s="217"/>
      <c r="X8" s="125" t="s">
        <v>711</v>
      </c>
      <c r="AA8" s="184"/>
      <c r="AB8" s="43"/>
      <c r="AC8" s="43"/>
      <c r="AI8" s="51" t="s">
        <v>14</v>
      </c>
      <c r="AJ8" s="215" t="s">
        <v>657</v>
      </c>
      <c r="AK8" s="215"/>
      <c r="AL8" s="215"/>
      <c r="AM8" s="215"/>
      <c r="AN8" s="215"/>
      <c r="AO8" s="215"/>
      <c r="AR8" s="213" t="s">
        <v>657</v>
      </c>
      <c r="AS8" s="214"/>
      <c r="AT8" s="214"/>
      <c r="AU8" s="214"/>
      <c r="AV8" s="214"/>
      <c r="AW8" s="214"/>
      <c r="AY8" s="42" t="s">
        <v>686</v>
      </c>
      <c r="AZ8" s="188">
        <v>5818</v>
      </c>
      <c r="BA8" s="188">
        <v>5736</v>
      </c>
      <c r="BB8" s="188">
        <v>5521</v>
      </c>
      <c r="BC8" s="188">
        <v>5873</v>
      </c>
      <c r="BD8" s="188">
        <v>6162</v>
      </c>
      <c r="BE8" s="188">
        <v>6438</v>
      </c>
      <c r="BF8" s="189">
        <v>5789</v>
      </c>
      <c r="BG8" s="189">
        <v>0.75</v>
      </c>
      <c r="BH8" s="190"/>
      <c r="BI8" s="176"/>
      <c r="BJ8" s="176"/>
      <c r="BK8" s="176"/>
    </row>
    <row r="9" spans="2:80" ht="15" customHeight="1" x14ac:dyDescent="0.3">
      <c r="C9" s="184">
        <v>0</v>
      </c>
      <c r="D9" s="184">
        <v>0</v>
      </c>
      <c r="E9" s="184">
        <v>0</v>
      </c>
      <c r="F9" s="184">
        <v>0</v>
      </c>
      <c r="G9" s="184">
        <v>0</v>
      </c>
      <c r="H9" s="184">
        <v>0</v>
      </c>
      <c r="J9" s="71" t="str">
        <f>IF(BB19&lt;&gt;0,"ERRO","Sem Erros")</f>
        <v>Sem Erros</v>
      </c>
      <c r="M9" s="72"/>
      <c r="N9" s="42"/>
      <c r="O9" s="42"/>
      <c r="P9" s="42"/>
      <c r="Q9" s="42"/>
      <c r="R9" s="42"/>
      <c r="S9" s="73" t="str">
        <f>IF((T1+21+IF($U$2=4,7,$U$1)+IF($U$2=3,0,$U$1))&lt;&gt;$T$2,"ERRO","")</f>
        <v/>
      </c>
      <c r="U9" s="74"/>
      <c r="AI9" s="59" t="s">
        <v>164</v>
      </c>
      <c r="AJ9" s="60">
        <f t="shared" ref="AJ9" si="9">AJ14+$AC$3</f>
        <v>58657.824500000017</v>
      </c>
      <c r="AK9" s="60">
        <f t="shared" ref="AK9:AO9" si="10">AK14+$AC$3</f>
        <v>56898.31569000001</v>
      </c>
      <c r="AL9" s="60">
        <f t="shared" si="10"/>
        <v>53055.289770000003</v>
      </c>
      <c r="AM9" s="60">
        <f t="shared" si="10"/>
        <v>49122.118039999987</v>
      </c>
      <c r="AN9" s="60">
        <f t="shared" si="10"/>
        <v>45532.287030000007</v>
      </c>
      <c r="AO9" s="60">
        <f t="shared" si="10"/>
        <v>42001.809509999999</v>
      </c>
      <c r="AQ9" s="125"/>
      <c r="AR9" s="60">
        <v>47172</v>
      </c>
      <c r="AS9" s="60">
        <v>48172</v>
      </c>
      <c r="AT9" s="60">
        <v>49172</v>
      </c>
      <c r="AU9" s="60">
        <v>51172</v>
      </c>
      <c r="AV9" s="60">
        <v>53172</v>
      </c>
      <c r="AW9" s="60">
        <v>55172</v>
      </c>
      <c r="AY9" s="42" t="s">
        <v>681</v>
      </c>
      <c r="AZ9" s="188">
        <v>2318</v>
      </c>
      <c r="BA9" s="188">
        <v>3111</v>
      </c>
      <c r="BB9" s="188">
        <v>4935</v>
      </c>
      <c r="BC9" s="188">
        <v>5595</v>
      </c>
      <c r="BD9" s="188">
        <v>7205</v>
      </c>
      <c r="BE9" s="188">
        <v>8726</v>
      </c>
      <c r="BF9" s="189">
        <v>4459</v>
      </c>
      <c r="BG9" s="189">
        <v>0.45</v>
      </c>
      <c r="BH9" s="190"/>
      <c r="BI9" s="176"/>
      <c r="BJ9" s="176"/>
      <c r="BK9" s="176"/>
    </row>
    <row r="10" spans="2:80" ht="15.75" customHeight="1" thickBot="1" x14ac:dyDescent="0.35">
      <c r="B10" s="141" t="s">
        <v>710</v>
      </c>
      <c r="C10" s="185" t="str">
        <f>C2</f>
        <v>RV0</v>
      </c>
      <c r="D10" s="185" t="str">
        <f t="shared" ref="D10:H10" si="11">D2</f>
        <v>RV1</v>
      </c>
      <c r="E10" s="185" t="str">
        <f t="shared" si="11"/>
        <v>RV2</v>
      </c>
      <c r="F10" s="185" t="str">
        <f t="shared" si="11"/>
        <v>RV3</v>
      </c>
      <c r="G10" s="185" t="str">
        <f t="shared" si="11"/>
        <v>RV4</v>
      </c>
      <c r="H10" s="185" t="str">
        <f t="shared" si="11"/>
        <v>RV5</v>
      </c>
      <c r="J10" s="203">
        <v>2025</v>
      </c>
      <c r="L10" s="48" t="s">
        <v>289</v>
      </c>
      <c r="O10" s="75"/>
      <c r="P10" s="75"/>
      <c r="S10" s="76"/>
      <c r="T10" s="77"/>
      <c r="U10" s="77"/>
      <c r="X10" s="78"/>
      <c r="AB10" s="196" t="s">
        <v>370</v>
      </c>
      <c r="AI10" s="59" t="s">
        <v>165</v>
      </c>
      <c r="AJ10" s="60">
        <f>AJ15+$AD$3</f>
        <v>1755.4922000000001</v>
      </c>
      <c r="AK10" s="60">
        <f t="shared" ref="AK10:AO10" si="12">AK15+$AD$3</f>
        <v>2112.8966000000005</v>
      </c>
      <c r="AL10" s="60">
        <f t="shared" si="12"/>
        <v>2292.5097999999998</v>
      </c>
      <c r="AM10" s="60">
        <f t="shared" si="12"/>
        <v>2570.8539000000005</v>
      </c>
      <c r="AN10" s="60">
        <f t="shared" si="12"/>
        <v>2818.1168000000002</v>
      </c>
      <c r="AO10" s="60">
        <f t="shared" si="12"/>
        <v>3025.1092000000003</v>
      </c>
      <c r="AR10" s="60">
        <v>5268.3345999999992</v>
      </c>
      <c r="AS10" s="60">
        <v>4805.8810999999996</v>
      </c>
      <c r="AT10" s="60">
        <v>4951.3819999999996</v>
      </c>
      <c r="AU10" s="60">
        <v>5086.299</v>
      </c>
      <c r="AV10" s="60">
        <v>5201.3063000000011</v>
      </c>
      <c r="AW10" s="60">
        <v>5261.9361000000017</v>
      </c>
      <c r="AY10" s="42" t="s">
        <v>687</v>
      </c>
      <c r="AZ10" s="188">
        <v>4203</v>
      </c>
      <c r="BA10" s="188">
        <v>4976</v>
      </c>
      <c r="BB10" s="188">
        <v>5698</v>
      </c>
      <c r="BC10" s="188">
        <v>6669</v>
      </c>
      <c r="BD10" s="182">
        <v>8439</v>
      </c>
      <c r="BE10" s="182">
        <v>9586</v>
      </c>
      <c r="BF10" s="189">
        <v>5819</v>
      </c>
      <c r="BG10" s="190">
        <v>0.7</v>
      </c>
      <c r="BH10" s="176"/>
      <c r="BI10" s="176"/>
      <c r="BJ10" s="176"/>
      <c r="BK10" s="176"/>
      <c r="BW10" s="46">
        <v>57</v>
      </c>
    </row>
    <row r="11" spans="2:80" ht="16.2" thickBot="1" x14ac:dyDescent="0.35">
      <c r="B11" s="70" t="s">
        <v>473</v>
      </c>
      <c r="C11" s="50">
        <v>0</v>
      </c>
      <c r="D11" s="50">
        <v>0</v>
      </c>
      <c r="E11" s="50">
        <v>0</v>
      </c>
      <c r="F11" s="50">
        <v>0</v>
      </c>
      <c r="G11" s="50">
        <v>0</v>
      </c>
      <c r="H11" s="50">
        <v>0</v>
      </c>
      <c r="J11" s="206" t="s">
        <v>302</v>
      </c>
      <c r="K11" s="207"/>
      <c r="L11" s="208">
        <v>0.7</v>
      </c>
      <c r="M11" s="209">
        <v>0.7</v>
      </c>
      <c r="N11" s="52" t="s">
        <v>308</v>
      </c>
      <c r="O11" s="52" t="s">
        <v>314</v>
      </c>
      <c r="P11" s="79" t="s">
        <v>315</v>
      </c>
      <c r="Q11" s="79" t="s">
        <v>316</v>
      </c>
      <c r="R11" s="79" t="s">
        <v>317</v>
      </c>
      <c r="S11" s="80" t="s">
        <v>162</v>
      </c>
      <c r="U11" s="55" t="s">
        <v>313</v>
      </c>
      <c r="V11" s="55" t="s">
        <v>308</v>
      </c>
      <c r="W11" s="55" t="s">
        <v>314</v>
      </c>
      <c r="X11" s="81" t="s">
        <v>315</v>
      </c>
      <c r="Y11" s="55" t="s">
        <v>316</v>
      </c>
      <c r="Z11" s="55" t="s">
        <v>317</v>
      </c>
      <c r="AB11" s="55" t="s">
        <v>364</v>
      </c>
      <c r="AC11" s="55" t="s">
        <v>362</v>
      </c>
      <c r="AD11" s="55" t="s">
        <v>363</v>
      </c>
      <c r="AE11" s="55" t="s">
        <v>365</v>
      </c>
      <c r="AF11" s="55" t="s">
        <v>366</v>
      </c>
      <c r="AG11" s="55" t="s">
        <v>367</v>
      </c>
      <c r="AI11" s="59" t="s">
        <v>166</v>
      </c>
      <c r="AJ11" s="60">
        <f t="shared" ref="AJ11:AO11" si="13">AJ16+$AC$3</f>
        <v>16087.618400000001</v>
      </c>
      <c r="AK11" s="60">
        <f t="shared" si="13"/>
        <v>14918.8109</v>
      </c>
      <c r="AL11" s="60">
        <f t="shared" si="13"/>
        <v>13858.113499999999</v>
      </c>
      <c r="AM11" s="60">
        <f t="shared" si="13"/>
        <v>12509.3459</v>
      </c>
      <c r="AN11" s="60">
        <f t="shared" si="13"/>
        <v>11303.5103</v>
      </c>
      <c r="AO11" s="60">
        <f t="shared" si="13"/>
        <v>9913.1861999999983</v>
      </c>
      <c r="AR11" s="60">
        <v>8351.517600000001</v>
      </c>
      <c r="AS11" s="60">
        <v>8350.6251000000011</v>
      </c>
      <c r="AT11" s="60">
        <v>8352.8528000000006</v>
      </c>
      <c r="AU11" s="60">
        <v>8350.59</v>
      </c>
      <c r="AV11" s="60">
        <v>8352.288700000001</v>
      </c>
      <c r="AW11" s="60">
        <v>8351.6075999999994</v>
      </c>
      <c r="AZ11" s="181"/>
      <c r="BA11" s="181"/>
      <c r="BB11" s="181"/>
      <c r="BC11" s="181"/>
      <c r="BD11" s="181"/>
      <c r="BE11" s="181"/>
      <c r="BF11" s="176"/>
      <c r="BG11" s="176"/>
      <c r="BH11" s="176"/>
      <c r="BI11" s="176"/>
      <c r="BJ11" s="176"/>
      <c r="BK11" s="176"/>
      <c r="BQ11" s="153" t="s">
        <v>374</v>
      </c>
      <c r="BR11" s="154" t="s">
        <v>372</v>
      </c>
      <c r="BW11" s="46">
        <f>57-3.8</f>
        <v>53.2</v>
      </c>
      <c r="CA11" s="43">
        <v>15</v>
      </c>
      <c r="CB11" s="43">
        <v>3800</v>
      </c>
    </row>
    <row r="12" spans="2:80" ht="15.6" x14ac:dyDescent="0.3">
      <c r="B12" s="70" t="s">
        <v>677</v>
      </c>
      <c r="C12" s="50">
        <v>0</v>
      </c>
      <c r="D12" s="50">
        <v>0</v>
      </c>
      <c r="E12" s="50">
        <v>0</v>
      </c>
      <c r="F12" s="50">
        <v>0</v>
      </c>
      <c r="G12" s="50">
        <v>0</v>
      </c>
      <c r="H12" s="50">
        <v>0</v>
      </c>
      <c r="J12" s="82" t="s">
        <v>313</v>
      </c>
      <c r="L12" s="59" t="s">
        <v>164</v>
      </c>
      <c r="M12" s="160">
        <f>M4/$U4</f>
        <v>0.88051062981374806</v>
      </c>
      <c r="N12" s="160">
        <f t="shared" ref="M12:S16" si="14">N4/$U4</f>
        <v>1.0143224885156923</v>
      </c>
      <c r="O12" s="160">
        <f t="shared" si="14"/>
        <v>1.1093891255392256</v>
      </c>
      <c r="P12" s="160">
        <f t="shared" si="14"/>
        <v>1.1632412623294186</v>
      </c>
      <c r="Q12" s="160">
        <f t="shared" si="14"/>
        <v>1.187058444334254</v>
      </c>
      <c r="R12" s="160">
        <f t="shared" si="14"/>
        <v>1.1919182992298005</v>
      </c>
      <c r="S12" s="162">
        <f t="shared" si="14"/>
        <v>1.0954713269184315</v>
      </c>
      <c r="U12" s="139">
        <v>0.85</v>
      </c>
      <c r="V12" s="139">
        <v>0.85</v>
      </c>
      <c r="W12" s="139">
        <v>0.85</v>
      </c>
      <c r="X12" s="139">
        <v>0.85</v>
      </c>
      <c r="Y12" s="139">
        <v>0.85</v>
      </c>
      <c r="Z12" s="139">
        <v>1</v>
      </c>
      <c r="AB12" s="194">
        <f>IF($AB$10="VE",AJ14,IF($AB$10="LS",AJ9,AJ4))</f>
        <v>57157.824500000017</v>
      </c>
      <c r="AC12" s="194">
        <f t="shared" ref="AC12:AG15" si="15">IF($AB$10="VE",AK14,IF($AB$10="LS",AK9,AK4))</f>
        <v>55398.31569000001</v>
      </c>
      <c r="AD12" s="194">
        <f t="shared" si="15"/>
        <v>51555.289770000003</v>
      </c>
      <c r="AE12" s="194">
        <f t="shared" si="15"/>
        <v>47622.118039999987</v>
      </c>
      <c r="AF12" s="194">
        <f t="shared" si="15"/>
        <v>44032.287030000007</v>
      </c>
      <c r="AG12" s="194">
        <f t="shared" si="15"/>
        <v>40501.809509999999</v>
      </c>
      <c r="AI12" s="59" t="s">
        <v>167</v>
      </c>
      <c r="AJ12" s="60">
        <f t="shared" ref="AJ12:AO12" si="16">AJ17+$AC$3</f>
        <v>29780.32694285714</v>
      </c>
      <c r="AK12" s="60">
        <f t="shared" si="16"/>
        <v>29324.914600000004</v>
      </c>
      <c r="AL12" s="60">
        <f t="shared" si="16"/>
        <v>29229.453800000003</v>
      </c>
      <c r="AM12" s="60">
        <f t="shared" si="16"/>
        <v>27520.060300000005</v>
      </c>
      <c r="AN12" s="60">
        <f t="shared" si="16"/>
        <v>25937.982885714286</v>
      </c>
      <c r="AO12" s="60">
        <f t="shared" si="16"/>
        <v>26384.268000000004</v>
      </c>
      <c r="AQ12" s="125"/>
      <c r="AR12" s="60">
        <v>7994.2951571428584</v>
      </c>
      <c r="AS12" s="60">
        <v>7860.9148000000014</v>
      </c>
      <c r="AT12" s="60">
        <v>7777.4951000000001</v>
      </c>
      <c r="AU12" s="60">
        <v>7714.7434000000021</v>
      </c>
      <c r="AV12" s="60">
        <v>7659.800000000002</v>
      </c>
      <c r="AW12" s="60">
        <v>7394.0043999999998</v>
      </c>
      <c r="AX12" s="125"/>
      <c r="AZ12" s="181"/>
      <c r="BA12" s="181"/>
      <c r="BB12" s="181"/>
      <c r="BC12" s="181"/>
      <c r="BD12" s="181"/>
      <c r="BE12" s="181"/>
      <c r="BF12" s="176"/>
      <c r="BG12" s="176"/>
      <c r="BH12" s="176"/>
      <c r="BI12" s="176"/>
      <c r="BJ12" s="176"/>
      <c r="BK12" s="176"/>
      <c r="BQ12" s="155" t="s">
        <v>164</v>
      </c>
      <c r="BR12" s="156">
        <f>IF($BP$15=1,M4,0)</f>
        <v>0</v>
      </c>
      <c r="BW12" s="46">
        <v>9.5</v>
      </c>
      <c r="BX12" s="43">
        <v>6700</v>
      </c>
      <c r="CA12" s="43">
        <v>1</v>
      </c>
      <c r="CB12">
        <v>2750</v>
      </c>
    </row>
    <row r="13" spans="2:80" ht="15.6" x14ac:dyDescent="0.3">
      <c r="B13" s="70" t="s">
        <v>712</v>
      </c>
      <c r="C13" s="50">
        <v>0</v>
      </c>
      <c r="D13" s="50">
        <v>0</v>
      </c>
      <c r="E13" s="50">
        <v>0</v>
      </c>
      <c r="F13" s="50">
        <v>0</v>
      </c>
      <c r="G13" s="50">
        <v>0</v>
      </c>
      <c r="H13" s="50">
        <v>0</v>
      </c>
      <c r="J13" s="82" t="s">
        <v>690</v>
      </c>
      <c r="L13" s="59" t="s">
        <v>165</v>
      </c>
      <c r="M13" s="160">
        <f t="shared" si="14"/>
        <v>1.0964548690090719</v>
      </c>
      <c r="N13" s="160">
        <f t="shared" si="14"/>
        <v>1.1584486874147017</v>
      </c>
      <c r="O13" s="160">
        <f t="shared" si="14"/>
        <v>1.2400149990633949</v>
      </c>
      <c r="P13" s="160">
        <f t="shared" si="14"/>
        <v>1.2471011399823384</v>
      </c>
      <c r="Q13" s="160">
        <f t="shared" si="14"/>
        <v>1.2004030479809464</v>
      </c>
      <c r="R13" s="160">
        <f t="shared" si="14"/>
        <v>1.0875655757446008</v>
      </c>
      <c r="S13" s="162">
        <f t="shared" si="14"/>
        <v>1.2003593460682866</v>
      </c>
      <c r="U13" s="139">
        <v>0.7</v>
      </c>
      <c r="V13" s="139">
        <v>0.7</v>
      </c>
      <c r="W13" s="139">
        <v>0.7</v>
      </c>
      <c r="X13" s="139">
        <v>0.7</v>
      </c>
      <c r="Y13" s="139">
        <v>0.7</v>
      </c>
      <c r="Z13" s="139">
        <v>0.7</v>
      </c>
      <c r="AB13" s="194">
        <f t="shared" ref="AB13:AB15" si="17">IF($AB$10="VE",AJ15,IF($AB$10="LS",AJ10,AJ5))</f>
        <v>1255.4922000000001</v>
      </c>
      <c r="AC13" s="194">
        <f t="shared" si="15"/>
        <v>1612.8966000000005</v>
      </c>
      <c r="AD13" s="194">
        <f t="shared" si="15"/>
        <v>1792.5097999999998</v>
      </c>
      <c r="AE13" s="194">
        <f t="shared" si="15"/>
        <v>2070.8539000000005</v>
      </c>
      <c r="AF13" s="194">
        <f t="shared" si="15"/>
        <v>2318.1168000000002</v>
      </c>
      <c r="AG13" s="194">
        <f t="shared" si="15"/>
        <v>2525.1092000000003</v>
      </c>
      <c r="AI13" s="51" t="s">
        <v>14</v>
      </c>
      <c r="AJ13" s="215" t="s">
        <v>370</v>
      </c>
      <c r="AK13" s="215"/>
      <c r="AL13" s="215"/>
      <c r="AM13" s="215"/>
      <c r="AN13" s="215"/>
      <c r="AO13" s="215"/>
      <c r="AQ13" s="125"/>
      <c r="AR13" s="213" t="s">
        <v>370</v>
      </c>
      <c r="AS13" s="214"/>
      <c r="AT13" s="214"/>
      <c r="AU13" s="214"/>
      <c r="AV13" s="214"/>
      <c r="AW13" s="214"/>
      <c r="AX13" s="125"/>
      <c r="AZ13" s="181"/>
      <c r="BA13" s="181"/>
      <c r="BB13" s="181"/>
      <c r="BC13" s="181"/>
      <c r="BD13" s="181"/>
      <c r="BE13" s="181"/>
      <c r="BF13" s="176"/>
      <c r="BG13" s="176"/>
      <c r="BH13" s="176"/>
      <c r="BI13" s="176"/>
      <c r="BJ13" s="176"/>
      <c r="BK13" s="176"/>
      <c r="BQ13" s="157" t="s">
        <v>165</v>
      </c>
      <c r="BR13" s="156">
        <f t="shared" ref="BR13:BR15" si="18">IF($BP$15=1,M5,0)</f>
        <v>0</v>
      </c>
      <c r="BW13" s="46">
        <v>47500</v>
      </c>
      <c r="BX13" s="43">
        <f>BX12-3800</f>
        <v>2900</v>
      </c>
      <c r="CB13" s="43">
        <v>47500</v>
      </c>
    </row>
    <row r="14" spans="2:80" ht="16.2" thickBot="1" x14ac:dyDescent="0.35">
      <c r="B14" s="70" t="s">
        <v>475</v>
      </c>
      <c r="C14" s="50">
        <v>0</v>
      </c>
      <c r="D14" s="50">
        <v>0</v>
      </c>
      <c r="E14" s="50">
        <v>0</v>
      </c>
      <c r="F14" s="50">
        <v>0</v>
      </c>
      <c r="G14" s="50">
        <v>0</v>
      </c>
      <c r="H14" s="50">
        <v>0</v>
      </c>
      <c r="J14" s="82" t="s">
        <v>716</v>
      </c>
      <c r="L14" s="59" t="s">
        <v>166</v>
      </c>
      <c r="M14" s="160">
        <f t="shared" si="14"/>
        <v>0.62583488936797249</v>
      </c>
      <c r="N14" s="160">
        <f t="shared" si="14"/>
        <v>0.63405753886756211</v>
      </c>
      <c r="O14" s="160">
        <f t="shared" si="14"/>
        <v>0.68574279283979844</v>
      </c>
      <c r="P14" s="160">
        <f t="shared" si="14"/>
        <v>0.75975654071112086</v>
      </c>
      <c r="Q14" s="160">
        <f t="shared" si="14"/>
        <v>0.75229202977225285</v>
      </c>
      <c r="R14" s="160">
        <f t="shared" si="14"/>
        <v>0.716269868582606</v>
      </c>
      <c r="S14" s="162">
        <f t="shared" si="14"/>
        <v>0.70001441882061466</v>
      </c>
      <c r="U14" s="139">
        <v>0.7</v>
      </c>
      <c r="V14" s="139">
        <v>0.7</v>
      </c>
      <c r="W14" s="139">
        <v>0.7</v>
      </c>
      <c r="X14" s="139">
        <v>0.7</v>
      </c>
      <c r="Y14" s="139">
        <v>0.7</v>
      </c>
      <c r="Z14" s="139">
        <v>0.7</v>
      </c>
      <c r="AB14" s="194">
        <f t="shared" si="17"/>
        <v>14587.618400000001</v>
      </c>
      <c r="AC14" s="194">
        <f t="shared" si="15"/>
        <v>13418.8109</v>
      </c>
      <c r="AD14" s="194">
        <f t="shared" si="15"/>
        <v>12358.113499999999</v>
      </c>
      <c r="AE14" s="194">
        <f t="shared" si="15"/>
        <v>11009.3459</v>
      </c>
      <c r="AF14" s="194">
        <f t="shared" si="15"/>
        <v>9803.5102999999999</v>
      </c>
      <c r="AG14" s="194">
        <f t="shared" si="15"/>
        <v>8413.1861999999983</v>
      </c>
      <c r="AI14" s="59" t="s">
        <v>164</v>
      </c>
      <c r="AJ14" s="60">
        <v>57157.824500000017</v>
      </c>
      <c r="AK14" s="60">
        <v>55398.31569000001</v>
      </c>
      <c r="AL14" s="60">
        <v>51555.289770000003</v>
      </c>
      <c r="AM14" s="60">
        <v>47622.118039999987</v>
      </c>
      <c r="AN14" s="60">
        <v>44032.287030000007</v>
      </c>
      <c r="AO14" s="60">
        <v>40501.809509999999</v>
      </c>
      <c r="AQ14" s="125"/>
      <c r="AR14" s="60">
        <v>59746.343259999987</v>
      </c>
      <c r="AS14" s="60">
        <v>77746.609080000009</v>
      </c>
      <c r="AT14" s="60">
        <v>80209.600420000017</v>
      </c>
      <c r="AU14" s="60">
        <v>78194.911710000029</v>
      </c>
      <c r="AV14" s="60">
        <v>75116.656640000016</v>
      </c>
      <c r="AW14" s="60">
        <v>69342.924140000017</v>
      </c>
      <c r="AX14" s="125"/>
      <c r="AY14" s="78"/>
      <c r="AZ14" s="181"/>
      <c r="BA14" s="181"/>
      <c r="BB14" s="181"/>
      <c r="BC14" s="181"/>
      <c r="BD14" s="181"/>
      <c r="BE14" s="181"/>
      <c r="BF14" s="176"/>
      <c r="BG14" s="176"/>
      <c r="BH14" s="176"/>
      <c r="BI14" s="176"/>
      <c r="BJ14" s="176"/>
      <c r="BK14" s="176"/>
      <c r="BQ14" s="157" t="s">
        <v>166</v>
      </c>
      <c r="BR14" s="156">
        <f t="shared" si="18"/>
        <v>0</v>
      </c>
      <c r="BW14" s="46">
        <f>BW13+BX13</f>
        <v>50400</v>
      </c>
    </row>
    <row r="15" spans="2:80" ht="16.2" thickBot="1" x14ac:dyDescent="0.35">
      <c r="B15" s="70" t="s">
        <v>474</v>
      </c>
      <c r="C15" s="50">
        <v>0</v>
      </c>
      <c r="D15" s="50">
        <v>0</v>
      </c>
      <c r="E15" s="50">
        <v>0</v>
      </c>
      <c r="F15" s="50">
        <v>0</v>
      </c>
      <c r="G15" s="50">
        <v>0</v>
      </c>
      <c r="H15" s="50">
        <v>0</v>
      </c>
      <c r="J15" s="199">
        <f>ROUND(S20,0)</f>
        <v>11081</v>
      </c>
      <c r="L15" s="59" t="s">
        <v>167</v>
      </c>
      <c r="M15" s="160">
        <f t="shared" si="14"/>
        <v>0.54746668289701905</v>
      </c>
      <c r="N15" s="160">
        <f t="shared" si="14"/>
        <v>0.65463588871620471</v>
      </c>
      <c r="O15" s="160">
        <f t="shared" si="14"/>
        <v>0.76707899913316013</v>
      </c>
      <c r="P15" s="160">
        <f t="shared" si="14"/>
        <v>0.87438679402547181</v>
      </c>
      <c r="Q15" s="160">
        <f t="shared" si="14"/>
        <v>0.99642818948405076</v>
      </c>
      <c r="R15" s="160">
        <f t="shared" si="14"/>
        <v>1.0941087961181981</v>
      </c>
      <c r="S15" s="162">
        <f t="shared" si="14"/>
        <v>0.7964551338130087</v>
      </c>
      <c r="U15" s="139">
        <v>0.9</v>
      </c>
      <c r="V15" s="139">
        <v>0.9</v>
      </c>
      <c r="W15" s="139">
        <v>0.9</v>
      </c>
      <c r="X15" s="139">
        <v>0.9</v>
      </c>
      <c r="Y15" s="139">
        <v>0.9</v>
      </c>
      <c r="Z15" s="139">
        <v>0.9</v>
      </c>
      <c r="AB15" s="194">
        <f t="shared" si="17"/>
        <v>28280.32694285714</v>
      </c>
      <c r="AC15" s="194">
        <f t="shared" si="15"/>
        <v>27824.914600000004</v>
      </c>
      <c r="AD15" s="194">
        <f t="shared" si="15"/>
        <v>27729.453800000003</v>
      </c>
      <c r="AE15" s="194">
        <f t="shared" si="15"/>
        <v>26020.060300000005</v>
      </c>
      <c r="AF15" s="194">
        <f t="shared" si="15"/>
        <v>24437.982885714286</v>
      </c>
      <c r="AG15" s="194">
        <f t="shared" si="15"/>
        <v>24884.268000000004</v>
      </c>
      <c r="AI15" s="59" t="s">
        <v>165</v>
      </c>
      <c r="AJ15" s="60">
        <v>1255.4922000000001</v>
      </c>
      <c r="AK15" s="60">
        <v>1612.8966000000005</v>
      </c>
      <c r="AL15" s="60">
        <v>1792.5097999999998</v>
      </c>
      <c r="AM15" s="60">
        <v>2070.8539000000005</v>
      </c>
      <c r="AN15" s="60">
        <v>2318.1168000000002</v>
      </c>
      <c r="AO15" s="60">
        <v>2525.1092000000003</v>
      </c>
      <c r="AQ15" s="78"/>
      <c r="AR15" s="60">
        <v>2923.7430000000004</v>
      </c>
      <c r="AS15" s="60">
        <v>2517.6283000000003</v>
      </c>
      <c r="AT15" s="60">
        <v>3218.9085999999998</v>
      </c>
      <c r="AU15" s="60">
        <v>3834.4534999999992</v>
      </c>
      <c r="AV15" s="60">
        <v>3745.6972999999998</v>
      </c>
      <c r="AW15" s="60">
        <v>3898.7171999999996</v>
      </c>
      <c r="AY15" s="78"/>
      <c r="AZ15" s="181"/>
      <c r="BA15" s="181"/>
      <c r="BB15" s="181"/>
      <c r="BC15" s="181"/>
      <c r="BD15" s="182"/>
      <c r="BE15" s="182"/>
      <c r="BF15" s="176"/>
      <c r="BG15" s="176"/>
      <c r="BH15" s="176"/>
      <c r="BI15" s="176"/>
      <c r="BJ15" s="176"/>
      <c r="BK15" s="176"/>
      <c r="BM15" s="219" t="s">
        <v>373</v>
      </c>
      <c r="BN15" s="220"/>
      <c r="BO15" s="220"/>
      <c r="BP15" s="152">
        <v>0</v>
      </c>
      <c r="BQ15" s="158" t="s">
        <v>167</v>
      </c>
      <c r="BR15" s="159">
        <f t="shared" si="18"/>
        <v>0</v>
      </c>
    </row>
    <row r="16" spans="2:80" s="77" customFormat="1" ht="15.6" x14ac:dyDescent="0.3">
      <c r="B16" s="70" t="s">
        <v>477</v>
      </c>
      <c r="C16" s="50">
        <v>0</v>
      </c>
      <c r="D16" s="50">
        <v>0</v>
      </c>
      <c r="E16" s="50">
        <v>0</v>
      </c>
      <c r="F16" s="50">
        <v>0</v>
      </c>
      <c r="G16" s="50">
        <v>0</v>
      </c>
      <c r="H16" s="50">
        <v>0</v>
      </c>
      <c r="J16" s="199">
        <f t="shared" ref="J16:J26" si="19">ROUND(S21,0)</f>
        <v>11141</v>
      </c>
      <c r="L16" s="83" t="s">
        <v>168</v>
      </c>
      <c r="M16" s="69">
        <f t="shared" si="14"/>
        <v>0.81193125004534572</v>
      </c>
      <c r="N16" s="69">
        <f t="shared" si="14"/>
        <v>0.91986843231016269</v>
      </c>
      <c r="O16" s="69">
        <f t="shared" si="14"/>
        <v>1.0108716348464071</v>
      </c>
      <c r="P16" s="69">
        <f t="shared" si="14"/>
        <v>1.072113764752763</v>
      </c>
      <c r="Q16" s="69">
        <f t="shared" si="14"/>
        <v>1.1016181471193778</v>
      </c>
      <c r="R16" s="69">
        <f t="shared" si="14"/>
        <v>1.1066310842328564</v>
      </c>
      <c r="S16" s="84">
        <f t="shared" si="14"/>
        <v>1.0053902452689358</v>
      </c>
      <c r="T16" s="43"/>
      <c r="U16" s="43"/>
      <c r="V16" s="43"/>
      <c r="W16" s="43"/>
      <c r="Z16" s="42"/>
      <c r="AA16" s="42"/>
      <c r="AB16" s="42"/>
      <c r="AC16" s="42"/>
      <c r="AD16" s="43"/>
      <c r="AI16" s="59" t="s">
        <v>166</v>
      </c>
      <c r="AJ16" s="60">
        <v>14587.618400000001</v>
      </c>
      <c r="AK16" s="60">
        <v>13418.8109</v>
      </c>
      <c r="AL16" s="60">
        <v>12358.113499999999</v>
      </c>
      <c r="AM16" s="60">
        <v>11009.3459</v>
      </c>
      <c r="AN16" s="60">
        <v>9803.5102999999999</v>
      </c>
      <c r="AO16" s="60">
        <v>8413.1861999999983</v>
      </c>
      <c r="AP16" s="42"/>
      <c r="AQ16" s="78"/>
      <c r="AR16" s="60">
        <v>7849.6040000000012</v>
      </c>
      <c r="AS16" s="60">
        <v>11696.4766</v>
      </c>
      <c r="AT16" s="60">
        <v>13925.507000000001</v>
      </c>
      <c r="AU16" s="60">
        <v>13966.660800000001</v>
      </c>
      <c r="AV16" s="60">
        <v>13633.751399999999</v>
      </c>
      <c r="AW16" s="60">
        <v>13462.2327</v>
      </c>
      <c r="AX16" s="42"/>
      <c r="AY16" s="78"/>
      <c r="AZ16" s="78"/>
      <c r="BA16" s="78"/>
      <c r="BB16" s="78"/>
      <c r="BC16" s="78"/>
      <c r="BD16" s="78"/>
      <c r="BE16" s="78"/>
      <c r="BL16" s="43"/>
      <c r="BM16" s="42"/>
      <c r="BN16" s="42"/>
      <c r="BO16" s="42"/>
      <c r="BP16" s="42"/>
      <c r="BQ16" s="42"/>
      <c r="BR16" s="42"/>
      <c r="BS16" s="42"/>
      <c r="BT16" s="42"/>
      <c r="BW16" s="56"/>
    </row>
    <row r="17" spans="1:91" x14ac:dyDescent="0.3">
      <c r="B17" s="70" t="s">
        <v>679</v>
      </c>
      <c r="C17" s="50">
        <v>0</v>
      </c>
      <c r="D17" s="50">
        <v>0</v>
      </c>
      <c r="E17" s="50">
        <v>0</v>
      </c>
      <c r="F17" s="50">
        <v>0</v>
      </c>
      <c r="G17" s="50">
        <v>0</v>
      </c>
      <c r="H17" s="50">
        <v>0</v>
      </c>
      <c r="J17" s="199">
        <f t="shared" si="19"/>
        <v>2828</v>
      </c>
      <c r="AI17" s="59" t="s">
        <v>167</v>
      </c>
      <c r="AJ17" s="60">
        <v>28280.32694285714</v>
      </c>
      <c r="AK17" s="60">
        <v>27824.914600000004</v>
      </c>
      <c r="AL17" s="60">
        <v>27729.453800000003</v>
      </c>
      <c r="AM17" s="60">
        <v>26020.060300000005</v>
      </c>
      <c r="AN17" s="60">
        <v>24437.982885714286</v>
      </c>
      <c r="AO17" s="60">
        <v>24884.268000000004</v>
      </c>
      <c r="AQ17" s="78"/>
      <c r="AR17" s="60">
        <v>13925.8529</v>
      </c>
      <c r="AS17" s="60">
        <v>15567.3963</v>
      </c>
      <c r="AT17" s="60">
        <v>25692.367900000005</v>
      </c>
      <c r="AU17" s="60">
        <v>26667.769499999999</v>
      </c>
      <c r="AV17" s="60">
        <v>27900.139099999997</v>
      </c>
      <c r="AW17" s="60">
        <v>27579.262899999998</v>
      </c>
      <c r="AY17" s="78"/>
      <c r="AZ17" s="78"/>
      <c r="BA17" s="78"/>
      <c r="BB17" s="78"/>
      <c r="BC17" s="78"/>
      <c r="BD17" s="78"/>
      <c r="BE17" s="78"/>
      <c r="BU17" s="85"/>
      <c r="BV17" s="85"/>
      <c r="BW17" s="86"/>
      <c r="CB17" s="87"/>
      <c r="CC17" s="87"/>
      <c r="CF17" s="87"/>
      <c r="CG17" s="87"/>
      <c r="CH17" s="87"/>
      <c r="CI17" s="87"/>
      <c r="CJ17" s="87"/>
      <c r="CK17" s="87"/>
      <c r="CL17" s="87"/>
      <c r="CM17" s="87"/>
    </row>
    <row r="18" spans="1:91" ht="16.2" thickBot="1" x14ac:dyDescent="0.35">
      <c r="B18" s="204" t="s">
        <v>478</v>
      </c>
      <c r="C18" s="50">
        <v>0</v>
      </c>
      <c r="D18" s="50">
        <v>0</v>
      </c>
      <c r="E18" s="50">
        <v>0</v>
      </c>
      <c r="F18" s="50">
        <v>0</v>
      </c>
      <c r="G18" s="50">
        <v>0</v>
      </c>
      <c r="H18" s="50">
        <v>0</v>
      </c>
      <c r="J18" s="199">
        <f t="shared" si="19"/>
        <v>4030</v>
      </c>
      <c r="L18" s="48" t="s">
        <v>293</v>
      </c>
      <c r="AD18" s="218"/>
      <c r="AE18" s="218"/>
      <c r="AF18" s="218"/>
      <c r="AG18" s="218"/>
      <c r="AH18" s="218"/>
      <c r="AI18" s="218"/>
      <c r="AJ18" s="218"/>
      <c r="AK18" s="218"/>
      <c r="AL18" s="218"/>
      <c r="AM18" s="218"/>
      <c r="AN18" s="218"/>
      <c r="BF18" s="88">
        <v>2</v>
      </c>
      <c r="BG18" s="88">
        <v>3</v>
      </c>
      <c r="BH18" s="88">
        <v>4</v>
      </c>
      <c r="BI18" s="88">
        <v>5</v>
      </c>
      <c r="BJ18" s="88">
        <v>6</v>
      </c>
      <c r="BK18" s="88">
        <v>7</v>
      </c>
      <c r="BU18" s="85"/>
      <c r="BV18" s="85"/>
      <c r="BW18" s="86"/>
      <c r="CB18" s="87"/>
      <c r="CC18" s="87"/>
      <c r="CF18" s="89"/>
      <c r="CG18" s="90"/>
      <c r="CH18" s="87"/>
      <c r="CI18" s="87"/>
      <c r="CJ18" s="87"/>
      <c r="CK18" s="87"/>
      <c r="CL18" s="87"/>
      <c r="CM18" s="87"/>
    </row>
    <row r="19" spans="1:91" ht="15.6" x14ac:dyDescent="0.3">
      <c r="B19" s="70" t="s">
        <v>678</v>
      </c>
      <c r="C19" s="50">
        <v>0</v>
      </c>
      <c r="D19" s="50">
        <v>0</v>
      </c>
      <c r="E19" s="50">
        <v>0</v>
      </c>
      <c r="F19" s="50">
        <v>0</v>
      </c>
      <c r="G19" s="50">
        <v>0</v>
      </c>
      <c r="H19" s="50">
        <v>0</v>
      </c>
      <c r="J19" s="199">
        <f>ROUND(S24,0)</f>
        <v>38709</v>
      </c>
      <c r="L19" s="51" t="s">
        <v>14</v>
      </c>
      <c r="M19" s="52" t="s">
        <v>313</v>
      </c>
      <c r="N19" s="52" t="s">
        <v>308</v>
      </c>
      <c r="O19" s="52" t="s">
        <v>314</v>
      </c>
      <c r="P19" s="52" t="s">
        <v>315</v>
      </c>
      <c r="Q19" s="52" t="s">
        <v>316</v>
      </c>
      <c r="R19" s="52" t="s">
        <v>317</v>
      </c>
      <c r="S19" s="53" t="s">
        <v>162</v>
      </c>
      <c r="T19" s="52" t="s">
        <v>163</v>
      </c>
      <c r="U19" s="178" t="s">
        <v>237</v>
      </c>
      <c r="V19" s="55" t="s">
        <v>162</v>
      </c>
      <c r="W19" s="232">
        <v>43845</v>
      </c>
      <c r="X19" s="233"/>
      <c r="AF19" s="42">
        <v>2</v>
      </c>
      <c r="AG19" s="42">
        <v>3</v>
      </c>
      <c r="AH19" s="42">
        <v>4</v>
      </c>
      <c r="AI19" s="42">
        <v>5</v>
      </c>
      <c r="AJ19" s="42">
        <v>6</v>
      </c>
      <c r="AK19" s="42">
        <v>7</v>
      </c>
      <c r="AU19" s="88">
        <v>2</v>
      </c>
      <c r="AV19" s="88">
        <v>3</v>
      </c>
      <c r="AW19" s="88">
        <v>4</v>
      </c>
      <c r="AX19" s="88">
        <v>5</v>
      </c>
      <c r="AY19" s="88">
        <v>6</v>
      </c>
      <c r="AZ19" s="88">
        <v>7</v>
      </c>
      <c r="BA19" s="91"/>
      <c r="BB19" s="88">
        <f>SUM(BB21:BB370)</f>
        <v>0</v>
      </c>
      <c r="BC19" s="91"/>
      <c r="BD19" s="91"/>
      <c r="BE19" s="227" t="s">
        <v>233</v>
      </c>
      <c r="BF19" s="228"/>
      <c r="BG19" s="228"/>
      <c r="BH19" s="228"/>
      <c r="BI19" s="228"/>
      <c r="BJ19" s="228"/>
      <c r="BK19" s="228"/>
      <c r="BU19" s="85"/>
      <c r="BV19" s="85"/>
      <c r="BW19" s="86"/>
      <c r="BZ19" s="145" t="s">
        <v>66</v>
      </c>
      <c r="CA19" s="146" t="s">
        <v>372</v>
      </c>
      <c r="CB19" s="87"/>
      <c r="CC19" s="87"/>
      <c r="CF19" s="89"/>
      <c r="CG19" s="90"/>
      <c r="CH19" s="87"/>
      <c r="CI19" s="87"/>
      <c r="CJ19" s="87"/>
      <c r="CK19" s="87"/>
      <c r="CL19" s="87"/>
      <c r="CM19" s="87"/>
    </row>
    <row r="20" spans="1:91" ht="15.75" customHeight="1" x14ac:dyDescent="0.3">
      <c r="A20" s="85"/>
      <c r="B20" s="70" t="s">
        <v>476</v>
      </c>
      <c r="C20" s="50">
        <v>0</v>
      </c>
      <c r="D20" s="50">
        <v>0</v>
      </c>
      <c r="E20" s="50">
        <v>0</v>
      </c>
      <c r="F20" s="50">
        <v>0</v>
      </c>
      <c r="G20" s="50">
        <v>0</v>
      </c>
      <c r="H20" s="50">
        <v>0</v>
      </c>
      <c r="J20" s="199">
        <f t="shared" si="19"/>
        <v>4299</v>
      </c>
      <c r="L20" s="59" t="s">
        <v>164</v>
      </c>
      <c r="M20" s="60">
        <f t="shared" ref="M20:M31" si="20">SUMIFS(AU$21:AU$372,$BA$21:$BA$372,1,$BC$21:$BC$372,$L20)</f>
        <v>10170.453879999999</v>
      </c>
      <c r="N20" s="60">
        <f t="shared" ref="N20:N31" si="21">SUMIFS(AV$21:AV$372,$BA$21:$BA$372,1,$BC$21:$BC$372,$L20)</f>
        <v>11363.605680000001</v>
      </c>
      <c r="O20" s="60">
        <f t="shared" ref="O20:O31" si="22">SUMIFS(AW$21:AW$372,$BA$21:$BA$372,1,$BC$21:$BC$372,$L20)</f>
        <v>11034.691159999998</v>
      </c>
      <c r="P20" s="60">
        <f t="shared" ref="P20:P31" si="23">SUMIFS(AX$21:AX$372,$BA$21:$BA$372,1,$BC$21:$BC$372,$L20)</f>
        <v>10753.4899</v>
      </c>
      <c r="Q20" s="60">
        <f t="shared" ref="Q20:Q31" si="24">SUMIFS(AY$21:AY$372,$BA$21:$BA$372,1,$BC$21:$BC$372,$L20)</f>
        <v>11564.595160000001</v>
      </c>
      <c r="R20" s="60">
        <f t="shared" ref="R20:R31" si="25">SUMIFS(AZ$21:AZ$372,$BA$21:$BA$372,1,$BC$21:$BC$372,$L20)</f>
        <v>10565.068359999997</v>
      </c>
      <c r="S20" s="198">
        <f>($T$1*M20/$T$2)+(7*N20/$T$2)+(7*O20/$T$2)+(7*P20/$T$2)+((IF($U$2=4,7,$U$1))*Q20/$T$2)+((IF($U$2=3,0,$U$1))*R20/$T$2)</f>
        <v>11081.484998064516</v>
      </c>
      <c r="T20" s="160">
        <f>S20/U20</f>
        <v>1.0851997800575741</v>
      </c>
      <c r="U20" s="180">
        <f>INDEX(Enas!$V$3:$AG$15,2,MONTH($R$1))</f>
        <v>10211.469999999999</v>
      </c>
      <c r="V20" s="63">
        <v>0.8776088833162512</v>
      </c>
      <c r="W20" s="93" t="s">
        <v>326</v>
      </c>
      <c r="X20" s="93" t="s">
        <v>325</v>
      </c>
      <c r="Z20" s="94" t="s">
        <v>66</v>
      </c>
      <c r="AA20" s="94" t="s">
        <v>310</v>
      </c>
      <c r="AB20" s="94" t="s">
        <v>309</v>
      </c>
      <c r="AD20" s="95" t="s">
        <v>311</v>
      </c>
      <c r="AE20" s="95" t="s">
        <v>66</v>
      </c>
      <c r="AF20" s="95">
        <v>1</v>
      </c>
      <c r="AG20" s="95">
        <v>2</v>
      </c>
      <c r="AH20" s="95">
        <v>3</v>
      </c>
      <c r="AI20" s="95">
        <v>4</v>
      </c>
      <c r="AJ20" s="95">
        <v>5</v>
      </c>
      <c r="AK20" s="95">
        <v>6</v>
      </c>
      <c r="AL20" s="95" t="s">
        <v>328</v>
      </c>
      <c r="AM20" s="95" t="s">
        <v>329</v>
      </c>
      <c r="AN20" s="95" t="s">
        <v>225</v>
      </c>
      <c r="AO20" s="77"/>
      <c r="AP20" s="95" t="s">
        <v>66</v>
      </c>
      <c r="AQ20" s="95" t="s">
        <v>226</v>
      </c>
      <c r="AR20" s="95" t="s">
        <v>225</v>
      </c>
      <c r="AS20" s="95" t="s">
        <v>14</v>
      </c>
      <c r="AT20" s="95" t="s">
        <v>223</v>
      </c>
      <c r="AU20" s="95" t="s">
        <v>227</v>
      </c>
      <c r="AV20" s="95" t="s">
        <v>228</v>
      </c>
      <c r="AW20" s="95" t="s">
        <v>229</v>
      </c>
      <c r="AX20" s="95" t="s">
        <v>230</v>
      </c>
      <c r="AY20" s="95" t="s">
        <v>231</v>
      </c>
      <c r="AZ20" s="95" t="s">
        <v>232</v>
      </c>
      <c r="BA20" s="95" t="s">
        <v>235</v>
      </c>
      <c r="BB20" s="96" t="s">
        <v>236</v>
      </c>
      <c r="BC20" s="96" t="s">
        <v>293</v>
      </c>
      <c r="BD20"/>
      <c r="BE20" s="95" t="s">
        <v>234</v>
      </c>
      <c r="BF20" s="95" t="s">
        <v>227</v>
      </c>
      <c r="BG20" s="95" t="s">
        <v>228</v>
      </c>
      <c r="BH20" s="95" t="s">
        <v>229</v>
      </c>
      <c r="BI20" s="95" t="s">
        <v>230</v>
      </c>
      <c r="BJ20" s="95" t="s">
        <v>231</v>
      </c>
      <c r="BK20" s="95" t="s">
        <v>232</v>
      </c>
      <c r="BL20" s="77"/>
      <c r="BM20" s="229" t="s">
        <v>288</v>
      </c>
      <c r="BN20" s="230"/>
      <c r="BO20" s="230"/>
      <c r="BP20" s="230"/>
      <c r="BQ20" s="230"/>
      <c r="BR20" s="230"/>
      <c r="BS20" s="230"/>
      <c r="BT20" s="231"/>
      <c r="BU20" s="85"/>
      <c r="BV20" s="163" t="s">
        <v>329</v>
      </c>
      <c r="BW20" s="163" t="s">
        <v>339</v>
      </c>
      <c r="BX20" s="97" t="str">
        <f>IFERROR(BV20&amp;" "&amp;BW20,"")</f>
        <v>REE IGUACU</v>
      </c>
      <c r="BZ20" s="147">
        <v>1</v>
      </c>
      <c r="CA20" s="148">
        <v>126</v>
      </c>
      <c r="CB20" s="87"/>
      <c r="CC20" s="87"/>
      <c r="CF20" s="89"/>
      <c r="CG20" s="90"/>
      <c r="CH20" s="87"/>
      <c r="CI20" s="87"/>
      <c r="CJ20" s="87"/>
      <c r="CK20" s="87"/>
      <c r="CL20" s="87"/>
      <c r="CM20" s="87"/>
    </row>
    <row r="21" spans="1:91" ht="15.6" x14ac:dyDescent="0.3">
      <c r="B21" s="70" t="s">
        <v>704</v>
      </c>
      <c r="C21" s="50">
        <v>0</v>
      </c>
      <c r="D21" s="50">
        <v>0</v>
      </c>
      <c r="E21" s="50">
        <v>0</v>
      </c>
      <c r="F21" s="50">
        <v>0</v>
      </c>
      <c r="G21" s="50">
        <v>0</v>
      </c>
      <c r="H21" s="50">
        <v>0</v>
      </c>
      <c r="J21" s="199">
        <f t="shared" si="19"/>
        <v>4447</v>
      </c>
      <c r="L21" s="59" t="s">
        <v>291</v>
      </c>
      <c r="M21" s="60">
        <f>SUMIFS(AU$21:AU$372,$BA$21:$BA$372,1,$BC$21:$BC$372,$L21)</f>
        <v>8844.5735999999997</v>
      </c>
      <c r="N21" s="60">
        <f t="shared" si="21"/>
        <v>9997.0722000000005</v>
      </c>
      <c r="O21" s="60">
        <f t="shared" si="22"/>
        <v>11006.679099999999</v>
      </c>
      <c r="P21" s="60">
        <f t="shared" si="23"/>
        <v>11842.4665</v>
      </c>
      <c r="Q21" s="60">
        <f t="shared" si="24"/>
        <v>12703.0679</v>
      </c>
      <c r="R21" s="60">
        <f t="shared" si="25"/>
        <v>13117.2173</v>
      </c>
      <c r="S21" s="198">
        <f t="shared" ref="S21:S31" si="26">($T$1*M21/$T$2)+(7*N21/$T$2)+(7*O21/$T$2)+(7*P21/$T$2)+((IF($U$2=4,7,$U$1))*Q21/$T$2)+((IF($U$2=3,0,$U$1))*R21/$T$2)</f>
        <v>11141.24905483871</v>
      </c>
      <c r="T21" s="160">
        <f t="shared" ref="T21:T31" si="27">S21/U21</f>
        <v>1.3701261204615001</v>
      </c>
      <c r="U21" s="180">
        <f>INDEX(Enas!$V$3:$AG$15,3,MONTH($R$1))</f>
        <v>8131.55</v>
      </c>
      <c r="V21" s="63">
        <v>0.63692414706222023</v>
      </c>
      <c r="W21" s="187">
        <v>1</v>
      </c>
      <c r="X21" s="187">
        <v>0.20760000000000001</v>
      </c>
      <c r="Z21" s="101">
        <v>1</v>
      </c>
      <c r="AA21" s="101">
        <v>1</v>
      </c>
      <c r="AB21" s="101">
        <v>0.20760000000000001</v>
      </c>
      <c r="AD21" s="102">
        <f t="shared" ref="AD21:AD84" si="28">BM21</f>
        <v>3</v>
      </c>
      <c r="AE21" s="102">
        <f t="shared" ref="AE21:AE84" si="29">BN21</f>
        <v>1</v>
      </c>
      <c r="AF21" s="102">
        <f t="shared" ref="AF21:AF52" si="30">ROUND(BO21*(1+VLOOKUP($AL21,$B$3:$H$6,AF$19,FALSE)+_xlfn.IFNA(VLOOKUP("REE "&amp;$AM21,$B$11:$H$23,AF$19,FALSE),0)+_xlfn.IFNA(VLOOKUP("BCA "&amp;$AN21,$B$11:$H$23,AF$19,0),0)+_xlfn.IFNA(VLOOKUP("PST "&amp;$AE21,$B$11:$H$23,AF$19,0),0)),0)</f>
        <v>217</v>
      </c>
      <c r="AG21" s="102">
        <f t="shared" ref="AG21:AG52" si="31">ROUND(BP21*(1+VLOOKUP($AL21,$B$3:$H$6,AG$19,FALSE)+_xlfn.IFNA(VLOOKUP("REE "&amp;$AM21,$B$11:$H$23,AG$19,FALSE),0)+_xlfn.IFNA(VLOOKUP("BCA "&amp;$AN21,$B$11:$H$23,AG$19,0),0)+_xlfn.IFNA(VLOOKUP("PST "&amp;$AE21,$B$11:$H$23,AG$19,0),0)),0)</f>
        <v>244</v>
      </c>
      <c r="AH21" s="102">
        <f t="shared" ref="AH21:AH52" si="32">ROUND(BQ21*(1+VLOOKUP($AL21,$B$3:$H$6,AH$19,FALSE)+_xlfn.IFNA(VLOOKUP("REE "&amp;$AM21,$B$11:$H$23,AH$19,FALSE),0)+_xlfn.IFNA(VLOOKUP("BCA "&amp;$AN21,$B$11:$H$23,AH$19,0),0)+_xlfn.IFNA(VLOOKUP("PST "&amp;$AE21,$B$11:$H$23,AH$19,0),0)),0)</f>
        <v>271</v>
      </c>
      <c r="AI21" s="102">
        <f t="shared" ref="AI21:AI52" si="33">ROUND(BR21*(1+VLOOKUP($AL21,$B$3:$H$6,AI$19,FALSE)+_xlfn.IFNA(VLOOKUP("REE "&amp;$AM21,$B$11:$H$23,AI$19,FALSE),0)+_xlfn.IFNA(VLOOKUP("BCA "&amp;$AN21,$B$11:$H$23,AI$19,0),0)+_xlfn.IFNA(VLOOKUP("PST "&amp;$AE21,$B$11:$H$23,AI$19,0),0)),0)</f>
        <v>265</v>
      </c>
      <c r="AJ21" s="102">
        <f t="shared" ref="AJ21:AJ52" si="34">ROUND(BS21*(1+VLOOKUP($AL21,$B$3:$H$6,AJ$19,FALSE)+_xlfn.IFNA(VLOOKUP("REE "&amp;$AM21,$B$11:$H$23,AJ$19,FALSE),0)+_xlfn.IFNA(VLOOKUP("BCA "&amp;$AN21,$B$11:$H$23,AJ$19,0),0)+_xlfn.IFNA(VLOOKUP("PST "&amp;$AE21,$B$11:$H$23,AJ$19,0),0)),0)</f>
        <v>226</v>
      </c>
      <c r="AK21" s="102">
        <f t="shared" ref="AK21:AK52" si="35">ROUND(BT21*(1+VLOOKUP($AL21,$B$3:$H$6,AK$19,FALSE)+_xlfn.IFNA(VLOOKUP("REE "&amp;$AM21,$B$11:$H$23,AK$19,FALSE),0)+_xlfn.IFNA(VLOOKUP("BCA "&amp;$AN21,$B$11:$H$23,AK$19,0),0)+_xlfn.IFNA(VLOOKUP("PST "&amp;$AE21,$B$11:$H$23,AK$19,0),0)),0)</f>
        <v>210</v>
      </c>
      <c r="AL21" s="102">
        <f>VLOOKUP($AE21,Usinas!$B$3:$F$241,5,FALSE)</f>
        <v>1</v>
      </c>
      <c r="AM21" s="102" t="str">
        <f>VLOOKUP($AE21,Usinas!$B$3:$H$241,7,FALSE)</f>
        <v>PARANA</v>
      </c>
      <c r="AN21" s="102" t="str">
        <f>VLOOKUP($AE21,Usinas!$B$3:$D$241,3,FALSE)</f>
        <v>GRANDE</v>
      </c>
      <c r="AP21" s="103">
        <v>1</v>
      </c>
      <c r="AQ21" s="103" t="str">
        <f>IF(BA21=1,VLOOKUP($AP21,Usinas!$B$3:$F$244,2,0),"")</f>
        <v>CAMARGOS</v>
      </c>
      <c r="AR21" s="103" t="str">
        <f>IF(BA21=1,VLOOKUP($AP21,Usinas!$B$3:$F$241,3,0),"")</f>
        <v>GRANDE</v>
      </c>
      <c r="AS21" s="103" t="str">
        <f>IF(BA21,VLOOKUP($AP21,Usinas!$B$3:$F$244,4,0),"")</f>
        <v>SUDESTE</v>
      </c>
      <c r="AT21" s="103">
        <f>IF(BA21=1,VLOOKUP($AP21,$Z$21:$AB$372,3,0),"")</f>
        <v>0.20760000000000001</v>
      </c>
      <c r="AU21" s="104">
        <f>IF($BA21=1,IFERROR(VLOOKUP($AP21,$AE$21:$AK$211,AU$19,0),VLOOKUP($AP21,$BE$21:$BK$65,AU$19,0))*$AT21,"")</f>
        <v>45.049199999999999</v>
      </c>
      <c r="AV21" s="104">
        <f>IF($BA21=1,IFERROR(VLOOKUP($AP21,$AE$21:$AK$211,AV$19,0),VLOOKUP($AP21,$BE$21:$BK$65,AV$19,0))*$AT21,"")</f>
        <v>50.654400000000003</v>
      </c>
      <c r="AW21" s="104">
        <f t="shared" ref="AU21:AZ30" si="36">IF($BA21=1,IFERROR(VLOOKUP($AP21,$AE$21:$AK$211,AW$19,0),VLOOKUP($AP21,$BE$21:$BK$65,AW$19,0))*$AT21,"")</f>
        <v>56.259599999999999</v>
      </c>
      <c r="AX21" s="104">
        <f t="shared" si="36"/>
        <v>55.014000000000003</v>
      </c>
      <c r="AY21" s="104">
        <f t="shared" si="36"/>
        <v>46.9176</v>
      </c>
      <c r="AZ21" s="104">
        <f t="shared" si="36"/>
        <v>43.596000000000004</v>
      </c>
      <c r="BA21" s="103">
        <f>VLOOKUP(AP21,$Z$21:$AA$372,2,0)</f>
        <v>1</v>
      </c>
      <c r="BB21" s="103">
        <f>IF(BA21=0,0,IF(OR(ISNA(AR21),ISNA(AS21),ISNA(AT21),ISNA(AU21),ISNA(AV21),ISNA(AW21),ISNA(AX21),ISNA(AY21),ISNA(AZ21)),1,0))</f>
        <v>0</v>
      </c>
      <c r="BC21" s="103" t="str">
        <f>IF(BA21=1,VLOOKUP($AP21,Usinas!$B$3:$H$244,7,0),"")</f>
        <v>PARANA</v>
      </c>
      <c r="BE21" s="103">
        <v>37</v>
      </c>
      <c r="BF21" s="104">
        <f t="shared" ref="BF21:BK21" si="37">VLOOKUP(237,$AE$21:$AK$211,BF$18,0)-0.1*(VLOOKUP(161,$AE$21:$AK$211,BF$18,0)-VLOOKUP(117,$AE$21:$AK$211,BF$18,0)-VLOOKUP(118,$AE$21:$AK$211,BF$18,0))-VLOOKUP(117,$AE$21:$AK$211,BF$18,0)-VLOOKUP(118,$AE$21:$AK$211,BF$18,0)</f>
        <v>528.9</v>
      </c>
      <c r="BG21" s="104">
        <f t="shared" si="37"/>
        <v>743.9</v>
      </c>
      <c r="BH21" s="104">
        <f t="shared" si="37"/>
        <v>828.3</v>
      </c>
      <c r="BI21" s="104">
        <f t="shared" si="37"/>
        <v>915</v>
      </c>
      <c r="BJ21" s="104">
        <f t="shared" si="37"/>
        <v>924.8</v>
      </c>
      <c r="BK21" s="104">
        <f t="shared" si="37"/>
        <v>859.8</v>
      </c>
      <c r="BM21" s="105">
        <f>VALUE(LEFT($B30,6))</f>
        <v>3</v>
      </c>
      <c r="BN21" s="105">
        <f>VALUE(RIGHT(LEFT($B30,11),5))</f>
        <v>1</v>
      </c>
      <c r="BO21" s="151">
        <f>IF($BP$15=1,IFERROR(VLOOKUP(BN21,$BZ$20:CA184,2,0),0),VALUE(RIGHT(LEFT($B30,21),10)))</f>
        <v>159</v>
      </c>
      <c r="BP21" s="105">
        <f>VALUE(RIGHT(LEFT($B30,31),10))</f>
        <v>179</v>
      </c>
      <c r="BQ21" s="105">
        <f>VALUE(RIGHT(LEFT($B30,41),10))</f>
        <v>199</v>
      </c>
      <c r="BR21" s="105">
        <f>VALUE(RIGHT(LEFT($B30,51),10))</f>
        <v>194</v>
      </c>
      <c r="BS21" s="105">
        <f>VALUE(RIGHT(LEFT($B30,61),10))</f>
        <v>166</v>
      </c>
      <c r="BT21" s="105">
        <f>VALUE(RIGHT(LEFT($B30,71),10))</f>
        <v>154</v>
      </c>
      <c r="BU21" s="85"/>
      <c r="BV21" s="97" t="s">
        <v>329</v>
      </c>
      <c r="BW21" s="98" t="s">
        <v>164</v>
      </c>
      <c r="BX21" s="97" t="str">
        <f t="shared" ref="BX21:BX29" si="38">IFERROR(BV21&amp;" "&amp;BW21,"")</f>
        <v>REE SUDESTE</v>
      </c>
      <c r="BZ21" s="147">
        <v>2</v>
      </c>
      <c r="CA21" s="148">
        <v>126</v>
      </c>
      <c r="CB21" s="87"/>
      <c r="CC21" s="87"/>
      <c r="CF21" s="89"/>
      <c r="CG21" s="90"/>
      <c r="CH21" s="87"/>
      <c r="CI21" s="87"/>
      <c r="CJ21" s="87"/>
      <c r="CK21" s="87"/>
      <c r="CL21" s="87"/>
      <c r="CM21" s="87"/>
    </row>
    <row r="22" spans="1:91" ht="15.6" x14ac:dyDescent="0.3">
      <c r="B22" s="70" t="s">
        <v>683</v>
      </c>
      <c r="C22" s="50">
        <v>0</v>
      </c>
      <c r="D22" s="50">
        <v>0</v>
      </c>
      <c r="E22" s="50">
        <v>0</v>
      </c>
      <c r="F22" s="50">
        <v>0</v>
      </c>
      <c r="G22" s="50">
        <v>0</v>
      </c>
      <c r="H22" s="50">
        <v>0</v>
      </c>
      <c r="J22" s="199">
        <f t="shared" si="19"/>
        <v>4524</v>
      </c>
      <c r="L22" s="59" t="s">
        <v>122</v>
      </c>
      <c r="M22" s="60">
        <f t="shared" si="20"/>
        <v>2512.1208999999999</v>
      </c>
      <c r="N22" s="60">
        <f t="shared" si="21"/>
        <v>2639.8012999999996</v>
      </c>
      <c r="O22" s="60">
        <f t="shared" si="22"/>
        <v>2824.1310999999996</v>
      </c>
      <c r="P22" s="60">
        <f t="shared" si="23"/>
        <v>2951.3125999999997</v>
      </c>
      <c r="Q22" s="60">
        <f t="shared" si="24"/>
        <v>3030.4173000000001</v>
      </c>
      <c r="R22" s="60">
        <f t="shared" si="25"/>
        <v>3141.9440999999997</v>
      </c>
      <c r="S22" s="198">
        <f t="shared" si="26"/>
        <v>2827.6128645161289</v>
      </c>
      <c r="T22" s="160">
        <f t="shared" si="27"/>
        <v>0.86647816792492627</v>
      </c>
      <c r="U22" s="180">
        <f>INDEX(Enas!$V$3:$AG$15,4,MONTH($R$1))</f>
        <v>3263.34</v>
      </c>
      <c r="V22" s="183">
        <v>0.6</v>
      </c>
      <c r="W22" s="187">
        <v>2</v>
      </c>
      <c r="X22" s="187">
        <v>0.2437</v>
      </c>
      <c r="Z22" s="101">
        <v>2</v>
      </c>
      <c r="AA22" s="101">
        <v>1</v>
      </c>
      <c r="AB22" s="101">
        <v>0.2437</v>
      </c>
      <c r="AD22" s="102">
        <f t="shared" si="28"/>
        <v>4</v>
      </c>
      <c r="AE22" s="102">
        <f t="shared" si="29"/>
        <v>2</v>
      </c>
      <c r="AF22" s="102">
        <f t="shared" si="30"/>
        <v>218</v>
      </c>
      <c r="AG22" s="102">
        <f t="shared" si="31"/>
        <v>247</v>
      </c>
      <c r="AH22" s="102">
        <f t="shared" si="32"/>
        <v>273</v>
      </c>
      <c r="AI22" s="102">
        <f t="shared" si="33"/>
        <v>267</v>
      </c>
      <c r="AJ22" s="102">
        <f t="shared" si="34"/>
        <v>228</v>
      </c>
      <c r="AK22" s="102">
        <f t="shared" si="35"/>
        <v>211</v>
      </c>
      <c r="AL22" s="102">
        <f>VLOOKUP($AE22,Usinas!$B$3:$F$241,5,FALSE)</f>
        <v>1</v>
      </c>
      <c r="AM22" s="102" t="str">
        <f>VLOOKUP($AE22,Usinas!$B$3:$H$241,7,FALSE)</f>
        <v>PARANA</v>
      </c>
      <c r="AN22" s="102" t="str">
        <f>VLOOKUP($AE22,Usinas!$B$3:$D$241,3,FALSE)</f>
        <v>GRANDE</v>
      </c>
      <c r="AP22" s="103">
        <v>2</v>
      </c>
      <c r="AQ22" s="103" t="str">
        <f>IF(BA22=1,VLOOKUP($AP22,Usinas!$B$3:$F$244,2,0),"")</f>
        <v>ITUTINGA</v>
      </c>
      <c r="AR22" s="103" t="str">
        <f>IF(BA22=1,VLOOKUP($AP22,Usinas!$B$3:$F$241,3,0),"")</f>
        <v>GRANDE</v>
      </c>
      <c r="AS22" s="103" t="str">
        <f>IF(BA22,VLOOKUP($AP22,Usinas!$B$3:$F$244,4,0),"")</f>
        <v>SUDESTE</v>
      </c>
      <c r="AT22" s="103">
        <f t="shared" ref="AT22:AT85" si="39">IF(BA22=1,VLOOKUP($AP22,$Z$21:$AB$372,3,0),"")</f>
        <v>0.2437</v>
      </c>
      <c r="AU22" s="104">
        <f t="shared" si="36"/>
        <v>53.126600000000003</v>
      </c>
      <c r="AV22" s="104">
        <f t="shared" si="36"/>
        <v>60.193899999999999</v>
      </c>
      <c r="AW22" s="104">
        <f t="shared" si="36"/>
        <v>66.530100000000004</v>
      </c>
      <c r="AX22" s="104">
        <f t="shared" si="36"/>
        <v>65.067899999999995</v>
      </c>
      <c r="AY22" s="104">
        <f t="shared" si="36"/>
        <v>55.563600000000001</v>
      </c>
      <c r="AZ22" s="104">
        <f t="shared" si="36"/>
        <v>51.420699999999997</v>
      </c>
      <c r="BA22" s="103">
        <f t="shared" ref="BA22:BA85" si="40">VLOOKUP(AP22,$Z$21:$AA$372,2,0)</f>
        <v>1</v>
      </c>
      <c r="BB22" s="103">
        <f t="shared" ref="BB22:BB85" si="41">IF(BA22=0,0,IF(OR(ISNA(AR22),ISNA(AS22),ISNA(AT22),ISNA(AU22),ISNA(AV22),ISNA(AW22),ISNA(AX22),ISNA(AY22),ISNA(AZ22)),1,0))</f>
        <v>0</v>
      </c>
      <c r="BC22" s="103" t="str">
        <f>IF(BA22=1,VLOOKUP($AP22,Usinas!$B$3:$H$244,7,0),"")</f>
        <v>PARANA</v>
      </c>
      <c r="BE22" s="103">
        <v>38</v>
      </c>
      <c r="BF22" s="104">
        <f t="shared" ref="BF22:BK22" si="42">VLOOKUP(238,$AE$21:$AK$211,BF$18,0)-0.1*(VLOOKUP(161,$AE$21:$AK$211,BF$18,0)-VLOOKUP(117,$AE$21:$AK$211,BF$18,0)-VLOOKUP(118,$AE$21:$AK$211,BF$18,0))-VLOOKUP(117,$AE$21:$AK$211,BF$18,0)-VLOOKUP(118,$AE$21:$AK$211,BF$18,0)</f>
        <v>577.9</v>
      </c>
      <c r="BG22" s="104">
        <f t="shared" si="42"/>
        <v>807.9</v>
      </c>
      <c r="BH22" s="104">
        <f t="shared" si="42"/>
        <v>915.3</v>
      </c>
      <c r="BI22" s="104">
        <f t="shared" si="42"/>
        <v>995</v>
      </c>
      <c r="BJ22" s="104">
        <f t="shared" si="42"/>
        <v>1010.8</v>
      </c>
      <c r="BK22" s="104">
        <f t="shared" si="42"/>
        <v>960.8</v>
      </c>
      <c r="BM22" s="105">
        <f>VALUE(LEFT($B31,6))</f>
        <v>4</v>
      </c>
      <c r="BN22" s="105">
        <f>VALUE(RIGHT(LEFT($B31,11),5))</f>
        <v>2</v>
      </c>
      <c r="BO22" s="151">
        <f>IF($BP$15=1,IFERROR(VLOOKUP(BN22,$BZ$20:CA185,2,0),0),VALUE(RIGHT(LEFT($B31,21),10)))</f>
        <v>160</v>
      </c>
      <c r="BP22" s="105">
        <f>VALUE(RIGHT(LEFT($B31,31),10))</f>
        <v>181</v>
      </c>
      <c r="BQ22" s="105">
        <f>VALUE(RIGHT(LEFT($B31,41),10))</f>
        <v>200</v>
      </c>
      <c r="BR22" s="105">
        <f>VALUE(RIGHT(LEFT($B31,51),10))</f>
        <v>196</v>
      </c>
      <c r="BS22" s="105">
        <f>VALUE(RIGHT(LEFT($B31,61),10))</f>
        <v>167</v>
      </c>
      <c r="BT22" s="105">
        <f>VALUE(RIGHT(LEFT($B31,71),10))</f>
        <v>155</v>
      </c>
      <c r="BU22" s="85"/>
      <c r="BV22" s="97" t="s">
        <v>329</v>
      </c>
      <c r="BW22" s="98" t="s">
        <v>291</v>
      </c>
      <c r="BX22" s="97" t="str">
        <f t="shared" si="38"/>
        <v>REE MADEIRA</v>
      </c>
      <c r="BZ22" s="147">
        <v>211</v>
      </c>
      <c r="CA22" s="148">
        <v>266</v>
      </c>
      <c r="CB22" s="87"/>
      <c r="CC22" s="87"/>
      <c r="CF22" s="89"/>
      <c r="CG22" s="90"/>
      <c r="CH22" s="87"/>
      <c r="CI22" s="87"/>
      <c r="CJ22" s="87"/>
      <c r="CK22" s="87"/>
      <c r="CL22" s="87"/>
      <c r="CM22" s="87"/>
    </row>
    <row r="23" spans="1:91" ht="15.6" x14ac:dyDescent="0.3">
      <c r="B23" s="70"/>
      <c r="C23" s="50">
        <v>0</v>
      </c>
      <c r="D23" s="50">
        <v>0</v>
      </c>
      <c r="E23" s="50">
        <v>0</v>
      </c>
      <c r="F23" s="50">
        <v>0</v>
      </c>
      <c r="G23" s="50">
        <v>0</v>
      </c>
      <c r="H23" s="50">
        <v>0</v>
      </c>
      <c r="J23" s="199">
        <f t="shared" si="19"/>
        <v>9459</v>
      </c>
      <c r="L23" s="59" t="s">
        <v>37</v>
      </c>
      <c r="M23" s="60">
        <f>SUMIFS(AU$21:AU$372,$BA$21:$BA$372,1,$BC$21:$BC$372,$L23)</f>
        <v>4128.3320000000003</v>
      </c>
      <c r="N23" s="60">
        <f t="shared" si="21"/>
        <v>3054.7608</v>
      </c>
      <c r="O23" s="60">
        <f t="shared" si="22"/>
        <v>3740.0843999999997</v>
      </c>
      <c r="P23" s="60">
        <f t="shared" si="23"/>
        <v>4691.7519999999995</v>
      </c>
      <c r="Q23" s="60">
        <f t="shared" si="24"/>
        <v>4590.3364000000001</v>
      </c>
      <c r="R23" s="60">
        <f t="shared" si="25"/>
        <v>4784.9723999999997</v>
      </c>
      <c r="S23" s="198">
        <f t="shared" si="26"/>
        <v>4029.7913290322576</v>
      </c>
      <c r="T23" s="160">
        <f t="shared" si="27"/>
        <v>1.195092254936241</v>
      </c>
      <c r="U23" s="180">
        <f>INDEX(Enas!$V$3:$AG$15,5,MONTH($R$1))</f>
        <v>3371.95</v>
      </c>
      <c r="V23" s="63">
        <v>1.0730439838136923</v>
      </c>
      <c r="W23" s="187">
        <v>6</v>
      </c>
      <c r="X23" s="187">
        <v>0.81299999999999994</v>
      </c>
      <c r="Z23" s="101">
        <v>3</v>
      </c>
      <c r="AA23" s="101">
        <v>0</v>
      </c>
      <c r="AB23" s="101">
        <v>0</v>
      </c>
      <c r="AD23" s="102">
        <f t="shared" si="28"/>
        <v>5</v>
      </c>
      <c r="AE23" s="102">
        <f t="shared" si="29"/>
        <v>6</v>
      </c>
      <c r="AF23" s="102">
        <f t="shared" si="30"/>
        <v>1430</v>
      </c>
      <c r="AG23" s="102">
        <f t="shared" si="31"/>
        <v>1842</v>
      </c>
      <c r="AH23" s="102">
        <f t="shared" si="32"/>
        <v>2006</v>
      </c>
      <c r="AI23" s="102">
        <f t="shared" si="33"/>
        <v>1996</v>
      </c>
      <c r="AJ23" s="102">
        <f t="shared" si="34"/>
        <v>1707</v>
      </c>
      <c r="AK23" s="102">
        <f t="shared" si="35"/>
        <v>1705</v>
      </c>
      <c r="AL23" s="102">
        <f>VLOOKUP($AE23,Usinas!$B$3:$F$241,5,FALSE)</f>
        <v>1</v>
      </c>
      <c r="AM23" s="102" t="str">
        <f>VLOOKUP($AE23,Usinas!$B$3:$H$241,7,FALSE)</f>
        <v>PARANA</v>
      </c>
      <c r="AN23" s="102" t="str">
        <f>VLOOKUP($AE23,Usinas!$B$3:$D$241,3,FALSE)</f>
        <v>GRANDE</v>
      </c>
      <c r="AP23" s="103">
        <v>3</v>
      </c>
      <c r="AQ23" s="103" t="str">
        <f>IF(BA23=1,VLOOKUP($AP23,Usinas!$B$3:$F$244,2,0),"")</f>
        <v/>
      </c>
      <c r="AR23" s="103" t="str">
        <f>IF(BA23=1,VLOOKUP($AP23,Usinas!$B$3:$F$241,3,0),"")</f>
        <v/>
      </c>
      <c r="AS23" s="103" t="str">
        <f>IF(BA23,VLOOKUP($AP23,Usinas!$B$3:$F$244,4,0),"")</f>
        <v/>
      </c>
      <c r="AT23" s="103" t="str">
        <f t="shared" si="39"/>
        <v/>
      </c>
      <c r="AU23" s="104" t="str">
        <f t="shared" si="36"/>
        <v/>
      </c>
      <c r="AV23" s="104" t="str">
        <f t="shared" si="36"/>
        <v/>
      </c>
      <c r="AW23" s="104" t="str">
        <f t="shared" si="36"/>
        <v/>
      </c>
      <c r="AX23" s="104" t="str">
        <f t="shared" si="36"/>
        <v/>
      </c>
      <c r="AY23" s="104" t="str">
        <f t="shared" si="36"/>
        <v/>
      </c>
      <c r="AZ23" s="104" t="str">
        <f t="shared" si="36"/>
        <v/>
      </c>
      <c r="BA23" s="103">
        <f t="shared" si="40"/>
        <v>0</v>
      </c>
      <c r="BB23" s="103">
        <f t="shared" si="41"/>
        <v>0</v>
      </c>
      <c r="BC23" s="103" t="str">
        <f>IF(BA23=1,VLOOKUP($AP23,Usinas!$B$3:$H$244,7,0),"")</f>
        <v/>
      </c>
      <c r="BE23" s="103">
        <v>39</v>
      </c>
      <c r="BF23" s="104">
        <f t="shared" ref="BF23:BK23" si="43">VLOOKUP(239,$AE$21:$AK$211,BF$18,0)-0.1*(VLOOKUP(161,$AE$21:$AK$211,BF$18,0)-VLOOKUP(117,$AE$21:$AK$211,BF$18,0)-VLOOKUP(118,$AE$21:$AK$211,BF$18,0))-VLOOKUP(117,$AE$21:$AK$211,BF$18,0)-VLOOKUP(118,$AE$21:$AK$211,BF$18,0)</f>
        <v>679.9</v>
      </c>
      <c r="BG23" s="104">
        <f t="shared" si="43"/>
        <v>934.9</v>
      </c>
      <c r="BH23" s="104">
        <f t="shared" si="43"/>
        <v>1094.3</v>
      </c>
      <c r="BI23" s="104">
        <f t="shared" si="43"/>
        <v>1151</v>
      </c>
      <c r="BJ23" s="104">
        <f t="shared" si="43"/>
        <v>1185.8</v>
      </c>
      <c r="BK23" s="104">
        <f t="shared" si="43"/>
        <v>1136.8</v>
      </c>
      <c r="BM23" s="105">
        <f t="shared" ref="BM23:BM52" si="44">VALUE(LEFT($B32,6))</f>
        <v>5</v>
      </c>
      <c r="BN23" s="105">
        <f t="shared" ref="BN23:BN52" si="45">VALUE(RIGHT(LEFT($B32,11),5))</f>
        <v>6</v>
      </c>
      <c r="BO23" s="151">
        <f>IF($BP$15=1,IFERROR(VLOOKUP(BN23,$BZ$20:CA186,2,0),0),VALUE(RIGHT(LEFT($B32,21),10)))</f>
        <v>1049</v>
      </c>
      <c r="BP23" s="105">
        <f t="shared" ref="BP23:BP52" si="46">VALUE(RIGHT(LEFT($B32,31),10))</f>
        <v>1351</v>
      </c>
      <c r="BQ23" s="105">
        <f t="shared" ref="BQ23:BQ52" si="47">VALUE(RIGHT(LEFT($B32,41),10))</f>
        <v>1471</v>
      </c>
      <c r="BR23" s="105">
        <f t="shared" ref="BR23:BR52" si="48">VALUE(RIGHT(LEFT($B32,51),10))</f>
        <v>1464</v>
      </c>
      <c r="BS23" s="105">
        <f t="shared" ref="BS23:BS52" si="49">VALUE(RIGHT(LEFT($B32,61),10))</f>
        <v>1252</v>
      </c>
      <c r="BT23" s="105">
        <f t="shared" ref="BT23:BT52" si="50">VALUE(RIGHT(LEFT($B32,71),10))</f>
        <v>1250</v>
      </c>
      <c r="BU23" s="85"/>
      <c r="BV23" s="97" t="s">
        <v>329</v>
      </c>
      <c r="BW23" s="98" t="s">
        <v>122</v>
      </c>
      <c r="BX23" s="97" t="str">
        <f t="shared" si="38"/>
        <v>REE TELES PIRES</v>
      </c>
      <c r="BZ23" s="147">
        <v>6</v>
      </c>
      <c r="CA23" s="148">
        <v>650</v>
      </c>
      <c r="CB23" s="87"/>
      <c r="CC23" s="87"/>
      <c r="CF23" s="89"/>
      <c r="CG23" s="90"/>
      <c r="CH23" s="87"/>
      <c r="CI23" s="87"/>
      <c r="CJ23" s="87"/>
      <c r="CK23" s="87"/>
      <c r="CL23" s="87"/>
      <c r="CM23" s="87"/>
    </row>
    <row r="24" spans="1:91" ht="15.6" x14ac:dyDescent="0.3">
      <c r="B24" s="43"/>
      <c r="C24" s="43"/>
      <c r="D24" s="43"/>
      <c r="E24" s="43"/>
      <c r="G24" s="43"/>
      <c r="H24" s="43"/>
      <c r="J24" s="199">
        <f t="shared" si="19"/>
        <v>6818</v>
      </c>
      <c r="L24" s="59" t="s">
        <v>292</v>
      </c>
      <c r="M24" s="60">
        <f t="shared" si="20"/>
        <v>29180.510320000001</v>
      </c>
      <c r="N24" s="60">
        <f t="shared" si="21"/>
        <v>36147.738120000009</v>
      </c>
      <c r="O24" s="60">
        <f t="shared" si="22"/>
        <v>39902.827540000006</v>
      </c>
      <c r="P24" s="60">
        <f t="shared" si="23"/>
        <v>41554.694100000001</v>
      </c>
      <c r="Q24" s="60">
        <f t="shared" si="24"/>
        <v>41312.934939999999</v>
      </c>
      <c r="R24" s="60">
        <f t="shared" si="25"/>
        <v>41680.95984000001</v>
      </c>
      <c r="S24" s="198">
        <f t="shared" si="26"/>
        <v>38708.67399548387</v>
      </c>
      <c r="T24" s="160">
        <f t="shared" si="27"/>
        <v>1.0455773344639572</v>
      </c>
      <c r="U24" s="180">
        <f>INDEX(Enas!$V$3:$AG$15,6,MONTH($R$1))</f>
        <v>37021.339999999997</v>
      </c>
      <c r="V24" s="63">
        <v>0.62844230058257855</v>
      </c>
      <c r="W24" s="187">
        <v>7</v>
      </c>
      <c r="X24" s="187">
        <v>0.34710000000000002</v>
      </c>
      <c r="Z24" s="101">
        <v>4</v>
      </c>
      <c r="AA24" s="101">
        <v>0</v>
      </c>
      <c r="AB24" s="101">
        <v>0</v>
      </c>
      <c r="AD24" s="102">
        <f t="shared" si="28"/>
        <v>6</v>
      </c>
      <c r="AE24" s="102">
        <f t="shared" si="29"/>
        <v>7</v>
      </c>
      <c r="AF24" s="102">
        <f t="shared" si="30"/>
        <v>1553</v>
      </c>
      <c r="AG24" s="102">
        <f t="shared" si="31"/>
        <v>1984</v>
      </c>
      <c r="AH24" s="102">
        <f t="shared" si="32"/>
        <v>2198</v>
      </c>
      <c r="AI24" s="102">
        <f t="shared" si="33"/>
        <v>2259</v>
      </c>
      <c r="AJ24" s="102">
        <f t="shared" si="34"/>
        <v>1961</v>
      </c>
      <c r="AK24" s="102">
        <f t="shared" si="35"/>
        <v>1968</v>
      </c>
      <c r="AL24" s="102">
        <f>VLOOKUP($AE24,Usinas!$B$3:$F$241,5,FALSE)</f>
        <v>1</v>
      </c>
      <c r="AM24" s="102" t="str">
        <f>VLOOKUP($AE24,Usinas!$B$3:$H$241,7,FALSE)</f>
        <v>PARANA</v>
      </c>
      <c r="AN24" s="102" t="str">
        <f>VLOOKUP($AE24,Usinas!$B$3:$D$241,3,FALSE)</f>
        <v>GRANDE</v>
      </c>
      <c r="AP24" s="103">
        <v>4</v>
      </c>
      <c r="AQ24" s="103" t="str">
        <f>IF(BA24=1,VLOOKUP($AP24,Usinas!$B$3:$F$244,2,0),"")</f>
        <v/>
      </c>
      <c r="AR24" s="103" t="str">
        <f>IF(BA24=1,VLOOKUP($AP24,Usinas!$B$3:$F$241,3,0),"")</f>
        <v/>
      </c>
      <c r="AS24" s="103" t="str">
        <f>IF(BA24,VLOOKUP($AP24,Usinas!$B$3:$F$244,4,0),"")</f>
        <v/>
      </c>
      <c r="AT24" s="103" t="str">
        <f t="shared" si="39"/>
        <v/>
      </c>
      <c r="AU24" s="104" t="str">
        <f t="shared" si="36"/>
        <v/>
      </c>
      <c r="AV24" s="104" t="str">
        <f t="shared" si="36"/>
        <v/>
      </c>
      <c r="AW24" s="104" t="str">
        <f t="shared" si="36"/>
        <v/>
      </c>
      <c r="AX24" s="104" t="str">
        <f t="shared" si="36"/>
        <v/>
      </c>
      <c r="AY24" s="104" t="str">
        <f t="shared" si="36"/>
        <v/>
      </c>
      <c r="AZ24" s="104" t="str">
        <f t="shared" si="36"/>
        <v/>
      </c>
      <c r="BA24" s="103">
        <f t="shared" si="40"/>
        <v>0</v>
      </c>
      <c r="BB24" s="103">
        <f t="shared" si="41"/>
        <v>0</v>
      </c>
      <c r="BC24" s="103" t="str">
        <f>IF(BA24=1,VLOOKUP($AP24,Usinas!$B$3:$H$244,7,0),"")</f>
        <v/>
      </c>
      <c r="BE24" s="103">
        <v>40</v>
      </c>
      <c r="BF24" s="104">
        <f t="shared" ref="BF24:BK24" si="51">VLOOKUP(240,$AE$21:$AK$211,BF$18,0)-0.1*(VLOOKUP(161,$AE$21:$AK$211,BF$18,0)-VLOOKUP(117,$AE$21:$AK$211,BF$18,0)-VLOOKUP(118,$AE$21:$AK$211,BF$18,0))-VLOOKUP(117,$AE$21:$AK$211,BF$18,0)-VLOOKUP(118,$AE$21:$AK$211,BF$18,0)</f>
        <v>726.9</v>
      </c>
      <c r="BG24" s="104">
        <f t="shared" si="51"/>
        <v>1010.9000000000001</v>
      </c>
      <c r="BH24" s="104">
        <f t="shared" si="51"/>
        <v>1164.3</v>
      </c>
      <c r="BI24" s="104">
        <f t="shared" si="51"/>
        <v>1276</v>
      </c>
      <c r="BJ24" s="104">
        <f t="shared" si="51"/>
        <v>1301.8</v>
      </c>
      <c r="BK24" s="104">
        <f t="shared" si="51"/>
        <v>1328.8</v>
      </c>
      <c r="BM24" s="105">
        <f t="shared" si="44"/>
        <v>6</v>
      </c>
      <c r="BN24" s="105">
        <f t="shared" si="45"/>
        <v>7</v>
      </c>
      <c r="BO24" s="151">
        <f>IF($BP$15=1,IFERROR(VLOOKUP(BN24,$BZ$20:CA187,2,0),0),VALUE(RIGHT(LEFT($B33,21),10)))</f>
        <v>1139</v>
      </c>
      <c r="BP24" s="105">
        <f t="shared" si="46"/>
        <v>1455</v>
      </c>
      <c r="BQ24" s="105">
        <f t="shared" si="47"/>
        <v>1612</v>
      </c>
      <c r="BR24" s="105">
        <f t="shared" si="48"/>
        <v>1657</v>
      </c>
      <c r="BS24" s="105">
        <f t="shared" si="49"/>
        <v>1438</v>
      </c>
      <c r="BT24" s="105">
        <f t="shared" si="50"/>
        <v>1443</v>
      </c>
      <c r="BU24" s="85"/>
      <c r="BV24" s="97" t="s">
        <v>329</v>
      </c>
      <c r="BW24" s="98" t="s">
        <v>37</v>
      </c>
      <c r="BX24" s="97" t="str">
        <f t="shared" si="38"/>
        <v>REE ITAIPU</v>
      </c>
      <c r="BZ24" s="147">
        <v>7</v>
      </c>
      <c r="CA24" s="148">
        <v>726</v>
      </c>
      <c r="CB24" s="87"/>
      <c r="CC24" s="87"/>
      <c r="CF24" s="89"/>
      <c r="CG24" s="90"/>
      <c r="CH24" s="87"/>
      <c r="CI24" s="87"/>
      <c r="CJ24" s="87"/>
      <c r="CK24" s="87"/>
      <c r="CL24" s="87"/>
      <c r="CM24" s="87"/>
    </row>
    <row r="25" spans="1:91" ht="15.6" x14ac:dyDescent="0.3">
      <c r="J25" s="199">
        <f t="shared" si="19"/>
        <v>5126</v>
      </c>
      <c r="L25" s="127" t="s">
        <v>338</v>
      </c>
      <c r="M25" s="60">
        <f t="shared" si="20"/>
        <v>3106.0200999999997</v>
      </c>
      <c r="N25" s="60">
        <f t="shared" si="21"/>
        <v>3544.5234</v>
      </c>
      <c r="O25" s="60">
        <f t="shared" si="22"/>
        <v>4494.9492000000009</v>
      </c>
      <c r="P25" s="60">
        <f t="shared" si="23"/>
        <v>4753.3877999999995</v>
      </c>
      <c r="Q25" s="60">
        <f t="shared" si="24"/>
        <v>4913.0411000000004</v>
      </c>
      <c r="R25" s="60">
        <f t="shared" si="25"/>
        <v>5144.0335999999998</v>
      </c>
      <c r="S25" s="198">
        <f t="shared" si="26"/>
        <v>4298.6893806451617</v>
      </c>
      <c r="T25" s="160">
        <f t="shared" si="27"/>
        <v>1.1698387254790077</v>
      </c>
      <c r="U25" s="180">
        <f>INDEX(Enas!$V$3:$AG$15,7,MONTH($R$1))</f>
        <v>3674.6</v>
      </c>
      <c r="V25" s="63">
        <v>0.71709759367043258</v>
      </c>
      <c r="W25" s="187">
        <v>8</v>
      </c>
      <c r="X25" s="187">
        <v>0.54369999999999996</v>
      </c>
      <c r="Z25" s="101">
        <v>5</v>
      </c>
      <c r="AA25" s="101">
        <v>0</v>
      </c>
      <c r="AB25" s="101">
        <v>0</v>
      </c>
      <c r="AD25" s="102">
        <f t="shared" si="28"/>
        <v>7</v>
      </c>
      <c r="AE25" s="102">
        <f t="shared" si="29"/>
        <v>8</v>
      </c>
      <c r="AF25" s="102">
        <f t="shared" si="30"/>
        <v>1580</v>
      </c>
      <c r="AG25" s="102">
        <f t="shared" si="31"/>
        <v>2007</v>
      </c>
      <c r="AH25" s="102">
        <f t="shared" si="32"/>
        <v>2243</v>
      </c>
      <c r="AI25" s="102">
        <f t="shared" si="33"/>
        <v>2318</v>
      </c>
      <c r="AJ25" s="102">
        <f t="shared" si="34"/>
        <v>2024</v>
      </c>
      <c r="AK25" s="102">
        <f t="shared" si="35"/>
        <v>2029</v>
      </c>
      <c r="AL25" s="102">
        <f>VLOOKUP($AE25,Usinas!$B$3:$F$241,5,FALSE)</f>
        <v>1</v>
      </c>
      <c r="AM25" s="102" t="str">
        <f>VLOOKUP($AE25,Usinas!$B$3:$H$241,7,FALSE)</f>
        <v>PARANA</v>
      </c>
      <c r="AN25" s="102" t="str">
        <f>VLOOKUP($AE25,Usinas!$B$3:$D$241,3,FALSE)</f>
        <v>GRANDE</v>
      </c>
      <c r="AP25" s="103">
        <v>5</v>
      </c>
      <c r="AQ25" s="103" t="str">
        <f>IF(BA25=1,VLOOKUP($AP25,Usinas!$B$3:$F$244,2,0),"")</f>
        <v/>
      </c>
      <c r="AR25" s="103" t="str">
        <f>IF(BA25=1,VLOOKUP($AP25,Usinas!$B$3:$F$241,3,0),"")</f>
        <v/>
      </c>
      <c r="AS25" s="103" t="str">
        <f>IF(BA25,VLOOKUP($AP25,Usinas!$B$3:$F$244,4,0),"")</f>
        <v/>
      </c>
      <c r="AT25" s="103" t="str">
        <f t="shared" si="39"/>
        <v/>
      </c>
      <c r="AU25" s="104" t="str">
        <f t="shared" si="36"/>
        <v/>
      </c>
      <c r="AV25" s="104" t="str">
        <f t="shared" si="36"/>
        <v/>
      </c>
      <c r="AW25" s="104" t="str">
        <f t="shared" si="36"/>
        <v/>
      </c>
      <c r="AX25" s="104" t="str">
        <f t="shared" si="36"/>
        <v/>
      </c>
      <c r="AY25" s="104" t="str">
        <f t="shared" si="36"/>
        <v/>
      </c>
      <c r="AZ25" s="104" t="str">
        <f t="shared" si="36"/>
        <v/>
      </c>
      <c r="BA25" s="103">
        <f t="shared" si="40"/>
        <v>0</v>
      </c>
      <c r="BB25" s="103">
        <f t="shared" si="41"/>
        <v>0</v>
      </c>
      <c r="BC25" s="103" t="str">
        <f>IF(BA25=1,VLOOKUP($AP25,Usinas!$B$3:$H$244,7,0),"")</f>
        <v/>
      </c>
      <c r="BE25" s="103">
        <v>42</v>
      </c>
      <c r="BF25" s="104">
        <f t="shared" ref="BF25:BK25" si="52">VLOOKUP(242,$AE$21:$AK$211,BF$18,0)-0.1*(VLOOKUP(161,$AE$21:$AK$211,BF$18,0)-VLOOKUP(117,$AE$21:$AK$211,BF$18,0)-VLOOKUP(118,$AE$21:$AK$211,BF$18,0))-VLOOKUP(117,$AE$21:$AK$211,BF$18,0)-VLOOKUP(118,$AE$21:$AK$211,BF$18,0)</f>
        <v>742.9</v>
      </c>
      <c r="BG25" s="104">
        <f t="shared" si="52"/>
        <v>1030.9000000000001</v>
      </c>
      <c r="BH25" s="104">
        <f t="shared" si="52"/>
        <v>1188.3</v>
      </c>
      <c r="BI25" s="104">
        <f t="shared" si="52"/>
        <v>1331</v>
      </c>
      <c r="BJ25" s="104">
        <f t="shared" si="52"/>
        <v>1340.8</v>
      </c>
      <c r="BK25" s="104">
        <f t="shared" si="52"/>
        <v>1407.8</v>
      </c>
      <c r="BM25" s="105">
        <f t="shared" si="44"/>
        <v>7</v>
      </c>
      <c r="BN25" s="105">
        <f t="shared" si="45"/>
        <v>8</v>
      </c>
      <c r="BO25" s="151">
        <f>IF($BP$15=1,IFERROR(VLOOKUP(BN25,$BZ$20:CA188,2,0),0),VALUE(RIGHT(LEFT($B34,21),10)))</f>
        <v>1159</v>
      </c>
      <c r="BP25" s="105">
        <f t="shared" si="46"/>
        <v>1472</v>
      </c>
      <c r="BQ25" s="105">
        <f t="shared" si="47"/>
        <v>1645</v>
      </c>
      <c r="BR25" s="105">
        <f t="shared" si="48"/>
        <v>1700</v>
      </c>
      <c r="BS25" s="105">
        <f t="shared" si="49"/>
        <v>1484</v>
      </c>
      <c r="BT25" s="105">
        <f t="shared" si="50"/>
        <v>1488</v>
      </c>
      <c r="BU25" s="85"/>
      <c r="BV25" s="97" t="s">
        <v>329</v>
      </c>
      <c r="BW25" s="98" t="s">
        <v>292</v>
      </c>
      <c r="BX25" s="97" t="str">
        <f t="shared" si="38"/>
        <v>REE PARANA</v>
      </c>
      <c r="BZ25" s="147">
        <v>8</v>
      </c>
      <c r="CA25" s="148">
        <v>734</v>
      </c>
      <c r="CB25" s="106"/>
      <c r="CC25" s="87"/>
      <c r="CD25" s="107"/>
      <c r="CE25" s="78"/>
      <c r="CF25" s="89"/>
      <c r="CG25" s="90"/>
      <c r="CH25" s="87"/>
      <c r="CI25" s="87"/>
      <c r="CJ25" s="87"/>
      <c r="CK25" s="87"/>
      <c r="CL25" s="87"/>
      <c r="CM25" s="87"/>
    </row>
    <row r="26" spans="1:91" ht="15.6" x14ac:dyDescent="0.3">
      <c r="J26" s="199">
        <f t="shared" si="19"/>
        <v>479</v>
      </c>
      <c r="L26" s="59" t="s">
        <v>165</v>
      </c>
      <c r="M26" s="60">
        <f t="shared" si="20"/>
        <v>4135.847600000001</v>
      </c>
      <c r="N26" s="60">
        <f t="shared" si="21"/>
        <v>4260.4780000000001</v>
      </c>
      <c r="O26" s="60">
        <f t="shared" si="22"/>
        <v>4567.1696000000002</v>
      </c>
      <c r="P26" s="60">
        <f t="shared" si="23"/>
        <v>4597.5515000000005</v>
      </c>
      <c r="Q26" s="60">
        <f t="shared" si="24"/>
        <v>4496.3099999999995</v>
      </c>
      <c r="R26" s="60">
        <f t="shared" si="25"/>
        <v>3986.3642</v>
      </c>
      <c r="S26" s="198">
        <f t="shared" si="26"/>
        <v>4447.0356935483869</v>
      </c>
      <c r="T26" s="160">
        <f t="shared" si="27"/>
        <v>1.3086175299633009</v>
      </c>
      <c r="U26" s="180">
        <f>INDEX(Enas!$V$3:$AG$15,8,MONTH($R$1))</f>
        <v>3398.27</v>
      </c>
      <c r="V26" s="183">
        <v>2.0054619582922939</v>
      </c>
      <c r="W26" s="187">
        <v>9</v>
      </c>
      <c r="X26" s="187">
        <v>0.39439999999999997</v>
      </c>
      <c r="Z26" s="101">
        <v>6</v>
      </c>
      <c r="AA26" s="101">
        <v>1</v>
      </c>
      <c r="AB26" s="101">
        <v>0.81299999999999994</v>
      </c>
      <c r="AD26" s="102">
        <f t="shared" si="28"/>
        <v>8</v>
      </c>
      <c r="AE26" s="102">
        <f t="shared" si="29"/>
        <v>9</v>
      </c>
      <c r="AF26" s="102">
        <f t="shared" si="30"/>
        <v>1590</v>
      </c>
      <c r="AG26" s="102">
        <f t="shared" si="31"/>
        <v>2011</v>
      </c>
      <c r="AH26" s="102">
        <f t="shared" si="32"/>
        <v>2259</v>
      </c>
      <c r="AI26" s="102">
        <f t="shared" si="33"/>
        <v>2344</v>
      </c>
      <c r="AJ26" s="102">
        <f t="shared" si="34"/>
        <v>2051</v>
      </c>
      <c r="AK26" s="102">
        <f t="shared" si="35"/>
        <v>2055</v>
      </c>
      <c r="AL26" s="102">
        <f>VLOOKUP($AE26,Usinas!$B$3:$F$241,5,FALSE)</f>
        <v>1</v>
      </c>
      <c r="AM26" s="102" t="str">
        <f>VLOOKUP($AE26,Usinas!$B$3:$H$241,7,FALSE)</f>
        <v>PARANA</v>
      </c>
      <c r="AN26" s="102" t="str">
        <f>VLOOKUP($AE26,Usinas!$B$3:$D$241,3,FALSE)</f>
        <v>GRANDE</v>
      </c>
      <c r="AP26" s="103">
        <v>6</v>
      </c>
      <c r="AQ26" s="103" t="str">
        <f>IF(BA26=1,VLOOKUP($AP26,Usinas!$B$3:$F$244,2,0),"")</f>
        <v>FURNAS</v>
      </c>
      <c r="AR26" s="103" t="str">
        <f>IF(BA26=1,VLOOKUP($AP26,Usinas!$B$3:$F$241,3,0),"")</f>
        <v>GRANDE</v>
      </c>
      <c r="AS26" s="103" t="str">
        <f>IF(BA26,VLOOKUP($AP26,Usinas!$B$3:$F$244,4,0),"")</f>
        <v>SUDESTE</v>
      </c>
      <c r="AT26" s="103">
        <f t="shared" si="39"/>
        <v>0.81299999999999994</v>
      </c>
      <c r="AU26" s="104">
        <f t="shared" si="36"/>
        <v>1162.5899999999999</v>
      </c>
      <c r="AV26" s="104">
        <f t="shared" si="36"/>
        <v>1497.5459999999998</v>
      </c>
      <c r="AW26" s="104">
        <f t="shared" si="36"/>
        <v>1630.8779999999999</v>
      </c>
      <c r="AX26" s="104">
        <f t="shared" si="36"/>
        <v>1622.7479999999998</v>
      </c>
      <c r="AY26" s="104">
        <f t="shared" si="36"/>
        <v>1387.7909999999999</v>
      </c>
      <c r="AZ26" s="104">
        <f t="shared" si="36"/>
        <v>1386.165</v>
      </c>
      <c r="BA26" s="103">
        <f t="shared" si="40"/>
        <v>1</v>
      </c>
      <c r="BB26" s="103">
        <f t="shared" si="41"/>
        <v>0</v>
      </c>
      <c r="BC26" s="103" t="str">
        <f>IF(BA26=1,VLOOKUP($AP26,Usinas!$B$3:$H$244,7,0),"")</f>
        <v>PARANA</v>
      </c>
      <c r="BE26" s="103">
        <v>43</v>
      </c>
      <c r="BF26" s="104">
        <f t="shared" ref="BF26:BK26" si="53">VLOOKUP(243,$AE$21:$AK$211,BF$18,0)-0.1*(VLOOKUP(161,$AE$21:$AK$211,BF$18,0)-VLOOKUP(117,$AE$21:$AK$211,BF$18,0)-VLOOKUP(118,$AE$21:$AK$211,BF$18,0))-VLOOKUP(117,$AE$21:$AK$211,BF$18,0)-VLOOKUP(118,$AE$21:$AK$211,BF$18,0)</f>
        <v>745.9</v>
      </c>
      <c r="BG26" s="104">
        <f t="shared" si="53"/>
        <v>994.90000000000009</v>
      </c>
      <c r="BH26" s="104">
        <f t="shared" si="53"/>
        <v>1168.3</v>
      </c>
      <c r="BI26" s="104">
        <f t="shared" si="53"/>
        <v>1408</v>
      </c>
      <c r="BJ26" s="104">
        <f t="shared" si="53"/>
        <v>1337.8</v>
      </c>
      <c r="BK26" s="104">
        <f t="shared" si="53"/>
        <v>1531.8</v>
      </c>
      <c r="BM26" s="105">
        <f t="shared" si="44"/>
        <v>8</v>
      </c>
      <c r="BN26" s="105">
        <f t="shared" si="45"/>
        <v>9</v>
      </c>
      <c r="BO26" s="151">
        <f>IF($BP$15=1,IFERROR(VLOOKUP(BN26,$BZ$20:CA189,2,0),0),VALUE(RIGHT(LEFT($B35,21),10)))</f>
        <v>1166</v>
      </c>
      <c r="BP26" s="105">
        <f t="shared" si="46"/>
        <v>1475</v>
      </c>
      <c r="BQ26" s="105">
        <f t="shared" si="47"/>
        <v>1657</v>
      </c>
      <c r="BR26" s="105">
        <f t="shared" si="48"/>
        <v>1719</v>
      </c>
      <c r="BS26" s="105">
        <f t="shared" si="49"/>
        <v>1504</v>
      </c>
      <c r="BT26" s="105">
        <f t="shared" si="50"/>
        <v>1507</v>
      </c>
      <c r="BU26" s="85"/>
      <c r="BV26" s="97" t="s">
        <v>329</v>
      </c>
      <c r="BW26" s="98" t="s">
        <v>165</v>
      </c>
      <c r="BX26" s="97" t="str">
        <f t="shared" si="38"/>
        <v>REE SUL</v>
      </c>
      <c r="BZ26" s="147">
        <v>9</v>
      </c>
      <c r="CA26" s="148">
        <v>734</v>
      </c>
      <c r="CB26" s="106"/>
      <c r="CC26" s="87"/>
      <c r="CD26" s="107"/>
      <c r="CE26" s="78"/>
      <c r="CF26" s="89"/>
      <c r="CG26" s="90"/>
      <c r="CH26" s="87"/>
      <c r="CI26" s="87"/>
      <c r="CJ26" s="87"/>
      <c r="CK26" s="87"/>
      <c r="CL26" s="87"/>
      <c r="CM26" s="87"/>
    </row>
    <row r="27" spans="1:91" ht="15.6" x14ac:dyDescent="0.3">
      <c r="L27" s="127" t="s">
        <v>339</v>
      </c>
      <c r="M27" s="60">
        <f>SUMIFS(AU$21:AU$372,$BA$21:$BA$372,1,$BC$21:$BC$372,$L27)</f>
        <v>4058.8368</v>
      </c>
      <c r="N27" s="60">
        <f t="shared" si="21"/>
        <v>4397.5357999999997</v>
      </c>
      <c r="O27" s="60">
        <f t="shared" si="22"/>
        <v>4700.4544999999998</v>
      </c>
      <c r="P27" s="60">
        <f t="shared" si="23"/>
        <v>4723.0329999999994</v>
      </c>
      <c r="Q27" s="60">
        <f t="shared" si="24"/>
        <v>4475.2623000000003</v>
      </c>
      <c r="R27" s="60">
        <f t="shared" si="25"/>
        <v>4141.8834000000006</v>
      </c>
      <c r="S27" s="198">
        <f t="shared" si="26"/>
        <v>4524.2099870967741</v>
      </c>
      <c r="T27" s="160">
        <f t="shared" si="27"/>
        <v>1.0826991526182619</v>
      </c>
      <c r="U27" s="180">
        <f>INDEX(Enas!$V$3:$AG$15,9,MONTH($R$1))</f>
        <v>4178.6400000000003</v>
      </c>
      <c r="V27" s="63">
        <v>1.5737155964935363</v>
      </c>
      <c r="W27" s="187">
        <v>10</v>
      </c>
      <c r="X27" s="187">
        <v>0.1452</v>
      </c>
      <c r="Z27" s="101">
        <v>7</v>
      </c>
      <c r="AA27" s="101">
        <v>1</v>
      </c>
      <c r="AB27" s="101">
        <v>0.34710000000000002</v>
      </c>
      <c r="AD27" s="102">
        <f t="shared" si="28"/>
        <v>9</v>
      </c>
      <c r="AE27" s="102">
        <f t="shared" si="29"/>
        <v>10</v>
      </c>
      <c r="AF27" s="102">
        <f t="shared" si="30"/>
        <v>1621</v>
      </c>
      <c r="AG27" s="102">
        <f t="shared" si="31"/>
        <v>2035</v>
      </c>
      <c r="AH27" s="102">
        <f t="shared" si="32"/>
        <v>2311</v>
      </c>
      <c r="AI27" s="102">
        <f t="shared" si="33"/>
        <v>2412</v>
      </c>
      <c r="AJ27" s="102">
        <f t="shared" si="34"/>
        <v>2129</v>
      </c>
      <c r="AK27" s="102">
        <f t="shared" si="35"/>
        <v>2126</v>
      </c>
      <c r="AL27" s="102">
        <f>VLOOKUP($AE27,Usinas!$B$3:$F$241,5,FALSE)</f>
        <v>1</v>
      </c>
      <c r="AM27" s="102" t="str">
        <f>VLOOKUP($AE27,Usinas!$B$3:$H$241,7,FALSE)</f>
        <v>PARANA</v>
      </c>
      <c r="AN27" s="102" t="str">
        <f>VLOOKUP($AE27,Usinas!$B$3:$D$241,3,FALSE)</f>
        <v>GRANDE</v>
      </c>
      <c r="AP27" s="103">
        <v>7</v>
      </c>
      <c r="AQ27" s="103" t="str">
        <f>IF(BA27=1,VLOOKUP($AP27,Usinas!$B$3:$F$244,2,0),"")</f>
        <v>M. DE MORAES</v>
      </c>
      <c r="AR27" s="103" t="str">
        <f>IF(BA27=1,VLOOKUP($AP27,Usinas!$B$3:$F$241,3,0),"")</f>
        <v>GRANDE</v>
      </c>
      <c r="AS27" s="103" t="str">
        <f>IF(BA27,VLOOKUP($AP27,Usinas!$B$3:$F$244,4,0),"")</f>
        <v>SUDESTE</v>
      </c>
      <c r="AT27" s="103">
        <f t="shared" si="39"/>
        <v>0.34710000000000002</v>
      </c>
      <c r="AU27" s="104">
        <f t="shared" si="36"/>
        <v>539.04629999999997</v>
      </c>
      <c r="AV27" s="104">
        <f t="shared" si="36"/>
        <v>688.64640000000009</v>
      </c>
      <c r="AW27" s="104">
        <f t="shared" si="36"/>
        <v>762.92580000000009</v>
      </c>
      <c r="AX27" s="104">
        <f t="shared" si="36"/>
        <v>784.09890000000007</v>
      </c>
      <c r="AY27" s="104">
        <f t="shared" si="36"/>
        <v>680.66309999999999</v>
      </c>
      <c r="AZ27" s="104">
        <f t="shared" si="36"/>
        <v>683.09280000000001</v>
      </c>
      <c r="BA27" s="103">
        <f t="shared" si="40"/>
        <v>1</v>
      </c>
      <c r="BB27" s="103">
        <f t="shared" si="41"/>
        <v>0</v>
      </c>
      <c r="BC27" s="103" t="str">
        <f>IF(BA27=1,VLOOKUP($AP27,Usinas!$B$3:$H$244,7,0),"")</f>
        <v>PARANA</v>
      </c>
      <c r="BE27" s="103">
        <v>44</v>
      </c>
      <c r="BF27" s="104">
        <f t="shared" ref="BF27:BK27" si="54">VLOOKUP(244,$AE$21:$AK$211,BF$18,0)-0.1*(VLOOKUP(161,$AE$21:$AK$211,BF$18,0)-VLOOKUP(117,$AE$21:$AK$211,BF$18,0)-VLOOKUP(118,$AE$21:$AK$211,BF$18,0))-VLOOKUP(117,$AE$21:$AK$211,BF$18,0)-VLOOKUP(118,$AE$21:$AK$211,BF$18,0)</f>
        <v>8006.9</v>
      </c>
      <c r="BG27" s="104">
        <f t="shared" si="54"/>
        <v>9835.9</v>
      </c>
      <c r="BH27" s="104">
        <f t="shared" si="54"/>
        <v>11237.3</v>
      </c>
      <c r="BI27" s="104">
        <f t="shared" si="54"/>
        <v>11905</v>
      </c>
      <c r="BJ27" s="104">
        <f t="shared" si="54"/>
        <v>11875.8</v>
      </c>
      <c r="BK27" s="104">
        <f t="shared" si="54"/>
        <v>12189.8</v>
      </c>
      <c r="BM27" s="105">
        <f t="shared" si="44"/>
        <v>9</v>
      </c>
      <c r="BN27" s="105">
        <f t="shared" si="45"/>
        <v>10</v>
      </c>
      <c r="BO27" s="151">
        <f>IF($BP$15=1,IFERROR(VLOOKUP(BN27,$BZ$20:CA190,2,0),0),VALUE(RIGHT(LEFT($B36,21),10)))</f>
        <v>1189</v>
      </c>
      <c r="BP27" s="105">
        <f t="shared" si="46"/>
        <v>1492</v>
      </c>
      <c r="BQ27" s="105">
        <f t="shared" si="47"/>
        <v>1695</v>
      </c>
      <c r="BR27" s="105">
        <f t="shared" si="48"/>
        <v>1769</v>
      </c>
      <c r="BS27" s="105">
        <f t="shared" si="49"/>
        <v>1561</v>
      </c>
      <c r="BT27" s="105">
        <f t="shared" si="50"/>
        <v>1559</v>
      </c>
      <c r="BU27" s="85"/>
      <c r="BV27" s="97" t="s">
        <v>329</v>
      </c>
      <c r="BW27" s="98" t="s">
        <v>166</v>
      </c>
      <c r="BX27" s="97" t="str">
        <f t="shared" si="38"/>
        <v>REE NORDESTE</v>
      </c>
      <c r="BZ27" s="147">
        <v>10</v>
      </c>
      <c r="CA27" s="148">
        <v>741</v>
      </c>
      <c r="CB27" s="106"/>
      <c r="CC27" s="87"/>
      <c r="CD27" s="107"/>
      <c r="CE27" s="78"/>
      <c r="CF27" s="89"/>
      <c r="CG27" s="90"/>
      <c r="CH27" s="87"/>
      <c r="CI27" s="87"/>
      <c r="CJ27" s="87"/>
      <c r="CK27" s="87"/>
      <c r="CL27" s="87"/>
      <c r="CM27" s="87"/>
    </row>
    <row r="28" spans="1:91" ht="15.6" x14ac:dyDescent="0.3">
      <c r="B28" s="42">
        <v>169</v>
      </c>
      <c r="J28" s="201">
        <f>191-COUNTBLANK(J30:J220)</f>
        <v>167</v>
      </c>
      <c r="L28" s="59" t="s">
        <v>166</v>
      </c>
      <c r="M28" s="60">
        <f t="shared" si="20"/>
        <v>8456.2247000000007</v>
      </c>
      <c r="N28" s="60">
        <f t="shared" si="21"/>
        <v>8567.3284000000003</v>
      </c>
      <c r="O28" s="60">
        <f t="shared" si="22"/>
        <v>9265.6949000000004</v>
      </c>
      <c r="P28" s="60">
        <f t="shared" si="23"/>
        <v>10265.762000000001</v>
      </c>
      <c r="Q28" s="60">
        <f t="shared" si="24"/>
        <v>10164.9022</v>
      </c>
      <c r="R28" s="60">
        <f t="shared" si="25"/>
        <v>9678.1739999999991</v>
      </c>
      <c r="S28" s="198">
        <f t="shared" si="26"/>
        <v>9458.5318258064508</v>
      </c>
      <c r="T28" s="160">
        <f t="shared" si="27"/>
        <v>0.69728604708712194</v>
      </c>
      <c r="U28" s="180">
        <f>INDEX(Enas!$V$3:$AG$15,10,MONTH($R$1))</f>
        <v>13564.78</v>
      </c>
      <c r="V28" s="63">
        <v>0.66617732434855681</v>
      </c>
      <c r="W28" s="187">
        <v>11</v>
      </c>
      <c r="X28" s="187">
        <v>0.2482</v>
      </c>
      <c r="Z28" s="101">
        <v>8</v>
      </c>
      <c r="AA28" s="101">
        <v>1</v>
      </c>
      <c r="AB28" s="101">
        <v>0.54369999999999996</v>
      </c>
      <c r="AD28" s="102">
        <f t="shared" si="28"/>
        <v>10</v>
      </c>
      <c r="AE28" s="102">
        <f t="shared" si="29"/>
        <v>11</v>
      </c>
      <c r="AF28" s="102">
        <f t="shared" si="30"/>
        <v>1707</v>
      </c>
      <c r="AG28" s="102">
        <f t="shared" si="31"/>
        <v>2114</v>
      </c>
      <c r="AH28" s="102">
        <f t="shared" si="32"/>
        <v>2434</v>
      </c>
      <c r="AI28" s="102">
        <f t="shared" si="33"/>
        <v>2553</v>
      </c>
      <c r="AJ28" s="102">
        <f t="shared" si="34"/>
        <v>2294</v>
      </c>
      <c r="AK28" s="102">
        <f t="shared" si="35"/>
        <v>2281</v>
      </c>
      <c r="AL28" s="102">
        <f>VLOOKUP($AE28,Usinas!$B$3:$F$241,5,FALSE)</f>
        <v>1</v>
      </c>
      <c r="AM28" s="102" t="str">
        <f>VLOOKUP($AE28,Usinas!$B$3:$H$241,7,FALSE)</f>
        <v>PARANA</v>
      </c>
      <c r="AN28" s="102" t="str">
        <f>VLOOKUP($AE28,Usinas!$B$3:$D$241,3,FALSE)</f>
        <v>GRANDE</v>
      </c>
      <c r="AP28" s="103">
        <v>8</v>
      </c>
      <c r="AQ28" s="103" t="str">
        <f>IF(BA28=1,VLOOKUP($AP28,Usinas!$B$3:$F$244,2,0),"")</f>
        <v>L.C.BARRETO</v>
      </c>
      <c r="AR28" s="103" t="str">
        <f>IF(BA28=1,VLOOKUP($AP28,Usinas!$B$3:$F$241,3,0),"")</f>
        <v>GRANDE</v>
      </c>
      <c r="AS28" s="103" t="str">
        <f>IF(BA28,VLOOKUP($AP28,Usinas!$B$3:$F$244,4,0),"")</f>
        <v>SUDESTE</v>
      </c>
      <c r="AT28" s="103">
        <f t="shared" si="39"/>
        <v>0.54369999999999996</v>
      </c>
      <c r="AU28" s="104">
        <f t="shared" si="36"/>
        <v>859.04599999999994</v>
      </c>
      <c r="AV28" s="104">
        <f t="shared" si="36"/>
        <v>1091.2058999999999</v>
      </c>
      <c r="AW28" s="104">
        <f t="shared" si="36"/>
        <v>1219.5191</v>
      </c>
      <c r="AX28" s="104">
        <f t="shared" si="36"/>
        <v>1260.2965999999999</v>
      </c>
      <c r="AY28" s="104">
        <f t="shared" si="36"/>
        <v>1100.4487999999999</v>
      </c>
      <c r="AZ28" s="104">
        <f t="shared" si="36"/>
        <v>1103.1672999999998</v>
      </c>
      <c r="BA28" s="103">
        <f t="shared" si="40"/>
        <v>1</v>
      </c>
      <c r="BB28" s="103">
        <f t="shared" si="41"/>
        <v>0</v>
      </c>
      <c r="BC28" s="103" t="str">
        <f>IF(BA28=1,VLOOKUP($AP28,Usinas!$B$3:$H$244,7,0),"")</f>
        <v>PARANA</v>
      </c>
      <c r="BE28" s="103">
        <v>45</v>
      </c>
      <c r="BF28" s="104">
        <f t="shared" ref="BF28:BK28" si="55">VLOOKUP(245,$AE$21:$AK$211,BF$18,0)-0.1*(VLOOKUP(161,$AE$21:$AK$211,BF$18,0)-VLOOKUP(117,$AE$21:$AK$211,BF$18,0)-VLOOKUP(118,$AE$21:$AK$211,BF$18,0))-VLOOKUP(117,$AE$21:$AK$211,BF$18,0)-VLOOKUP(118,$AE$21:$AK$211,BF$18,0)</f>
        <v>7788.9</v>
      </c>
      <c r="BG28" s="104">
        <f t="shared" si="55"/>
        <v>9437.9</v>
      </c>
      <c r="BH28" s="104">
        <f t="shared" si="55"/>
        <v>10808.3</v>
      </c>
      <c r="BI28" s="104">
        <f t="shared" si="55"/>
        <v>11466</v>
      </c>
      <c r="BJ28" s="104">
        <f t="shared" si="55"/>
        <v>11433.8</v>
      </c>
      <c r="BK28" s="104">
        <f t="shared" si="55"/>
        <v>11741.8</v>
      </c>
      <c r="BM28" s="105">
        <f t="shared" si="44"/>
        <v>10</v>
      </c>
      <c r="BN28" s="105">
        <f t="shared" si="45"/>
        <v>11</v>
      </c>
      <c r="BO28" s="151">
        <f>IF($BP$15=1,IFERROR(VLOOKUP(BN28,$BZ$20:CA191,2,0),0),VALUE(RIGHT(LEFT($B37,21),10)))</f>
        <v>1252</v>
      </c>
      <c r="BP28" s="105">
        <f t="shared" si="46"/>
        <v>1550</v>
      </c>
      <c r="BQ28" s="105">
        <f t="shared" si="47"/>
        <v>1785</v>
      </c>
      <c r="BR28" s="105">
        <f t="shared" si="48"/>
        <v>1872</v>
      </c>
      <c r="BS28" s="105">
        <f t="shared" si="49"/>
        <v>1682</v>
      </c>
      <c r="BT28" s="105">
        <f t="shared" si="50"/>
        <v>1673</v>
      </c>
      <c r="BU28" s="85"/>
      <c r="BV28" s="97" t="s">
        <v>329</v>
      </c>
      <c r="BW28" s="98" t="s">
        <v>167</v>
      </c>
      <c r="BX28" s="97" t="str">
        <f t="shared" si="38"/>
        <v>REE NORTE</v>
      </c>
      <c r="BZ28" s="147">
        <v>11</v>
      </c>
      <c r="CA28" s="148">
        <v>773</v>
      </c>
      <c r="CB28" s="106"/>
      <c r="CC28" s="87"/>
      <c r="CD28" s="107"/>
      <c r="CE28" s="78"/>
      <c r="CF28" s="89"/>
      <c r="CG28" s="90"/>
      <c r="CH28" s="87"/>
      <c r="CI28" s="87"/>
      <c r="CJ28" s="87"/>
      <c r="CK28" s="87"/>
      <c r="CL28" s="87"/>
      <c r="CM28" s="87"/>
    </row>
    <row r="29" spans="1:91" ht="15.6" x14ac:dyDescent="0.3">
      <c r="B29" s="224"/>
      <c r="C29" s="225"/>
      <c r="D29" s="225"/>
      <c r="E29" s="225"/>
      <c r="F29" s="225"/>
      <c r="G29" s="225"/>
      <c r="H29" s="226"/>
      <c r="I29" s="43"/>
      <c r="J29" s="92" t="s">
        <v>64</v>
      </c>
      <c r="L29" s="59" t="s">
        <v>167</v>
      </c>
      <c r="M29" s="60">
        <f t="shared" si="20"/>
        <v>5191.1016</v>
      </c>
      <c r="N29" s="60">
        <f t="shared" si="21"/>
        <v>5940.9295999999995</v>
      </c>
      <c r="O29" s="60">
        <f t="shared" si="22"/>
        <v>6684.8454000000002</v>
      </c>
      <c r="P29" s="60">
        <f t="shared" si="23"/>
        <v>7262.8327999999992</v>
      </c>
      <c r="Q29" s="60">
        <f t="shared" si="24"/>
        <v>8079.7611999999999</v>
      </c>
      <c r="R29" s="60">
        <f t="shared" si="25"/>
        <v>8806.5933999999997</v>
      </c>
      <c r="S29" s="198">
        <f t="shared" si="26"/>
        <v>6817.8028322580649</v>
      </c>
      <c r="T29" s="160">
        <f t="shared" si="27"/>
        <v>0.71734706821497307</v>
      </c>
      <c r="U29" s="180">
        <f>INDEX(Enas!$V$3:$AG$15,11,MONTH($R$1))</f>
        <v>9504.19</v>
      </c>
      <c r="V29" s="63">
        <v>0.78439216050389204</v>
      </c>
      <c r="W29" s="187">
        <v>12</v>
      </c>
      <c r="X29" s="187">
        <v>0.20119999999999999</v>
      </c>
      <c r="Z29" s="101">
        <v>9</v>
      </c>
      <c r="AA29" s="101">
        <v>1</v>
      </c>
      <c r="AB29" s="101">
        <v>0.39439999999999997</v>
      </c>
      <c r="AD29" s="102">
        <f t="shared" si="28"/>
        <v>11</v>
      </c>
      <c r="AE29" s="102">
        <f t="shared" si="29"/>
        <v>12</v>
      </c>
      <c r="AF29" s="102">
        <f t="shared" si="30"/>
        <v>1900</v>
      </c>
      <c r="AG29" s="102">
        <f t="shared" si="31"/>
        <v>2329</v>
      </c>
      <c r="AH29" s="102">
        <f t="shared" si="32"/>
        <v>2704</v>
      </c>
      <c r="AI29" s="102">
        <f t="shared" si="33"/>
        <v>2850</v>
      </c>
      <c r="AJ29" s="102">
        <f t="shared" si="34"/>
        <v>2630</v>
      </c>
      <c r="AK29" s="102">
        <f t="shared" si="35"/>
        <v>2614</v>
      </c>
      <c r="AL29" s="102">
        <f>VLOOKUP($AE29,Usinas!$B$3:$F$241,5,FALSE)</f>
        <v>1</v>
      </c>
      <c r="AM29" s="102" t="str">
        <f>VLOOKUP($AE29,Usinas!$B$3:$H$241,7,FALSE)</f>
        <v>PARANA</v>
      </c>
      <c r="AN29" s="102" t="str">
        <f>VLOOKUP($AE29,Usinas!$B$3:$D$241,3,FALSE)</f>
        <v>GRANDE</v>
      </c>
      <c r="AP29" s="103">
        <v>9</v>
      </c>
      <c r="AQ29" s="103" t="str">
        <f>IF(BA29=1,VLOOKUP($AP29,Usinas!$B$3:$F$244,2,0),"")</f>
        <v>JAGUARA</v>
      </c>
      <c r="AR29" s="103" t="str">
        <f>IF(BA29=1,VLOOKUP($AP29,Usinas!$B$3:$F$241,3,0),"")</f>
        <v>GRANDE</v>
      </c>
      <c r="AS29" s="103" t="str">
        <f>IF(BA29,VLOOKUP($AP29,Usinas!$B$3:$F$244,4,0),"")</f>
        <v>SUDESTE</v>
      </c>
      <c r="AT29" s="103">
        <f t="shared" si="39"/>
        <v>0.39439999999999997</v>
      </c>
      <c r="AU29" s="104">
        <f t="shared" si="36"/>
        <v>627.096</v>
      </c>
      <c r="AV29" s="104">
        <f t="shared" si="36"/>
        <v>793.13839999999993</v>
      </c>
      <c r="AW29" s="104">
        <f t="shared" si="36"/>
        <v>890.94959999999992</v>
      </c>
      <c r="AX29" s="104">
        <f t="shared" si="36"/>
        <v>924.47359999999992</v>
      </c>
      <c r="AY29" s="104">
        <f t="shared" si="36"/>
        <v>808.9144</v>
      </c>
      <c r="AZ29" s="104">
        <f t="shared" si="36"/>
        <v>810.49199999999996</v>
      </c>
      <c r="BA29" s="103">
        <f t="shared" si="40"/>
        <v>1</v>
      </c>
      <c r="BB29" s="103">
        <f t="shared" si="41"/>
        <v>0</v>
      </c>
      <c r="BC29" s="103" t="str">
        <f>IF(BA29=1,VLOOKUP($AP29,Usinas!$B$3:$H$244,7,0),"")</f>
        <v>PARANA</v>
      </c>
      <c r="BE29" s="103">
        <v>46</v>
      </c>
      <c r="BF29" s="104">
        <f t="shared" ref="BF29:BK29" si="56">VLOOKUP(246,$AE$21:$AK$211,BF$18,0)-0.1*(VLOOKUP(161,$AE$21:$AK$211,BF$18,0)-VLOOKUP(117,$AE$21:$AK$211,BF$18,0)-VLOOKUP(118,$AE$21:$AK$211,BF$18,0))-VLOOKUP(117,$AE$21:$AK$211,BF$18,0)-VLOOKUP(118,$AE$21:$AK$211,BF$18,0)</f>
        <v>8681.9</v>
      </c>
      <c r="BG29" s="104">
        <f t="shared" si="56"/>
        <v>9939.9</v>
      </c>
      <c r="BH29" s="104">
        <f t="shared" si="56"/>
        <v>11753.3</v>
      </c>
      <c r="BI29" s="104">
        <f t="shared" si="56"/>
        <v>12579</v>
      </c>
      <c r="BJ29" s="104">
        <f t="shared" si="56"/>
        <v>12688.8</v>
      </c>
      <c r="BK29" s="104">
        <f t="shared" si="56"/>
        <v>13179.8</v>
      </c>
      <c r="BM29" s="105">
        <f t="shared" si="44"/>
        <v>11</v>
      </c>
      <c r="BN29" s="105">
        <f t="shared" si="45"/>
        <v>12</v>
      </c>
      <c r="BO29" s="151">
        <f>IF($BP$15=1,IFERROR(VLOOKUP(BN29,$BZ$20:CA192,2,0),0),VALUE(RIGHT(LEFT($B38,21),10)))</f>
        <v>1393</v>
      </c>
      <c r="BP29" s="105">
        <f t="shared" si="46"/>
        <v>1708</v>
      </c>
      <c r="BQ29" s="105">
        <f t="shared" si="47"/>
        <v>1983</v>
      </c>
      <c r="BR29" s="105">
        <f t="shared" si="48"/>
        <v>2090</v>
      </c>
      <c r="BS29" s="105">
        <f t="shared" si="49"/>
        <v>1929</v>
      </c>
      <c r="BT29" s="105">
        <f t="shared" si="50"/>
        <v>1917</v>
      </c>
      <c r="BU29" s="85"/>
      <c r="BV29" s="97" t="s">
        <v>329</v>
      </c>
      <c r="BW29" s="98" t="s">
        <v>161</v>
      </c>
      <c r="BX29" s="97" t="str">
        <f t="shared" si="38"/>
        <v>REE BELO MONTE</v>
      </c>
      <c r="BZ29" s="147">
        <v>12</v>
      </c>
      <c r="CA29" s="148">
        <v>862</v>
      </c>
      <c r="CB29" s="106"/>
      <c r="CC29" s="87"/>
      <c r="CD29" s="107"/>
      <c r="CE29" s="78"/>
      <c r="CF29" s="89"/>
      <c r="CG29" s="90"/>
      <c r="CH29" s="87"/>
      <c r="CI29" s="87"/>
      <c r="CJ29" s="87"/>
      <c r="CK29" s="87"/>
      <c r="CL29" s="87"/>
      <c r="CM29" s="87"/>
    </row>
    <row r="30" spans="1:91" ht="15" customHeight="1" x14ac:dyDescent="0.3">
      <c r="B30" s="205" t="s">
        <v>887</v>
      </c>
      <c r="C30" s="205"/>
      <c r="D30" s="205"/>
      <c r="E30" s="205"/>
      <c r="F30" s="205"/>
      <c r="G30" s="205"/>
      <c r="H30" s="205"/>
      <c r="I30" s="43"/>
      <c r="J30" s="99" t="str">
        <f>IF(B30&lt;&gt;0,RIGHT("      "&amp;ROUND(AD21,0),6)&amp;(RIGHT("     "&amp;ROUND(AE21,0),5))&amp;RIGHT("          "&amp;ROUND(AF21,0),10)&amp;RIGHT("          "&amp;ROUND(AG21,),10)&amp;RIGHT("         "&amp;ROUND(AH21,0),10)&amp;RIGHT("          "&amp;ROUND(AI21,0),10)&amp;RIGHT("          "&amp;ROUND(AJ21,0),10)&amp;RIGHT("          "&amp;ROUND(AK21,0),10),"")</f>
        <v xml:space="preserve">     3    1       217       244       271       265       226       210</v>
      </c>
      <c r="L30" s="59" t="s">
        <v>161</v>
      </c>
      <c r="M30" s="60">
        <f>SUMIFS(AU$21:AU$372,$BA$21:$BA$372,1,$BC$21:$BC$372,$L30)</f>
        <v>2977.8267571428573</v>
      </c>
      <c r="N30" s="60">
        <f t="shared" si="21"/>
        <v>3856.4387999999999</v>
      </c>
      <c r="O30" s="60">
        <f t="shared" si="22"/>
        <v>4829.1503000000012</v>
      </c>
      <c r="P30" s="60">
        <f t="shared" si="23"/>
        <v>5855.245100000001</v>
      </c>
      <c r="Q30" s="60">
        <f t="shared" si="24"/>
        <v>6881.8799000000008</v>
      </c>
      <c r="R30" s="60">
        <f t="shared" si="25"/>
        <v>7594.7467999999999</v>
      </c>
      <c r="S30" s="198">
        <f t="shared" si="26"/>
        <v>5125.5638377880186</v>
      </c>
      <c r="T30" s="160">
        <f t="shared" si="27"/>
        <v>0.90818085035145268</v>
      </c>
      <c r="U30" s="180">
        <f>INDEX(Enas!$V$3:$AG$15,12,MONTH($R$1))</f>
        <v>5643.77</v>
      </c>
      <c r="V30" s="183">
        <v>0.64440975183191818</v>
      </c>
      <c r="W30" s="187">
        <v>14</v>
      </c>
      <c r="X30" s="187">
        <v>0.82589999999999997</v>
      </c>
      <c r="Z30" s="101">
        <v>10</v>
      </c>
      <c r="AA30" s="101">
        <v>1</v>
      </c>
      <c r="AB30" s="101">
        <v>0.1452</v>
      </c>
      <c r="AD30" s="102">
        <f t="shared" si="28"/>
        <v>12</v>
      </c>
      <c r="AE30" s="102">
        <f t="shared" si="29"/>
        <v>14</v>
      </c>
      <c r="AF30" s="102">
        <f t="shared" si="30"/>
        <v>86</v>
      </c>
      <c r="AG30" s="102">
        <f t="shared" si="31"/>
        <v>97</v>
      </c>
      <c r="AH30" s="102">
        <f t="shared" si="32"/>
        <v>91</v>
      </c>
      <c r="AI30" s="102">
        <f t="shared" si="33"/>
        <v>86</v>
      </c>
      <c r="AJ30" s="102">
        <f t="shared" si="34"/>
        <v>86</v>
      </c>
      <c r="AK30" s="102">
        <f t="shared" si="35"/>
        <v>91</v>
      </c>
      <c r="AL30" s="102">
        <f>VLOOKUP($AE30,Usinas!$B$3:$F$241,5,FALSE)</f>
        <v>1</v>
      </c>
      <c r="AM30" s="102" t="str">
        <f>VLOOKUP($AE30,Usinas!$B$3:$H$241,7,FALSE)</f>
        <v>PARANA</v>
      </c>
      <c r="AN30" s="102" t="str">
        <f>VLOOKUP($AE30,Usinas!$B$3:$D$241,3,FALSE)</f>
        <v>GRANDE</v>
      </c>
      <c r="AP30" s="103">
        <v>10</v>
      </c>
      <c r="AQ30" s="103" t="str">
        <f>IF(BA30=1,VLOOKUP($AP30,Usinas!$B$3:$F$244,2,0),"")</f>
        <v>IGARAPAVA</v>
      </c>
      <c r="AR30" s="103" t="str">
        <f>IF(BA30=1,VLOOKUP($AP30,Usinas!$B$3:$F$241,3,0),"")</f>
        <v>GRANDE</v>
      </c>
      <c r="AS30" s="103" t="str">
        <f>IF(BA30,VLOOKUP($AP30,Usinas!$B$3:$F$244,4,0),"")</f>
        <v>SUDESTE</v>
      </c>
      <c r="AT30" s="103">
        <f t="shared" si="39"/>
        <v>0.1452</v>
      </c>
      <c r="AU30" s="104">
        <f t="shared" si="36"/>
        <v>235.36920000000001</v>
      </c>
      <c r="AV30" s="104">
        <f t="shared" si="36"/>
        <v>295.48199999999997</v>
      </c>
      <c r="AW30" s="104">
        <f t="shared" si="36"/>
        <v>335.55719999999997</v>
      </c>
      <c r="AX30" s="104">
        <f t="shared" si="36"/>
        <v>350.22239999999999</v>
      </c>
      <c r="AY30" s="104">
        <f t="shared" si="36"/>
        <v>309.13079999999997</v>
      </c>
      <c r="AZ30" s="104">
        <f t="shared" si="36"/>
        <v>308.6952</v>
      </c>
      <c r="BA30" s="103">
        <f t="shared" si="40"/>
        <v>1</v>
      </c>
      <c r="BB30" s="103">
        <f t="shared" si="41"/>
        <v>0</v>
      </c>
      <c r="BC30" s="103" t="str">
        <f>IF(BA30=1,VLOOKUP($AP30,Usinas!$B$3:$H$244,7,0),"")</f>
        <v>PARANA</v>
      </c>
      <c r="BE30" s="103">
        <v>66</v>
      </c>
      <c r="BF30" s="104">
        <f t="shared" ref="BF30:BK30" si="57">VLOOKUP(266,$AE$21:$AK$211,BF$18,0)-0.1*(VLOOKUP(161,$AE$21:$AK$211,BF$18,0)-VLOOKUP(117,$AE$21:$AK$211,BF$18,0)-VLOOKUP(118,$AE$21:$AK$211,BF$18,0))-VLOOKUP(117,$AE$21:$AK$211,BF$18,0)-VLOOKUP(118,$AE$21:$AK$211,BF$18,0)</f>
        <v>13169.9</v>
      </c>
      <c r="BG30" s="104">
        <f t="shared" si="57"/>
        <v>14090.9</v>
      </c>
      <c r="BH30" s="104">
        <f t="shared" si="57"/>
        <v>16564.3</v>
      </c>
      <c r="BI30" s="104">
        <f t="shared" si="57"/>
        <v>18181</v>
      </c>
      <c r="BJ30" s="104">
        <f t="shared" si="57"/>
        <v>18076.8</v>
      </c>
      <c r="BK30" s="104">
        <f t="shared" si="57"/>
        <v>18587.8</v>
      </c>
      <c r="BM30" s="105">
        <f t="shared" si="44"/>
        <v>12</v>
      </c>
      <c r="BN30" s="105">
        <f t="shared" si="45"/>
        <v>14</v>
      </c>
      <c r="BO30" s="151">
        <f>IF($BP$15=1,IFERROR(VLOOKUP(BN30,$BZ$20:CA193,2,0),0),VALUE(RIGHT(LEFT($B39,21),10)))</f>
        <v>63</v>
      </c>
      <c r="BP30" s="105">
        <f t="shared" si="46"/>
        <v>71</v>
      </c>
      <c r="BQ30" s="105">
        <f t="shared" si="47"/>
        <v>67</v>
      </c>
      <c r="BR30" s="105">
        <f t="shared" si="48"/>
        <v>63</v>
      </c>
      <c r="BS30" s="105">
        <f t="shared" si="49"/>
        <v>63</v>
      </c>
      <c r="BT30" s="105">
        <f t="shared" si="50"/>
        <v>67</v>
      </c>
      <c r="BU30" s="85"/>
      <c r="BV30" s="97" t="s">
        <v>330</v>
      </c>
      <c r="BW30" s="98" t="s">
        <v>264</v>
      </c>
      <c r="BX30" s="97" t="str">
        <f>IFERROR(BV30&amp;" "&amp;BW30,"")</f>
        <v>BCA Alto Paraná</v>
      </c>
      <c r="BZ30" s="147">
        <v>14</v>
      </c>
      <c r="CA30" s="148">
        <v>39</v>
      </c>
      <c r="CB30" s="106"/>
      <c r="CC30" s="87"/>
      <c r="CD30" s="107"/>
      <c r="CE30" s="78"/>
      <c r="CF30" s="89"/>
      <c r="CG30" s="90"/>
      <c r="CH30" s="87"/>
      <c r="CI30" s="87"/>
      <c r="CJ30" s="87"/>
      <c r="CK30" s="87"/>
      <c r="CL30" s="87"/>
      <c r="CM30" s="87"/>
    </row>
    <row r="31" spans="1:91" ht="17.25" customHeight="1" x14ac:dyDescent="0.3">
      <c r="B31" s="99" t="s">
        <v>839</v>
      </c>
      <c r="C31" s="99"/>
      <c r="D31" s="99"/>
      <c r="E31" s="99"/>
      <c r="F31" s="99"/>
      <c r="G31" s="99"/>
      <c r="H31" s="99"/>
      <c r="I31" s="43"/>
      <c r="J31" s="99" t="str">
        <f>IF(B31&lt;&gt;0,RIGHT("      "&amp;ROUND(AD22,0),6)&amp;(RIGHT("     "&amp;ROUND(AE22,0),5))&amp;RIGHT("          "&amp;ROUND(AF22,0),10)&amp;RIGHT("          "&amp;ROUND(AG22,),10)&amp;RIGHT("         "&amp;ROUND(AH22,0),10)&amp;RIGHT("          "&amp;ROUND(AI22,0),10)&amp;RIGHT("          "&amp;ROUND(AJ22,0),10)&amp;RIGHT("          "&amp;ROUND(AK22,0),10),"")</f>
        <v xml:space="preserve">     4    2       218       247       273       267       228       211</v>
      </c>
      <c r="L31" s="127" t="s">
        <v>340</v>
      </c>
      <c r="M31" s="60">
        <f t="shared" si="20"/>
        <v>369.84379999999999</v>
      </c>
      <c r="N31" s="60">
        <f t="shared" si="21"/>
        <v>412.90899999999999</v>
      </c>
      <c r="O31" s="60">
        <f t="shared" si="22"/>
        <v>450.04340000000002</v>
      </c>
      <c r="P31" s="60">
        <f t="shared" si="23"/>
        <v>519.62799999999993</v>
      </c>
      <c r="Q31" s="60">
        <f t="shared" si="24"/>
        <v>579.52980000000002</v>
      </c>
      <c r="R31" s="60">
        <f t="shared" si="25"/>
        <v>663.34339999999997</v>
      </c>
      <c r="S31" s="198">
        <f t="shared" si="26"/>
        <v>478.84847741935482</v>
      </c>
      <c r="T31" s="160">
        <f t="shared" si="27"/>
        <v>0.94052300477158057</v>
      </c>
      <c r="U31" s="180">
        <f>INDEX(Enas!$V$3:$AG$15,13,MONTH($R$1))</f>
        <v>509.13</v>
      </c>
      <c r="V31" s="63">
        <v>1.4681295678311881</v>
      </c>
      <c r="W31" s="187">
        <v>15</v>
      </c>
      <c r="X31" s="187">
        <v>0.75019999999999998</v>
      </c>
      <c r="Z31" s="101">
        <v>11</v>
      </c>
      <c r="AA31" s="101">
        <v>1</v>
      </c>
      <c r="AB31" s="101">
        <v>0.2482</v>
      </c>
      <c r="AD31" s="102">
        <f t="shared" si="28"/>
        <v>13</v>
      </c>
      <c r="AE31" s="102">
        <f t="shared" si="29"/>
        <v>15</v>
      </c>
      <c r="AF31" s="102">
        <f t="shared" si="30"/>
        <v>136</v>
      </c>
      <c r="AG31" s="102">
        <f t="shared" si="31"/>
        <v>160</v>
      </c>
      <c r="AH31" s="102">
        <f t="shared" si="32"/>
        <v>147</v>
      </c>
      <c r="AI31" s="102">
        <f t="shared" si="33"/>
        <v>142</v>
      </c>
      <c r="AJ31" s="102">
        <f t="shared" si="34"/>
        <v>142</v>
      </c>
      <c r="AK31" s="102">
        <f t="shared" si="35"/>
        <v>150</v>
      </c>
      <c r="AL31" s="102">
        <f>VLOOKUP($AE31,Usinas!$B$3:$F$241,5,FALSE)</f>
        <v>1</v>
      </c>
      <c r="AM31" s="102" t="str">
        <f>VLOOKUP($AE31,Usinas!$B$3:$H$241,7,FALSE)</f>
        <v>PARANA</v>
      </c>
      <c r="AN31" s="102" t="str">
        <f>VLOOKUP($AE31,Usinas!$B$3:$D$241,3,FALSE)</f>
        <v>GRANDE</v>
      </c>
      <c r="AP31" s="103">
        <v>11</v>
      </c>
      <c r="AQ31" s="103" t="str">
        <f>IF(BA31=1,VLOOKUP($AP31,Usinas!$B$3:$F$244,2,0),"")</f>
        <v>VOLTA GRANDE</v>
      </c>
      <c r="AR31" s="103" t="str">
        <f>IF(BA31=1,VLOOKUP($AP31,Usinas!$B$3:$F$241,3,0),"")</f>
        <v>GRANDE</v>
      </c>
      <c r="AS31" s="103" t="str">
        <f>IF(BA31,VLOOKUP($AP31,Usinas!$B$3:$F$244,4,0),"")</f>
        <v>SUDESTE</v>
      </c>
      <c r="AT31" s="103">
        <f t="shared" si="39"/>
        <v>0.2482</v>
      </c>
      <c r="AU31" s="104">
        <f t="shared" ref="AU31:AZ40" si="58">IF($BA31=1,IFERROR(VLOOKUP($AP31,$AE$21:$AK$211,AU$19,0),VLOOKUP($AP31,$BE$21:$BK$65,AU$19,0))*$AT31,"")</f>
        <v>423.67740000000003</v>
      </c>
      <c r="AV31" s="104">
        <f t="shared" si="58"/>
        <v>524.69479999999999</v>
      </c>
      <c r="AW31" s="104">
        <f t="shared" si="58"/>
        <v>604.11879999999996</v>
      </c>
      <c r="AX31" s="104">
        <f t="shared" si="58"/>
        <v>633.65459999999996</v>
      </c>
      <c r="AY31" s="104">
        <f t="shared" si="58"/>
        <v>569.37080000000003</v>
      </c>
      <c r="AZ31" s="104">
        <f t="shared" si="58"/>
        <v>566.14419999999996</v>
      </c>
      <c r="BA31" s="103">
        <f t="shared" si="40"/>
        <v>1</v>
      </c>
      <c r="BB31" s="103">
        <f t="shared" si="41"/>
        <v>0</v>
      </c>
      <c r="BC31" s="103" t="str">
        <f>IF(BA31=1,VLOOKUP($AP31,Usinas!$B$3:$H$244,7,0),"")</f>
        <v>PARANA</v>
      </c>
      <c r="BE31" s="103">
        <v>70</v>
      </c>
      <c r="BF31" s="104">
        <f t="shared" ref="BF31:BK31" si="59">VLOOKUP(73,$AE$21:$AK$211,BF$18,0)-MIN(VLOOKUP(73,$AE$21:$AK$211,BF$18,0)-10,173.5)</f>
        <v>10</v>
      </c>
      <c r="BG31" s="104">
        <f t="shared" si="59"/>
        <v>10</v>
      </c>
      <c r="BH31" s="104">
        <f t="shared" si="59"/>
        <v>10</v>
      </c>
      <c r="BI31" s="104">
        <f t="shared" si="59"/>
        <v>10</v>
      </c>
      <c r="BJ31" s="104">
        <f t="shared" si="59"/>
        <v>10</v>
      </c>
      <c r="BK31" s="104">
        <f t="shared" si="59"/>
        <v>10</v>
      </c>
      <c r="BM31" s="105">
        <f t="shared" si="44"/>
        <v>13</v>
      </c>
      <c r="BN31" s="105">
        <f t="shared" si="45"/>
        <v>15</v>
      </c>
      <c r="BO31" s="151">
        <f>IF($BP$15=1,IFERROR(VLOOKUP(BN31,$BZ$20:CA194,2,0),0),VALUE(RIGHT(LEFT($B40,21),10)))</f>
        <v>100</v>
      </c>
      <c r="BP31" s="105">
        <f t="shared" si="46"/>
        <v>117</v>
      </c>
      <c r="BQ31" s="105">
        <f t="shared" si="47"/>
        <v>108</v>
      </c>
      <c r="BR31" s="105">
        <f t="shared" si="48"/>
        <v>104</v>
      </c>
      <c r="BS31" s="105">
        <f t="shared" si="49"/>
        <v>104</v>
      </c>
      <c r="BT31" s="105">
        <f t="shared" si="50"/>
        <v>110</v>
      </c>
      <c r="BU31" s="85"/>
      <c r="BV31" s="97" t="s">
        <v>330</v>
      </c>
      <c r="BW31" s="98" t="s">
        <v>266</v>
      </c>
      <c r="BX31" s="132" t="s">
        <v>683</v>
      </c>
      <c r="BZ31" s="147">
        <v>15</v>
      </c>
      <c r="CA31" s="148">
        <v>63</v>
      </c>
      <c r="CB31" s="106"/>
      <c r="CC31" s="87"/>
      <c r="CD31" s="107"/>
      <c r="CE31" s="78"/>
      <c r="CF31" s="89"/>
      <c r="CG31" s="90"/>
      <c r="CH31" s="87"/>
      <c r="CI31" s="87"/>
      <c r="CJ31" s="87"/>
      <c r="CK31" s="87"/>
      <c r="CL31" s="87"/>
      <c r="CM31" s="87"/>
    </row>
    <row r="32" spans="1:91" ht="15.6" x14ac:dyDescent="0.3">
      <c r="B32" s="99" t="s">
        <v>840</v>
      </c>
      <c r="C32" s="99"/>
      <c r="D32" s="99"/>
      <c r="E32" s="99"/>
      <c r="F32" s="99"/>
      <c r="G32" s="99"/>
      <c r="H32" s="99"/>
      <c r="I32" s="43"/>
      <c r="J32" s="99" t="str">
        <f t="shared" ref="J32:J61" si="60">IF(B32&lt;&gt;0,RIGHT("      "&amp;ROUND(AD23,0),6)&amp;(RIGHT("     "&amp;ROUND(AE23,0),5))&amp;RIGHT("          "&amp;ROUND(AF23,0),10)&amp;RIGHT("          "&amp;ROUND(AG23,),10)&amp;RIGHT("         "&amp;ROUND(AH23,0),10)&amp;RIGHT("          "&amp;ROUND(AI23,0),10)&amp;RIGHT("          "&amp;ROUND(AJ23,0),10)&amp;RIGHT("          "&amp;ROUND(AK23,0),10),"")</f>
        <v xml:space="preserve">     5    6      1430      1842      2006      1996      1707      1705</v>
      </c>
      <c r="L32" s="66" t="s">
        <v>168</v>
      </c>
      <c r="M32" s="67">
        <f t="shared" ref="M32:S32" si="61">SUM(M20:M31)</f>
        <v>83131.692057142864</v>
      </c>
      <c r="N32" s="67">
        <f t="shared" si="61"/>
        <v>94183.121100000018</v>
      </c>
      <c r="O32" s="67">
        <f t="shared" si="61"/>
        <v>103500.7206</v>
      </c>
      <c r="P32" s="67">
        <f t="shared" si="61"/>
        <v>109771.1553</v>
      </c>
      <c r="Q32" s="67">
        <f t="shared" si="61"/>
        <v>112792.0382</v>
      </c>
      <c r="R32" s="67">
        <f t="shared" si="61"/>
        <v>113305.3008</v>
      </c>
      <c r="S32" s="68">
        <f t="shared" si="61"/>
        <v>102939.4942764977</v>
      </c>
      <c r="T32" s="84">
        <f>S32/U32</f>
        <v>1.0045520687394303</v>
      </c>
      <c r="U32" s="179">
        <f>SUM(U20:U31)</f>
        <v>102473.03000000001</v>
      </c>
      <c r="V32" s="191"/>
      <c r="W32" s="187">
        <v>16</v>
      </c>
      <c r="X32" s="187">
        <v>0.22090000000000001</v>
      </c>
      <c r="Z32" s="101">
        <v>12</v>
      </c>
      <c r="AA32" s="101">
        <v>1</v>
      </c>
      <c r="AB32" s="101">
        <v>0.20119999999999999</v>
      </c>
      <c r="AD32" s="102">
        <f t="shared" si="28"/>
        <v>14</v>
      </c>
      <c r="AE32" s="102">
        <f t="shared" si="29"/>
        <v>16</v>
      </c>
      <c r="AF32" s="102">
        <f t="shared" si="30"/>
        <v>136</v>
      </c>
      <c r="AG32" s="102">
        <f t="shared" si="31"/>
        <v>161</v>
      </c>
      <c r="AH32" s="102">
        <f t="shared" si="32"/>
        <v>149</v>
      </c>
      <c r="AI32" s="102">
        <f t="shared" si="33"/>
        <v>145</v>
      </c>
      <c r="AJ32" s="102">
        <f t="shared" si="34"/>
        <v>142</v>
      </c>
      <c r="AK32" s="102">
        <f t="shared" si="35"/>
        <v>153</v>
      </c>
      <c r="AL32" s="102">
        <f>VLOOKUP($AE32,Usinas!$B$3:$F$241,5,FALSE)</f>
        <v>1</v>
      </c>
      <c r="AM32" s="102" t="str">
        <f>VLOOKUP($AE32,Usinas!$B$3:$H$241,7,FALSE)</f>
        <v>PARANA</v>
      </c>
      <c r="AN32" s="102" t="str">
        <f>VLOOKUP($AE32,Usinas!$B$3:$D$241,3,FALSE)</f>
        <v>GRANDE</v>
      </c>
      <c r="AP32" s="103">
        <v>12</v>
      </c>
      <c r="AQ32" s="103" t="str">
        <f>IF(BA32=1,VLOOKUP($AP32,Usinas!$B$3:$F$244,2,0),"")</f>
        <v>P. COLOMBIA</v>
      </c>
      <c r="AR32" s="103" t="str">
        <f>IF(BA32=1,VLOOKUP($AP32,Usinas!$B$3:$F$241,3,0),"")</f>
        <v>GRANDE</v>
      </c>
      <c r="AS32" s="103" t="str">
        <f>IF(BA32,VLOOKUP($AP32,Usinas!$B$3:$F$244,4,0),"")</f>
        <v>SUDESTE</v>
      </c>
      <c r="AT32" s="103">
        <f t="shared" si="39"/>
        <v>0.20119999999999999</v>
      </c>
      <c r="AU32" s="104">
        <f t="shared" si="58"/>
        <v>382.28</v>
      </c>
      <c r="AV32" s="104">
        <f t="shared" si="58"/>
        <v>468.59479999999996</v>
      </c>
      <c r="AW32" s="104">
        <f t="shared" si="58"/>
        <v>544.04480000000001</v>
      </c>
      <c r="AX32" s="104">
        <f t="shared" si="58"/>
        <v>573.41999999999996</v>
      </c>
      <c r="AY32" s="104">
        <f t="shared" si="58"/>
        <v>529.15599999999995</v>
      </c>
      <c r="AZ32" s="104">
        <f t="shared" si="58"/>
        <v>525.93679999999995</v>
      </c>
      <c r="BA32" s="103">
        <f t="shared" si="40"/>
        <v>1</v>
      </c>
      <c r="BB32" s="103">
        <f t="shared" si="41"/>
        <v>0</v>
      </c>
      <c r="BC32" s="103" t="str">
        <f>IF(BA32=1,VLOOKUP($AP32,Usinas!$B$3:$H$244,7,0),"")</f>
        <v>PARANA</v>
      </c>
      <c r="BE32" s="103">
        <v>75</v>
      </c>
      <c r="BF32" s="104">
        <f t="shared" ref="BF32:BK32" si="62">VLOOKUP(76,$AE$21:$AK$211,BF$18,0)+MIN(VLOOKUP(73,$AE$21:$AK$211,BF$18,0)-10,173.5)</f>
        <v>815</v>
      </c>
      <c r="BG32" s="104">
        <f t="shared" si="62"/>
        <v>887</v>
      </c>
      <c r="BH32" s="104">
        <f t="shared" si="62"/>
        <v>945</v>
      </c>
      <c r="BI32" s="104">
        <f t="shared" si="62"/>
        <v>951</v>
      </c>
      <c r="BJ32" s="104">
        <f t="shared" si="62"/>
        <v>896</v>
      </c>
      <c r="BK32" s="104">
        <f t="shared" si="62"/>
        <v>818</v>
      </c>
      <c r="BM32" s="105">
        <f t="shared" si="44"/>
        <v>14</v>
      </c>
      <c r="BN32" s="105">
        <f t="shared" si="45"/>
        <v>16</v>
      </c>
      <c r="BO32" s="151">
        <f>IF($BP$15=1,IFERROR(VLOOKUP(BN32,$BZ$20:CA195,2,0),0),VALUE(RIGHT(LEFT($B41,21),10)))</f>
        <v>100</v>
      </c>
      <c r="BP32" s="105">
        <f t="shared" si="46"/>
        <v>118</v>
      </c>
      <c r="BQ32" s="105">
        <f t="shared" si="47"/>
        <v>109</v>
      </c>
      <c r="BR32" s="105">
        <f t="shared" si="48"/>
        <v>106</v>
      </c>
      <c r="BS32" s="105">
        <f t="shared" si="49"/>
        <v>104</v>
      </c>
      <c r="BT32" s="105">
        <f t="shared" si="50"/>
        <v>112</v>
      </c>
      <c r="BU32" s="85"/>
      <c r="BV32" s="97" t="s">
        <v>330</v>
      </c>
      <c r="BW32" s="98" t="s">
        <v>286</v>
      </c>
      <c r="BX32" s="97" t="str">
        <f t="shared" ref="BX32:BX85" si="63">IFERROR(BV31&amp;" "&amp;BW31,"")</f>
        <v>BCA Alto Tietê</v>
      </c>
      <c r="BZ32" s="147">
        <v>16</v>
      </c>
      <c r="CA32" s="148">
        <v>64</v>
      </c>
      <c r="CB32" s="106"/>
      <c r="CC32" s="87"/>
      <c r="CD32" s="107"/>
      <c r="CE32" s="78"/>
      <c r="CF32" s="89"/>
      <c r="CG32" s="90"/>
      <c r="CH32" s="87"/>
      <c r="CI32" s="87"/>
      <c r="CJ32" s="87"/>
      <c r="CK32" s="87"/>
      <c r="CL32" s="87"/>
      <c r="CM32" s="87"/>
    </row>
    <row r="33" spans="2:91" ht="15.6" x14ac:dyDescent="0.3">
      <c r="B33" s="99" t="s">
        <v>841</v>
      </c>
      <c r="C33" s="99"/>
      <c r="D33" s="99"/>
      <c r="E33" s="99"/>
      <c r="F33" s="99"/>
      <c r="G33" s="99"/>
      <c r="H33" s="99"/>
      <c r="I33" s="43"/>
      <c r="J33" s="99" t="str">
        <f t="shared" si="60"/>
        <v xml:space="preserve">     6    7      1553      1984      2198      2259      1961      1968</v>
      </c>
      <c r="T33" s="42"/>
      <c r="U33" s="134"/>
      <c r="V33" s="191"/>
      <c r="W33" s="187">
        <v>17</v>
      </c>
      <c r="X33" s="187">
        <v>0.51829999999999998</v>
      </c>
      <c r="Z33" s="101">
        <v>13</v>
      </c>
      <c r="AA33" s="101">
        <v>0</v>
      </c>
      <c r="AB33" s="101">
        <v>0</v>
      </c>
      <c r="AD33" s="102">
        <f t="shared" si="28"/>
        <v>15</v>
      </c>
      <c r="AE33" s="102">
        <f t="shared" si="29"/>
        <v>17</v>
      </c>
      <c r="AF33" s="102">
        <f t="shared" si="30"/>
        <v>2525</v>
      </c>
      <c r="AG33" s="102">
        <f t="shared" si="31"/>
        <v>3181</v>
      </c>
      <c r="AH33" s="102">
        <f t="shared" si="32"/>
        <v>3713</v>
      </c>
      <c r="AI33" s="102">
        <f t="shared" si="33"/>
        <v>3964</v>
      </c>
      <c r="AJ33" s="102">
        <f t="shared" si="34"/>
        <v>3721</v>
      </c>
      <c r="AK33" s="102">
        <f t="shared" si="35"/>
        <v>3723</v>
      </c>
      <c r="AL33" s="102">
        <f>VLOOKUP($AE33,Usinas!$B$3:$F$241,5,FALSE)</f>
        <v>1</v>
      </c>
      <c r="AM33" s="102" t="str">
        <f>VLOOKUP($AE33,Usinas!$B$3:$H$241,7,FALSE)</f>
        <v>PARANA</v>
      </c>
      <c r="AN33" s="102" t="str">
        <f>VLOOKUP($AE33,Usinas!$B$3:$D$241,3,FALSE)</f>
        <v>GRANDE</v>
      </c>
      <c r="AP33" s="103">
        <v>13</v>
      </c>
      <c r="AQ33" s="103" t="str">
        <f>IF(BA33=1,VLOOKUP($AP33,Usinas!$B$3:$F$244,2,0),"")</f>
        <v/>
      </c>
      <c r="AR33" s="103" t="str">
        <f>IF(BA33=1,VLOOKUP($AP33,Usinas!$B$3:$F$241,3,0),"")</f>
        <v/>
      </c>
      <c r="AS33" s="103" t="str">
        <f>IF(BA33,VLOOKUP($AP33,Usinas!$B$3:$F$244,4,0),"")</f>
        <v/>
      </c>
      <c r="AT33" s="103" t="str">
        <f t="shared" si="39"/>
        <v/>
      </c>
      <c r="AU33" s="104" t="str">
        <f t="shared" si="58"/>
        <v/>
      </c>
      <c r="AV33" s="104" t="str">
        <f t="shared" si="58"/>
        <v/>
      </c>
      <c r="AW33" s="104" t="str">
        <f t="shared" si="58"/>
        <v/>
      </c>
      <c r="AX33" s="104" t="str">
        <f t="shared" si="58"/>
        <v/>
      </c>
      <c r="AY33" s="104" t="str">
        <f t="shared" si="58"/>
        <v/>
      </c>
      <c r="AZ33" s="104" t="str">
        <f t="shared" si="58"/>
        <v/>
      </c>
      <c r="BA33" s="103">
        <f t="shared" si="40"/>
        <v>0</v>
      </c>
      <c r="BB33" s="103">
        <f t="shared" si="41"/>
        <v>0</v>
      </c>
      <c r="BC33" s="103" t="str">
        <f>IF(BA33=1,VLOOKUP($AP33,Usinas!$B$3:$H$244,7,0),"")</f>
        <v/>
      </c>
      <c r="BE33" s="103">
        <v>104</v>
      </c>
      <c r="BF33" s="104">
        <f t="shared" ref="BF33:BK33" si="64">VLOOKUP(117,$AE$21:$AK$211,BF$18,0)+VLOOKUP(118,$AE$21:$AK$211,BF$18,0)</f>
        <v>59</v>
      </c>
      <c r="BG33" s="104">
        <f t="shared" si="64"/>
        <v>78</v>
      </c>
      <c r="BH33" s="104">
        <f t="shared" si="64"/>
        <v>86</v>
      </c>
      <c r="BI33" s="104">
        <f t="shared" si="64"/>
        <v>76</v>
      </c>
      <c r="BJ33" s="104">
        <f t="shared" si="64"/>
        <v>93</v>
      </c>
      <c r="BK33" s="104">
        <f t="shared" si="64"/>
        <v>82</v>
      </c>
      <c r="BM33" s="105">
        <f t="shared" si="44"/>
        <v>15</v>
      </c>
      <c r="BN33" s="105">
        <f t="shared" si="45"/>
        <v>17</v>
      </c>
      <c r="BO33" s="151">
        <f>IF($BP$15=1,IFERROR(VLOOKUP(BN33,$BZ$20:CA196,2,0),0),VALUE(RIGHT(LEFT($B42,21),10)))</f>
        <v>1852</v>
      </c>
      <c r="BP33" s="105">
        <f t="shared" si="46"/>
        <v>2333</v>
      </c>
      <c r="BQ33" s="105">
        <f t="shared" si="47"/>
        <v>2723</v>
      </c>
      <c r="BR33" s="105">
        <f t="shared" si="48"/>
        <v>2907</v>
      </c>
      <c r="BS33" s="105">
        <f t="shared" si="49"/>
        <v>2729</v>
      </c>
      <c r="BT33" s="105">
        <f t="shared" si="50"/>
        <v>2730</v>
      </c>
      <c r="BU33" s="85"/>
      <c r="BV33" s="97" t="s">
        <v>330</v>
      </c>
      <c r="BW33" s="98" t="s">
        <v>285</v>
      </c>
      <c r="BX33" s="97" t="str">
        <f t="shared" si="63"/>
        <v>BCA Amazonas (N)</v>
      </c>
      <c r="BZ33" s="147">
        <v>17</v>
      </c>
      <c r="CA33" s="148">
        <v>1238</v>
      </c>
      <c r="CB33" s="106"/>
      <c r="CC33" s="87"/>
      <c r="CD33" s="107"/>
      <c r="CE33" s="78"/>
      <c r="CF33" s="89"/>
      <c r="CG33" s="90"/>
      <c r="CH33" s="87"/>
      <c r="CI33" s="87"/>
      <c r="CJ33" s="87"/>
      <c r="CK33" s="87"/>
      <c r="CL33" s="87"/>
      <c r="CM33" s="87"/>
    </row>
    <row r="34" spans="2:91" ht="15.6" x14ac:dyDescent="0.3">
      <c r="B34" s="99" t="s">
        <v>842</v>
      </c>
      <c r="C34" s="99"/>
      <c r="D34" s="99"/>
      <c r="E34" s="99"/>
      <c r="F34" s="99"/>
      <c r="G34" s="99"/>
      <c r="H34" s="99"/>
      <c r="I34" s="43"/>
      <c r="J34" s="99" t="str">
        <f t="shared" si="60"/>
        <v xml:space="preserve">     7    8      1580      2007      2243      2318      2024      2029</v>
      </c>
      <c r="L34" s="48" t="s">
        <v>294</v>
      </c>
      <c r="T34" s="42"/>
      <c r="U34" s="134"/>
      <c r="V34" s="191"/>
      <c r="W34" s="187">
        <v>18</v>
      </c>
      <c r="X34" s="187">
        <v>0.46250000000000002</v>
      </c>
      <c r="Z34" s="101">
        <v>14</v>
      </c>
      <c r="AA34" s="101">
        <v>1</v>
      </c>
      <c r="AB34" s="101">
        <v>0.82589999999999997</v>
      </c>
      <c r="AD34" s="102">
        <f t="shared" si="28"/>
        <v>16</v>
      </c>
      <c r="AE34" s="102">
        <f t="shared" si="29"/>
        <v>18</v>
      </c>
      <c r="AF34" s="102">
        <f t="shared" si="30"/>
        <v>2795</v>
      </c>
      <c r="AG34" s="102">
        <f t="shared" si="31"/>
        <v>3517</v>
      </c>
      <c r="AH34" s="102">
        <f t="shared" si="32"/>
        <v>4178</v>
      </c>
      <c r="AI34" s="102">
        <f t="shared" si="33"/>
        <v>4534</v>
      </c>
      <c r="AJ34" s="102">
        <f t="shared" si="34"/>
        <v>4329</v>
      </c>
      <c r="AK34" s="102">
        <f t="shared" si="35"/>
        <v>4317</v>
      </c>
      <c r="AL34" s="102">
        <f>VLOOKUP($AE34,Usinas!$B$3:$F$241,5,FALSE)</f>
        <v>1</v>
      </c>
      <c r="AM34" s="102" t="str">
        <f>VLOOKUP($AE34,Usinas!$B$3:$H$241,7,FALSE)</f>
        <v>PARANA</v>
      </c>
      <c r="AN34" s="102" t="str">
        <f>VLOOKUP($AE34,Usinas!$B$3:$D$241,3,FALSE)</f>
        <v>GRANDE</v>
      </c>
      <c r="AP34" s="103">
        <v>14</v>
      </c>
      <c r="AQ34" s="103" t="str">
        <f>IF(BA34=1,VLOOKUP($AP34,Usinas!$B$3:$F$244,2,0),"")</f>
        <v>CACONDE</v>
      </c>
      <c r="AR34" s="103" t="str">
        <f>IF(BA34=1,VLOOKUP($AP34,Usinas!$B$3:$F$241,3,0),"")</f>
        <v>GRANDE</v>
      </c>
      <c r="AS34" s="103" t="str">
        <f>IF(BA34,VLOOKUP($AP34,Usinas!$B$3:$F$244,4,0),"")</f>
        <v>SUDESTE</v>
      </c>
      <c r="AT34" s="103">
        <f t="shared" si="39"/>
        <v>0.82589999999999997</v>
      </c>
      <c r="AU34" s="104">
        <f t="shared" si="58"/>
        <v>71.0274</v>
      </c>
      <c r="AV34" s="104">
        <f t="shared" si="58"/>
        <v>80.112299999999991</v>
      </c>
      <c r="AW34" s="104">
        <f t="shared" si="58"/>
        <v>75.156899999999993</v>
      </c>
      <c r="AX34" s="104">
        <f t="shared" si="58"/>
        <v>71.0274</v>
      </c>
      <c r="AY34" s="104">
        <f t="shared" si="58"/>
        <v>71.0274</v>
      </c>
      <c r="AZ34" s="104">
        <f t="shared" si="58"/>
        <v>75.156899999999993</v>
      </c>
      <c r="BA34" s="103">
        <f t="shared" si="40"/>
        <v>1</v>
      </c>
      <c r="BB34" s="103">
        <f t="shared" si="41"/>
        <v>0</v>
      </c>
      <c r="BC34" s="103" t="str">
        <f>IF(BA34=1,VLOOKUP($AP34,Usinas!$B$3:$H$244,7,0),"")</f>
        <v>PARANA</v>
      </c>
      <c r="BE34" s="103">
        <v>109</v>
      </c>
      <c r="BF34" s="104">
        <f t="shared" ref="BF34:BK34" si="65">VLOOKUP(118,$AE$21:$AK$211,BF$18,0)</f>
        <v>33</v>
      </c>
      <c r="BG34" s="104">
        <f t="shared" si="65"/>
        <v>44</v>
      </c>
      <c r="BH34" s="104">
        <f t="shared" si="65"/>
        <v>48</v>
      </c>
      <c r="BI34" s="104">
        <f t="shared" si="65"/>
        <v>42</v>
      </c>
      <c r="BJ34" s="104">
        <f t="shared" si="65"/>
        <v>52</v>
      </c>
      <c r="BK34" s="104">
        <f t="shared" si="65"/>
        <v>45</v>
      </c>
      <c r="BM34" s="105">
        <f t="shared" si="44"/>
        <v>16</v>
      </c>
      <c r="BN34" s="105">
        <f t="shared" si="45"/>
        <v>18</v>
      </c>
      <c r="BO34" s="151">
        <f>IF($BP$15=1,IFERROR(VLOOKUP(BN34,$BZ$20:CA197,2,0),0),VALUE(RIGHT(LEFT($B43,21),10)))</f>
        <v>2050</v>
      </c>
      <c r="BP34" s="105">
        <f t="shared" si="46"/>
        <v>2579</v>
      </c>
      <c r="BQ34" s="105">
        <f t="shared" si="47"/>
        <v>3064</v>
      </c>
      <c r="BR34" s="105">
        <f t="shared" si="48"/>
        <v>3325</v>
      </c>
      <c r="BS34" s="105">
        <f t="shared" si="49"/>
        <v>3175</v>
      </c>
      <c r="BT34" s="105">
        <f t="shared" si="50"/>
        <v>3166</v>
      </c>
      <c r="BU34" s="85"/>
      <c r="BV34" s="97" t="s">
        <v>330</v>
      </c>
      <c r="BW34" s="98" t="s">
        <v>327</v>
      </c>
      <c r="BX34" s="97" t="str">
        <f t="shared" si="63"/>
        <v>BCA Amazonas (SE)</v>
      </c>
      <c r="BZ34" s="147">
        <v>18</v>
      </c>
      <c r="CA34" s="148">
        <v>1386</v>
      </c>
      <c r="CB34" s="106"/>
      <c r="CC34" s="87"/>
      <c r="CD34" s="107"/>
      <c r="CE34" s="78"/>
      <c r="CF34" s="89"/>
      <c r="CG34" s="90"/>
      <c r="CH34" s="87"/>
      <c r="CI34" s="87"/>
      <c r="CJ34" s="87"/>
      <c r="CK34" s="87"/>
      <c r="CL34" s="87"/>
      <c r="CM34" s="87"/>
    </row>
    <row r="35" spans="2:91" ht="15.6" x14ac:dyDescent="0.3">
      <c r="B35" s="99" t="s">
        <v>843</v>
      </c>
      <c r="C35" s="99"/>
      <c r="D35" s="99"/>
      <c r="E35" s="99"/>
      <c r="F35" s="99"/>
      <c r="G35" s="99"/>
      <c r="H35" s="99"/>
      <c r="I35" s="43"/>
      <c r="J35" s="99" t="str">
        <f t="shared" si="60"/>
        <v xml:space="preserve">     8    9      1590      2011      2259      2344      2051      2055</v>
      </c>
      <c r="L35" s="51" t="s">
        <v>225</v>
      </c>
      <c r="M35" s="52" t="s">
        <v>313</v>
      </c>
      <c r="N35" s="52" t="s">
        <v>308</v>
      </c>
      <c r="O35" s="52" t="s">
        <v>314</v>
      </c>
      <c r="P35" s="52" t="s">
        <v>315</v>
      </c>
      <c r="Q35" s="52" t="s">
        <v>316</v>
      </c>
      <c r="R35" s="52" t="s">
        <v>317</v>
      </c>
      <c r="S35" s="53" t="s">
        <v>162</v>
      </c>
      <c r="T35" s="42"/>
      <c r="U35" s="134"/>
      <c r="V35" s="191"/>
      <c r="W35" s="187">
        <v>22</v>
      </c>
      <c r="X35" s="187">
        <v>0.35510000000000003</v>
      </c>
      <c r="Z35" s="101">
        <v>15</v>
      </c>
      <c r="AA35" s="101">
        <v>1</v>
      </c>
      <c r="AB35" s="101">
        <v>0.75019999999999998</v>
      </c>
      <c r="AD35" s="102">
        <f t="shared" si="28"/>
        <v>17</v>
      </c>
      <c r="AE35" s="102">
        <f t="shared" si="29"/>
        <v>22</v>
      </c>
      <c r="AF35" s="102">
        <f t="shared" si="30"/>
        <v>168</v>
      </c>
      <c r="AG35" s="102">
        <f t="shared" si="31"/>
        <v>215</v>
      </c>
      <c r="AH35" s="102">
        <f t="shared" si="32"/>
        <v>206</v>
      </c>
      <c r="AI35" s="102">
        <f t="shared" si="33"/>
        <v>205</v>
      </c>
      <c r="AJ35" s="102">
        <f t="shared" si="34"/>
        <v>220</v>
      </c>
      <c r="AK35" s="102">
        <f t="shared" si="35"/>
        <v>226</v>
      </c>
      <c r="AL35" s="102">
        <f>VLOOKUP($AE35,Usinas!$B$3:$F$241,5,FALSE)</f>
        <v>1</v>
      </c>
      <c r="AM35" s="102" t="str">
        <f>VLOOKUP($AE35,Usinas!$B$3:$H$241,7,FALSE)</f>
        <v>PARANA</v>
      </c>
      <c r="AN35" s="102" t="str">
        <f>VLOOKUP($AE35,Usinas!$B$3:$D$241,3,FALSE)</f>
        <v>PARANAÍBA</v>
      </c>
      <c r="AP35" s="103">
        <v>15</v>
      </c>
      <c r="AQ35" s="103" t="str">
        <f>IF(BA35=1,VLOOKUP($AP35,Usinas!$B$3:$F$244,2,0),"")</f>
        <v>E.CUNHA</v>
      </c>
      <c r="AR35" s="103" t="str">
        <f>IF(BA35=1,VLOOKUP($AP35,Usinas!$B$3:$F$241,3,0),"")</f>
        <v>GRANDE</v>
      </c>
      <c r="AS35" s="103" t="str">
        <f>IF(BA35,VLOOKUP($AP35,Usinas!$B$3:$F$244,4,0),"")</f>
        <v>SUDESTE</v>
      </c>
      <c r="AT35" s="103">
        <f t="shared" si="39"/>
        <v>0.75019999999999998</v>
      </c>
      <c r="AU35" s="104">
        <f t="shared" si="58"/>
        <v>102.02719999999999</v>
      </c>
      <c r="AV35" s="104">
        <f t="shared" si="58"/>
        <v>120.032</v>
      </c>
      <c r="AW35" s="104">
        <f t="shared" si="58"/>
        <v>110.2794</v>
      </c>
      <c r="AX35" s="104">
        <f t="shared" si="58"/>
        <v>106.52839999999999</v>
      </c>
      <c r="AY35" s="104">
        <f t="shared" si="58"/>
        <v>106.52839999999999</v>
      </c>
      <c r="AZ35" s="104">
        <f t="shared" si="58"/>
        <v>112.53</v>
      </c>
      <c r="BA35" s="103">
        <f t="shared" si="40"/>
        <v>1</v>
      </c>
      <c r="BB35" s="103">
        <f t="shared" si="41"/>
        <v>0</v>
      </c>
      <c r="BC35" s="103" t="str">
        <f>IF(BA35=1,VLOOKUP($AP35,Usinas!$B$3:$H$244,7,0),"")</f>
        <v>PARANA</v>
      </c>
      <c r="BE35" s="103">
        <v>116</v>
      </c>
      <c r="BF35" s="104">
        <f t="shared" ref="BF35:BK35" si="66">VLOOKUP(119,$AE$21:$AK$211,BF$18,0)+VLOOKUP(118,$AE$21:$AK$211,BF$18,0)</f>
        <v>73</v>
      </c>
      <c r="BG35" s="104">
        <f t="shared" si="66"/>
        <v>97</v>
      </c>
      <c r="BH35" s="104">
        <f t="shared" si="66"/>
        <v>107</v>
      </c>
      <c r="BI35" s="104">
        <f t="shared" si="66"/>
        <v>94</v>
      </c>
      <c r="BJ35" s="104">
        <f t="shared" si="66"/>
        <v>115</v>
      </c>
      <c r="BK35" s="104">
        <f t="shared" si="66"/>
        <v>101</v>
      </c>
      <c r="BM35" s="105">
        <f t="shared" si="44"/>
        <v>17</v>
      </c>
      <c r="BN35" s="105">
        <f t="shared" si="45"/>
        <v>22</v>
      </c>
      <c r="BO35" s="151">
        <f>IF($BP$15=1,IFERROR(VLOOKUP(BN35,$BZ$20:CA198,2,0),0),VALUE(RIGHT(LEFT($B44,21),10)))</f>
        <v>123</v>
      </c>
      <c r="BP35" s="105">
        <f t="shared" si="46"/>
        <v>158</v>
      </c>
      <c r="BQ35" s="105">
        <f t="shared" si="47"/>
        <v>151</v>
      </c>
      <c r="BR35" s="105">
        <f t="shared" si="48"/>
        <v>150</v>
      </c>
      <c r="BS35" s="105">
        <f t="shared" si="49"/>
        <v>161</v>
      </c>
      <c r="BT35" s="105">
        <f t="shared" si="50"/>
        <v>166</v>
      </c>
      <c r="BU35" s="85"/>
      <c r="BV35" s="97" t="s">
        <v>330</v>
      </c>
      <c r="BW35" s="98" t="s">
        <v>265</v>
      </c>
      <c r="BX35" s="97" t="str">
        <f t="shared" si="63"/>
        <v>BCA Araguari</v>
      </c>
      <c r="BZ35" s="147">
        <v>22</v>
      </c>
      <c r="CA35" s="148">
        <v>48</v>
      </c>
      <c r="CB35" s="106"/>
      <c r="CC35" s="87"/>
      <c r="CD35" s="107"/>
      <c r="CE35" s="78"/>
      <c r="CF35" s="89"/>
      <c r="CG35" s="90"/>
      <c r="CH35" s="87"/>
      <c r="CI35" s="87"/>
      <c r="CJ35" s="87"/>
      <c r="CK35" s="87"/>
      <c r="CL35" s="87"/>
      <c r="CM35" s="87"/>
    </row>
    <row r="36" spans="2:91" ht="15.6" x14ac:dyDescent="0.3">
      <c r="B36" s="99" t="s">
        <v>844</v>
      </c>
      <c r="C36" s="99"/>
      <c r="D36" s="99"/>
      <c r="E36" s="99"/>
      <c r="F36" s="99"/>
      <c r="G36" s="99"/>
      <c r="H36" s="99"/>
      <c r="I36" s="43"/>
      <c r="J36" s="99" t="str">
        <f t="shared" si="60"/>
        <v xml:space="preserve">     9   10      1621      2035      2311      2412      2129      2126</v>
      </c>
      <c r="L36" s="59" t="s">
        <v>264</v>
      </c>
      <c r="M36" s="60">
        <f t="shared" ref="M36:M65" si="67">SUMIFS(AU$21:AU$372,$AR$21:$AR$372,$L36,$BA$21:$BA$372,1)</f>
        <v>4163.6941999999999</v>
      </c>
      <c r="N36" s="60">
        <f t="shared" ref="N36:N65" si="68">SUMIFS(AV$21:AV$372,$AR$21:$AR$372,$L36,$BA$21:$BA$372,1)</f>
        <v>5056.7271000000001</v>
      </c>
      <c r="O36" s="60">
        <f t="shared" ref="O36:O65" si="69">SUMIFS(AW$21:AW$372,$AR$21:$AR$372,$L36,$BA$21:$BA$372,1)</f>
        <v>5767.2921999999999</v>
      </c>
      <c r="P36" s="60">
        <f t="shared" ref="P36:P65" si="70">SUMIFS(AX$21:AX$372,$AR$21:$AR$372,$L36,$BA$21:$BA$372,1)</f>
        <v>6038.1167999999998</v>
      </c>
      <c r="Q36" s="60">
        <f t="shared" ref="Q36:Q65" si="71">SUMIFS(AY$21:AY$372,$AR$21:$AR$372,$L36,$BA$21:$BA$372,1)</f>
        <v>6050.8919999999998</v>
      </c>
      <c r="R36" s="60">
        <f t="shared" ref="R36:R65" si="72">SUMIFS(AZ$21:AZ$372,$AR$21:$AR$372,$L36,$BA$21:$BA$372,1)</f>
        <v>6142.3137000000006</v>
      </c>
      <c r="S36" s="61">
        <f>($T$1*M36/$T$2)+(7*N36/$T$2)+(7*O36/$T$2)+(7*P36/$T$2)+((IF($U$2=4,7,$U$1))*Q36/$T$2)+((IF($U$2=3,0,$U$1))*R36/$T$2)</f>
        <v>5576.8477193548388</v>
      </c>
      <c r="T36" s="125" t="s">
        <v>706</v>
      </c>
      <c r="U36" s="200" t="s">
        <v>705</v>
      </c>
      <c r="V36" s="192" t="s">
        <v>707</v>
      </c>
      <c r="W36" s="187">
        <v>23</v>
      </c>
      <c r="X36" s="187">
        <v>0.34710000000000002</v>
      </c>
      <c r="Z36" s="101">
        <v>16</v>
      </c>
      <c r="AA36" s="101">
        <v>1</v>
      </c>
      <c r="AB36" s="101">
        <v>0.22090000000000001</v>
      </c>
      <c r="AD36" s="102">
        <f t="shared" si="28"/>
        <v>18</v>
      </c>
      <c r="AE36" s="102">
        <f t="shared" si="29"/>
        <v>23</v>
      </c>
      <c r="AF36" s="102">
        <f t="shared" si="30"/>
        <v>217</v>
      </c>
      <c r="AG36" s="102">
        <f t="shared" si="31"/>
        <v>247</v>
      </c>
      <c r="AH36" s="102">
        <f t="shared" si="32"/>
        <v>262</v>
      </c>
      <c r="AI36" s="102">
        <f t="shared" si="33"/>
        <v>259</v>
      </c>
      <c r="AJ36" s="102">
        <f t="shared" si="34"/>
        <v>290</v>
      </c>
      <c r="AK36" s="102">
        <f t="shared" si="35"/>
        <v>290</v>
      </c>
      <c r="AL36" s="102">
        <f>VLOOKUP($AE36,Usinas!$B$3:$F$241,5,FALSE)</f>
        <v>1</v>
      </c>
      <c r="AM36" s="102" t="str">
        <f>VLOOKUP($AE36,Usinas!$B$3:$H$241,7,FALSE)</f>
        <v>PARANA</v>
      </c>
      <c r="AN36" s="102" t="str">
        <f>VLOOKUP($AE36,Usinas!$B$3:$D$241,3,FALSE)</f>
        <v>PARANAÍBA</v>
      </c>
      <c r="AP36" s="103">
        <v>16</v>
      </c>
      <c r="AQ36" s="103" t="str">
        <f>IF(BA36=1,VLOOKUP($AP36,Usinas!$B$3:$F$244,2,0),"")</f>
        <v>LIMOEIRO</v>
      </c>
      <c r="AR36" s="103" t="str">
        <f>IF(BA36=1,VLOOKUP($AP36,Usinas!$B$3:$F$241,3,0),"")</f>
        <v>GRANDE</v>
      </c>
      <c r="AS36" s="103" t="str">
        <f>IF(BA36,VLOOKUP($AP36,Usinas!$B$3:$F$244,4,0),"")</f>
        <v>SUDESTE</v>
      </c>
      <c r="AT36" s="103">
        <f t="shared" si="39"/>
        <v>0.22090000000000001</v>
      </c>
      <c r="AU36" s="104">
        <f t="shared" si="58"/>
        <v>30.042400000000001</v>
      </c>
      <c r="AV36" s="104">
        <f t="shared" si="58"/>
        <v>35.564900000000002</v>
      </c>
      <c r="AW36" s="104">
        <f t="shared" si="58"/>
        <v>32.914100000000005</v>
      </c>
      <c r="AX36" s="104">
        <f t="shared" si="58"/>
        <v>32.030500000000004</v>
      </c>
      <c r="AY36" s="104">
        <f t="shared" si="58"/>
        <v>31.367800000000003</v>
      </c>
      <c r="AZ36" s="104">
        <f t="shared" si="58"/>
        <v>33.797699999999999</v>
      </c>
      <c r="BA36" s="103">
        <f t="shared" si="40"/>
        <v>1</v>
      </c>
      <c r="BB36" s="103">
        <f t="shared" si="41"/>
        <v>0</v>
      </c>
      <c r="BC36" s="103" t="str">
        <f>IF(BA36=1,VLOOKUP($AP36,Usinas!$B$3:$H$244,7,0),"")</f>
        <v>PARANA</v>
      </c>
      <c r="BE36" s="103">
        <v>119</v>
      </c>
      <c r="BF36" s="104">
        <f t="shared" ref="BF36:BK36" si="73">(VLOOKUP(118,$AE$21:$AK$211,BF$18,0)-0.185)/ 0.8103</f>
        <v>40.497346661730219</v>
      </c>
      <c r="BG36" s="104">
        <f t="shared" si="73"/>
        <v>54.072565716401328</v>
      </c>
      <c r="BH36" s="104">
        <f t="shared" si="73"/>
        <v>59.009009009009006</v>
      </c>
      <c r="BI36" s="104">
        <f t="shared" si="73"/>
        <v>51.60434407009749</v>
      </c>
      <c r="BJ36" s="104">
        <f t="shared" si="73"/>
        <v>63.945452301616683</v>
      </c>
      <c r="BK36" s="104">
        <f t="shared" si="73"/>
        <v>55.306676539553244</v>
      </c>
      <c r="BM36" s="105">
        <f t="shared" si="44"/>
        <v>18</v>
      </c>
      <c r="BN36" s="105">
        <f t="shared" si="45"/>
        <v>23</v>
      </c>
      <c r="BO36" s="151">
        <f>IF($BP$15=1,IFERROR(VLOOKUP(BN36,$BZ$20:CA199,2,0),0),VALUE(RIGHT(LEFT($B45,21),10)))</f>
        <v>159</v>
      </c>
      <c r="BP36" s="105">
        <f t="shared" si="46"/>
        <v>181</v>
      </c>
      <c r="BQ36" s="105">
        <f t="shared" si="47"/>
        <v>192</v>
      </c>
      <c r="BR36" s="105">
        <f t="shared" si="48"/>
        <v>190</v>
      </c>
      <c r="BS36" s="105">
        <f t="shared" si="49"/>
        <v>213</v>
      </c>
      <c r="BT36" s="105">
        <f t="shared" si="50"/>
        <v>213</v>
      </c>
      <c r="BU36" s="85"/>
      <c r="BV36" s="97" t="s">
        <v>330</v>
      </c>
      <c r="BW36" s="98" t="s">
        <v>275</v>
      </c>
      <c r="BX36" s="97" t="str">
        <f t="shared" si="63"/>
        <v>BCA Baixo Paraná</v>
      </c>
      <c r="BZ36" s="147">
        <v>251</v>
      </c>
      <c r="CA36" s="148">
        <v>80</v>
      </c>
      <c r="CB36" s="106"/>
      <c r="CC36" s="87"/>
      <c r="CD36" s="107"/>
      <c r="CE36" s="78"/>
      <c r="CF36" s="89"/>
      <c r="CG36" s="90"/>
      <c r="CH36" s="87"/>
      <c r="CI36" s="87"/>
      <c r="CJ36" s="87"/>
      <c r="CK36" s="87"/>
      <c r="CL36" s="87"/>
      <c r="CM36" s="87"/>
    </row>
    <row r="37" spans="2:91" ht="15.6" x14ac:dyDescent="0.3">
      <c r="B37" s="99" t="s">
        <v>845</v>
      </c>
      <c r="C37" s="99"/>
      <c r="D37" s="99"/>
      <c r="E37" s="99"/>
      <c r="F37" s="99"/>
      <c r="G37" s="99"/>
      <c r="H37" s="99"/>
      <c r="I37" s="43"/>
      <c r="J37" s="99" t="str">
        <f t="shared" si="60"/>
        <v xml:space="preserve">    10   11      1707      2114      2434      2553      2294      2281</v>
      </c>
      <c r="L37" s="59" t="s">
        <v>265</v>
      </c>
      <c r="M37" s="60">
        <f t="shared" si="67"/>
        <v>15052.438319999999</v>
      </c>
      <c r="N37" s="60">
        <f t="shared" si="68"/>
        <v>16218.713619999999</v>
      </c>
      <c r="O37" s="60">
        <f t="shared" si="69"/>
        <v>19072.377540000001</v>
      </c>
      <c r="P37" s="60">
        <f t="shared" si="70"/>
        <v>20872.738600000001</v>
      </c>
      <c r="Q37" s="60">
        <f t="shared" si="71"/>
        <v>20785.86924</v>
      </c>
      <c r="R37" s="60">
        <f t="shared" si="72"/>
        <v>21395.459039999998</v>
      </c>
      <c r="S37" s="61">
        <f t="shared" ref="S37:S65" si="74">($T$1*M37/$T$2)+(7*N37/$T$2)+(7*O37/$T$2)+(7*P37/$T$2)+((IF($U$2=4,7,$U$1))*Q37/$T$2)+((IF($U$2=3,0,$U$1))*R37/$T$2)</f>
        <v>18832.426063225805</v>
      </c>
      <c r="T37" s="184">
        <f>T20</f>
        <v>1.0851997800575741</v>
      </c>
      <c r="U37" s="74">
        <v>0.84</v>
      </c>
      <c r="V37" s="74">
        <f>U37-T37</f>
        <v>-0.24519978005757415</v>
      </c>
      <c r="W37" s="187">
        <v>24</v>
      </c>
      <c r="X37" s="187">
        <v>1.1581999999999999</v>
      </c>
      <c r="Z37" s="101">
        <v>17</v>
      </c>
      <c r="AA37" s="101">
        <v>1</v>
      </c>
      <c r="AB37" s="101">
        <v>0.51829999999999998</v>
      </c>
      <c r="AD37" s="102">
        <f t="shared" si="28"/>
        <v>19</v>
      </c>
      <c r="AE37" s="102">
        <f t="shared" si="29"/>
        <v>24</v>
      </c>
      <c r="AF37" s="102">
        <f t="shared" si="30"/>
        <v>648</v>
      </c>
      <c r="AG37" s="102">
        <f t="shared" si="31"/>
        <v>866</v>
      </c>
      <c r="AH37" s="102">
        <f t="shared" si="32"/>
        <v>802</v>
      </c>
      <c r="AI37" s="102">
        <f t="shared" si="33"/>
        <v>769</v>
      </c>
      <c r="AJ37" s="102">
        <f t="shared" si="34"/>
        <v>844</v>
      </c>
      <c r="AK37" s="102">
        <f t="shared" si="35"/>
        <v>832</v>
      </c>
      <c r="AL37" s="102">
        <f>VLOOKUP($AE37,Usinas!$B$3:$F$241,5,FALSE)</f>
        <v>1</v>
      </c>
      <c r="AM37" s="102" t="str">
        <f>VLOOKUP($AE37,Usinas!$B$3:$H$241,7,FALSE)</f>
        <v>PARANA</v>
      </c>
      <c r="AN37" s="102" t="str">
        <f>VLOOKUP($AE37,Usinas!$B$3:$D$241,3,FALSE)</f>
        <v>PARANAÍBA</v>
      </c>
      <c r="AP37" s="103">
        <v>17</v>
      </c>
      <c r="AQ37" s="103" t="str">
        <f>IF(BA37=1,VLOOKUP($AP37,Usinas!$B$3:$F$244,2,0),"")</f>
        <v>MARIMBONDO</v>
      </c>
      <c r="AR37" s="103" t="str">
        <f>IF(BA37=1,VLOOKUP($AP37,Usinas!$B$3:$F$241,3,0),"")</f>
        <v>GRANDE</v>
      </c>
      <c r="AS37" s="103" t="str">
        <f>IF(BA37,VLOOKUP($AP37,Usinas!$B$3:$F$244,4,0),"")</f>
        <v>SUDESTE</v>
      </c>
      <c r="AT37" s="103">
        <f t="shared" si="39"/>
        <v>0.51829999999999998</v>
      </c>
      <c r="AU37" s="104">
        <f t="shared" si="58"/>
        <v>1308.7075</v>
      </c>
      <c r="AV37" s="104">
        <f t="shared" si="58"/>
        <v>1648.7122999999999</v>
      </c>
      <c r="AW37" s="104">
        <f t="shared" si="58"/>
        <v>1924.4478999999999</v>
      </c>
      <c r="AX37" s="104">
        <f t="shared" si="58"/>
        <v>2054.5412000000001</v>
      </c>
      <c r="AY37" s="104">
        <f t="shared" si="58"/>
        <v>1928.5943</v>
      </c>
      <c r="AZ37" s="104">
        <f t="shared" si="58"/>
        <v>1929.6308999999999</v>
      </c>
      <c r="BA37" s="103">
        <f t="shared" si="40"/>
        <v>1</v>
      </c>
      <c r="BB37" s="103">
        <f t="shared" si="41"/>
        <v>0</v>
      </c>
      <c r="BC37" s="103" t="str">
        <f>IF(BA37=1,VLOOKUP($AP37,Usinas!$B$3:$H$244,7,0),"")</f>
        <v>PARANA</v>
      </c>
      <c r="BE37" s="103">
        <v>126</v>
      </c>
      <c r="BF37" s="104">
        <f>IF(BF38&lt;=430,MAX(0,BF38-90),340)</f>
        <v>340</v>
      </c>
      <c r="BG37" s="104">
        <f t="shared" ref="BG37:BK37" si="75">IF(BG38&lt;=430,MAX(0,BG38-90),340)</f>
        <v>340</v>
      </c>
      <c r="BH37" s="104">
        <f t="shared" si="75"/>
        <v>340</v>
      </c>
      <c r="BI37" s="104">
        <f t="shared" si="75"/>
        <v>340</v>
      </c>
      <c r="BJ37" s="104">
        <f t="shared" si="75"/>
        <v>340</v>
      </c>
      <c r="BK37" s="104">
        <f t="shared" si="75"/>
        <v>340</v>
      </c>
      <c r="BM37" s="105">
        <f t="shared" si="44"/>
        <v>19</v>
      </c>
      <c r="BN37" s="105">
        <f t="shared" si="45"/>
        <v>24</v>
      </c>
      <c r="BO37" s="151">
        <f>IF($BP$15=1,IFERROR(VLOOKUP(BN37,$BZ$20:CA200,2,0),0),VALUE(RIGHT(LEFT($B46,21),10)))</f>
        <v>475</v>
      </c>
      <c r="BP37" s="105">
        <f t="shared" si="46"/>
        <v>635</v>
      </c>
      <c r="BQ37" s="105">
        <f t="shared" si="47"/>
        <v>588</v>
      </c>
      <c r="BR37" s="105">
        <f t="shared" si="48"/>
        <v>564</v>
      </c>
      <c r="BS37" s="105">
        <f t="shared" si="49"/>
        <v>619</v>
      </c>
      <c r="BT37" s="105">
        <f t="shared" si="50"/>
        <v>610</v>
      </c>
      <c r="BU37" s="85"/>
      <c r="BV37" s="97" t="s">
        <v>330</v>
      </c>
      <c r="BW37" s="98" t="s">
        <v>270</v>
      </c>
      <c r="BX37" s="97" t="str">
        <f t="shared" si="63"/>
        <v>BCA Capivari</v>
      </c>
      <c r="BZ37" s="147">
        <v>24</v>
      </c>
      <c r="CA37" s="148">
        <v>269</v>
      </c>
      <c r="CB37" s="106"/>
      <c r="CC37" s="87"/>
      <c r="CD37" s="107"/>
      <c r="CE37" s="78"/>
      <c r="CF37" s="108"/>
      <c r="CG37" s="90"/>
      <c r="CH37" s="87"/>
      <c r="CI37" s="87"/>
      <c r="CJ37" s="87"/>
      <c r="CK37" s="87"/>
      <c r="CL37" s="87"/>
      <c r="CM37" s="87"/>
    </row>
    <row r="38" spans="2:91" ht="15.6" x14ac:dyDescent="0.3">
      <c r="B38" s="99" t="s">
        <v>846</v>
      </c>
      <c r="C38" s="99"/>
      <c r="D38" s="99"/>
      <c r="E38" s="99"/>
      <c r="F38" s="99"/>
      <c r="G38" s="99"/>
      <c r="H38" s="99"/>
      <c r="I38" s="43"/>
      <c r="J38" s="99" t="str">
        <f t="shared" si="60"/>
        <v xml:space="preserve">    11   12      1900      2329      2704      2850      2630      2614</v>
      </c>
      <c r="L38" s="59" t="s">
        <v>286</v>
      </c>
      <c r="M38" s="60">
        <f t="shared" si="67"/>
        <v>216.89869999999999</v>
      </c>
      <c r="N38" s="60">
        <f t="shared" si="68"/>
        <v>240.4419</v>
      </c>
      <c r="O38" s="60">
        <f t="shared" si="69"/>
        <v>256.32889999999998</v>
      </c>
      <c r="P38" s="60">
        <f t="shared" si="70"/>
        <v>308.58170000000001</v>
      </c>
      <c r="Q38" s="60">
        <f t="shared" si="71"/>
        <v>337.27070000000003</v>
      </c>
      <c r="R38" s="60">
        <f t="shared" si="72"/>
        <v>386.47120000000001</v>
      </c>
      <c r="S38" s="61">
        <f t="shared" si="74"/>
        <v>279.00188709677423</v>
      </c>
      <c r="T38" s="184">
        <f t="shared" ref="T38:T48" si="76">T21</f>
        <v>1.3701261204615001</v>
      </c>
      <c r="U38" s="74">
        <v>0.91</v>
      </c>
      <c r="V38" s="74">
        <f t="shared" ref="V38:V48" si="77">U38-T38</f>
        <v>-0.46012612046150003</v>
      </c>
      <c r="W38" s="187">
        <v>25</v>
      </c>
      <c r="X38" s="187">
        <v>0.96689999999999998</v>
      </c>
      <c r="Z38" s="101">
        <v>18</v>
      </c>
      <c r="AA38" s="101">
        <v>1</v>
      </c>
      <c r="AB38" s="101">
        <v>0.46250000000000002</v>
      </c>
      <c r="AD38" s="102">
        <f t="shared" si="28"/>
        <v>20</v>
      </c>
      <c r="AE38" s="102">
        <f t="shared" si="29"/>
        <v>25</v>
      </c>
      <c r="AF38" s="102">
        <f t="shared" si="30"/>
        <v>457</v>
      </c>
      <c r="AG38" s="102">
        <f t="shared" si="31"/>
        <v>541</v>
      </c>
      <c r="AH38" s="102">
        <f t="shared" si="32"/>
        <v>466</v>
      </c>
      <c r="AI38" s="102">
        <f t="shared" si="33"/>
        <v>505</v>
      </c>
      <c r="AJ38" s="102">
        <f t="shared" si="34"/>
        <v>625</v>
      </c>
      <c r="AK38" s="102">
        <f t="shared" si="35"/>
        <v>578</v>
      </c>
      <c r="AL38" s="102">
        <f>VLOOKUP($AE38,Usinas!$B$3:$F$241,5,FALSE)</f>
        <v>1</v>
      </c>
      <c r="AM38" s="102" t="str">
        <f>VLOOKUP($AE38,Usinas!$B$3:$H$241,7,FALSE)</f>
        <v>PARANA</v>
      </c>
      <c r="AN38" s="102" t="str">
        <f>VLOOKUP($AE38,Usinas!$B$3:$D$241,3,FALSE)</f>
        <v>PARANAÍBA</v>
      </c>
      <c r="AP38" s="103">
        <v>18</v>
      </c>
      <c r="AQ38" s="103" t="str">
        <f>IF(BA38=1,VLOOKUP($AP38,Usinas!$B$3:$F$244,2,0),"")</f>
        <v>ÁGUA VERMELHA</v>
      </c>
      <c r="AR38" s="103" t="str">
        <f>IF(BA38=1,VLOOKUP($AP38,Usinas!$B$3:$F$241,3,0),"")</f>
        <v>GRANDE</v>
      </c>
      <c r="AS38" s="103" t="str">
        <f>IF(BA38,VLOOKUP($AP38,Usinas!$B$3:$F$244,4,0),"")</f>
        <v>SUDESTE</v>
      </c>
      <c r="AT38" s="103">
        <f t="shared" si="39"/>
        <v>0.46250000000000002</v>
      </c>
      <c r="AU38" s="104">
        <f t="shared" si="58"/>
        <v>1292.6875</v>
      </c>
      <c r="AV38" s="104">
        <f t="shared" si="58"/>
        <v>1626.6125000000002</v>
      </c>
      <c r="AW38" s="104">
        <f t="shared" si="58"/>
        <v>1932.325</v>
      </c>
      <c r="AX38" s="104">
        <f t="shared" si="58"/>
        <v>2096.9749999999999</v>
      </c>
      <c r="AY38" s="104">
        <f t="shared" si="58"/>
        <v>2002.1625000000001</v>
      </c>
      <c r="AZ38" s="104">
        <f t="shared" si="58"/>
        <v>1996.6125000000002</v>
      </c>
      <c r="BA38" s="103">
        <f t="shared" si="40"/>
        <v>1</v>
      </c>
      <c r="BB38" s="103">
        <f t="shared" si="41"/>
        <v>0</v>
      </c>
      <c r="BC38" s="103" t="str">
        <f>IF(BA38=1,VLOOKUP($AP38,Usinas!$B$3:$H$244,7,0),"")</f>
        <v>PARANA</v>
      </c>
      <c r="BE38" s="103">
        <v>127</v>
      </c>
      <c r="BF38" s="104">
        <f t="shared" ref="BF38:BK38" si="78">VLOOKUP(129,$AE$21:$AK$211,BF$18,0)-BF45-VLOOKUP(203,$AE$21:$AK$211,BF$18,0)+BF48</f>
        <v>734</v>
      </c>
      <c r="BG38" s="104">
        <f t="shared" si="78"/>
        <v>857</v>
      </c>
      <c r="BH38" s="104">
        <f t="shared" si="78"/>
        <v>924</v>
      </c>
      <c r="BI38" s="104">
        <f t="shared" si="78"/>
        <v>898</v>
      </c>
      <c r="BJ38" s="104">
        <f t="shared" si="78"/>
        <v>779</v>
      </c>
      <c r="BK38" s="104">
        <f t="shared" si="78"/>
        <v>788</v>
      </c>
      <c r="BM38" s="105">
        <f t="shared" si="44"/>
        <v>20</v>
      </c>
      <c r="BN38" s="105">
        <f t="shared" si="45"/>
        <v>25</v>
      </c>
      <c r="BO38" s="151">
        <f>IF($BP$15=1,IFERROR(VLOOKUP(BN38,$BZ$20:CA201,2,0),0),VALUE(RIGHT(LEFT($B47,21),10)))</f>
        <v>335</v>
      </c>
      <c r="BP38" s="105">
        <f t="shared" si="46"/>
        <v>397</v>
      </c>
      <c r="BQ38" s="105">
        <f t="shared" si="47"/>
        <v>342</v>
      </c>
      <c r="BR38" s="105">
        <f t="shared" si="48"/>
        <v>370</v>
      </c>
      <c r="BS38" s="105">
        <f t="shared" si="49"/>
        <v>458</v>
      </c>
      <c r="BT38" s="105">
        <f t="shared" si="50"/>
        <v>424</v>
      </c>
      <c r="BU38" s="85"/>
      <c r="BV38" s="97" t="s">
        <v>330</v>
      </c>
      <c r="BW38" s="98" t="s">
        <v>259</v>
      </c>
      <c r="BX38" s="97" t="str">
        <f t="shared" si="63"/>
        <v>BCA Doce</v>
      </c>
      <c r="BZ38" s="147">
        <v>25</v>
      </c>
      <c r="CA38" s="148">
        <v>168</v>
      </c>
      <c r="CB38" s="106"/>
      <c r="CC38" s="87"/>
      <c r="CD38" s="107"/>
      <c r="CE38" s="78"/>
      <c r="CF38" s="108"/>
      <c r="CG38" s="90"/>
      <c r="CH38" s="87"/>
      <c r="CI38" s="87"/>
      <c r="CJ38" s="87"/>
      <c r="CK38" s="87"/>
      <c r="CL38" s="87"/>
      <c r="CM38" s="87"/>
    </row>
    <row r="39" spans="2:91" ht="15.6" x14ac:dyDescent="0.3">
      <c r="B39" s="99" t="s">
        <v>847</v>
      </c>
      <c r="C39" s="99"/>
      <c r="D39" s="99"/>
      <c r="E39" s="99"/>
      <c r="F39" s="99"/>
      <c r="G39" s="99"/>
      <c r="H39" s="99"/>
      <c r="I39" s="43"/>
      <c r="J39" s="99" t="str">
        <f t="shared" si="60"/>
        <v xml:space="preserve">    12   14        86        97        91        86        86        91</v>
      </c>
      <c r="L39" s="59" t="s">
        <v>285</v>
      </c>
      <c r="M39" s="60">
        <f t="shared" si="67"/>
        <v>12344.6531</v>
      </c>
      <c r="N39" s="60">
        <f t="shared" si="68"/>
        <v>13673.3459</v>
      </c>
      <c r="O39" s="60">
        <f t="shared" si="69"/>
        <v>14938.466399999999</v>
      </c>
      <c r="P39" s="60">
        <f t="shared" si="70"/>
        <v>15953.576299999999</v>
      </c>
      <c r="Q39" s="60">
        <f t="shared" si="71"/>
        <v>16929.554400000001</v>
      </c>
      <c r="R39" s="60">
        <f t="shared" si="72"/>
        <v>17498.0769</v>
      </c>
      <c r="S39" s="61">
        <f t="shared" si="74"/>
        <v>15080.598719354839</v>
      </c>
      <c r="T39" s="184">
        <f t="shared" si="76"/>
        <v>0.86647816792492627</v>
      </c>
      <c r="U39" s="74">
        <v>0.85</v>
      </c>
      <c r="V39" s="74">
        <f t="shared" si="77"/>
        <v>-1.647816792492629E-2</v>
      </c>
      <c r="W39" s="187">
        <v>28</v>
      </c>
      <c r="X39" s="187">
        <v>0.41689999999999999</v>
      </c>
      <c r="Z39" s="101">
        <v>19</v>
      </c>
      <c r="AA39" s="101">
        <v>0</v>
      </c>
      <c r="AB39" s="101">
        <v>0</v>
      </c>
      <c r="AD39" s="102">
        <f t="shared" si="28"/>
        <v>21</v>
      </c>
      <c r="AE39" s="102">
        <f t="shared" si="29"/>
        <v>28</v>
      </c>
      <c r="AF39" s="102">
        <f t="shared" si="30"/>
        <v>468</v>
      </c>
      <c r="AG39" s="102">
        <f t="shared" si="31"/>
        <v>565</v>
      </c>
      <c r="AH39" s="102">
        <f t="shared" si="32"/>
        <v>511</v>
      </c>
      <c r="AI39" s="102">
        <f t="shared" si="33"/>
        <v>530</v>
      </c>
      <c r="AJ39" s="102">
        <f t="shared" si="34"/>
        <v>630</v>
      </c>
      <c r="AK39" s="102">
        <f t="shared" si="35"/>
        <v>616</v>
      </c>
      <c r="AL39" s="102">
        <f>VLOOKUP($AE39,Usinas!$B$3:$F$241,5,FALSE)</f>
        <v>1</v>
      </c>
      <c r="AM39" s="102" t="str">
        <f>VLOOKUP($AE39,Usinas!$B$3:$H$241,7,FALSE)</f>
        <v>PARANA</v>
      </c>
      <c r="AN39" s="102" t="str">
        <f>VLOOKUP($AE39,Usinas!$B$3:$D$241,3,FALSE)</f>
        <v>PARANAÍBA</v>
      </c>
      <c r="AP39" s="103">
        <v>19</v>
      </c>
      <c r="AQ39" s="103" t="str">
        <f>IF(BA39=1,VLOOKUP($AP39,Usinas!$B$3:$F$244,2,0),"")</f>
        <v/>
      </c>
      <c r="AR39" s="103" t="str">
        <f>IF(BA39=1,VLOOKUP($AP39,Usinas!$B$3:$F$241,3,0),"")</f>
        <v/>
      </c>
      <c r="AS39" s="103" t="str">
        <f>IF(BA39,VLOOKUP($AP39,Usinas!$B$3:$F$244,4,0),"")</f>
        <v/>
      </c>
      <c r="AT39" s="103" t="str">
        <f t="shared" si="39"/>
        <v/>
      </c>
      <c r="AU39" s="104" t="str">
        <f t="shared" si="58"/>
        <v/>
      </c>
      <c r="AV39" s="104" t="str">
        <f t="shared" si="58"/>
        <v/>
      </c>
      <c r="AW39" s="104" t="str">
        <f t="shared" si="58"/>
        <v/>
      </c>
      <c r="AX39" s="104" t="str">
        <f t="shared" si="58"/>
        <v/>
      </c>
      <c r="AY39" s="104" t="str">
        <f t="shared" si="58"/>
        <v/>
      </c>
      <c r="AZ39" s="104" t="str">
        <f t="shared" si="58"/>
        <v/>
      </c>
      <c r="BA39" s="103">
        <f t="shared" si="40"/>
        <v>0</v>
      </c>
      <c r="BB39" s="103">
        <f t="shared" si="41"/>
        <v>0</v>
      </c>
      <c r="BC39" s="103" t="str">
        <f>IF(BA39=1,VLOOKUP($AP39,Usinas!$B$3:$H$244,7,0),"")</f>
        <v/>
      </c>
      <c r="BE39" s="103">
        <v>131</v>
      </c>
      <c r="BF39" s="104">
        <f>MIN(BF52,144)</f>
        <v>144</v>
      </c>
      <c r="BG39" s="104">
        <f t="shared" ref="BG39:BK39" si="79">MIN(BG52,144)</f>
        <v>144</v>
      </c>
      <c r="BH39" s="104">
        <f t="shared" si="79"/>
        <v>144</v>
      </c>
      <c r="BI39" s="104">
        <f t="shared" si="79"/>
        <v>144</v>
      </c>
      <c r="BJ39" s="104">
        <f t="shared" si="79"/>
        <v>144</v>
      </c>
      <c r="BK39" s="104">
        <f t="shared" si="79"/>
        <v>144</v>
      </c>
      <c r="BM39" s="105">
        <f t="shared" si="44"/>
        <v>21</v>
      </c>
      <c r="BN39" s="105">
        <f t="shared" si="45"/>
        <v>28</v>
      </c>
      <c r="BO39" s="151">
        <f>IF($BP$15=1,IFERROR(VLOOKUP(BN39,$BZ$20:CA202,2,0),0),VALUE(RIGHT(LEFT($B48,21),10)))</f>
        <v>343</v>
      </c>
      <c r="BP39" s="105">
        <f t="shared" si="46"/>
        <v>414</v>
      </c>
      <c r="BQ39" s="105">
        <f t="shared" si="47"/>
        <v>375</v>
      </c>
      <c r="BR39" s="105">
        <f t="shared" si="48"/>
        <v>389</v>
      </c>
      <c r="BS39" s="105">
        <f t="shared" si="49"/>
        <v>462</v>
      </c>
      <c r="BT39" s="105">
        <f t="shared" si="50"/>
        <v>452</v>
      </c>
      <c r="BU39" s="85"/>
      <c r="BV39" s="97" t="s">
        <v>330</v>
      </c>
      <c r="BW39" s="98" t="s">
        <v>272</v>
      </c>
      <c r="BX39" s="97" t="str">
        <f t="shared" si="63"/>
        <v>BCA Grande</v>
      </c>
      <c r="BZ39" s="147">
        <v>206</v>
      </c>
      <c r="CA39" s="148">
        <v>180</v>
      </c>
      <c r="CB39" s="106"/>
      <c r="CC39" s="87"/>
      <c r="CD39" s="107"/>
      <c r="CE39" s="78"/>
      <c r="CF39" s="108"/>
      <c r="CG39" s="90"/>
      <c r="CH39" s="87"/>
      <c r="CI39" s="87"/>
      <c r="CJ39" s="87"/>
      <c r="CK39" s="87"/>
      <c r="CL39" s="87"/>
      <c r="CM39" s="87"/>
    </row>
    <row r="40" spans="2:91" ht="15.6" x14ac:dyDescent="0.3">
      <c r="B40" s="99" t="s">
        <v>848</v>
      </c>
      <c r="C40" s="99"/>
      <c r="D40" s="99"/>
      <c r="E40" s="99"/>
      <c r="F40" s="99"/>
      <c r="G40" s="99"/>
      <c r="H40" s="99"/>
      <c r="I40" s="43"/>
      <c r="J40" s="99" t="str">
        <f t="shared" si="60"/>
        <v xml:space="preserve">    13   15       136       160       147       142       142       150</v>
      </c>
      <c r="L40" s="59" t="s">
        <v>327</v>
      </c>
      <c r="M40" s="60">
        <f t="shared" si="67"/>
        <v>168.5598</v>
      </c>
      <c r="N40" s="60">
        <f t="shared" si="68"/>
        <v>188.5855</v>
      </c>
      <c r="O40" s="60">
        <f t="shared" si="69"/>
        <v>210.67239999999998</v>
      </c>
      <c r="P40" s="60">
        <f t="shared" si="70"/>
        <v>230.01900000000001</v>
      </c>
      <c r="Q40" s="60">
        <f t="shared" si="71"/>
        <v>264.58979999999997</v>
      </c>
      <c r="R40" s="60">
        <f t="shared" si="72"/>
        <v>301.72140000000002</v>
      </c>
      <c r="S40" s="61">
        <f t="shared" si="74"/>
        <v>218.1531064516129</v>
      </c>
      <c r="T40" s="184">
        <f t="shared" si="76"/>
        <v>1.195092254936241</v>
      </c>
      <c r="U40" s="74">
        <v>0.83</v>
      </c>
      <c r="V40" s="74">
        <f t="shared" si="77"/>
        <v>-0.36509225493624109</v>
      </c>
      <c r="W40" s="187">
        <v>31</v>
      </c>
      <c r="X40" s="187">
        <v>0.70269999999999999</v>
      </c>
      <c r="Z40" s="101">
        <v>20</v>
      </c>
      <c r="AA40" s="101">
        <v>0</v>
      </c>
      <c r="AB40" s="101">
        <v>0</v>
      </c>
      <c r="AD40" s="102">
        <f t="shared" si="28"/>
        <v>22</v>
      </c>
      <c r="AE40" s="102">
        <f t="shared" si="29"/>
        <v>31</v>
      </c>
      <c r="AF40" s="102">
        <f t="shared" si="30"/>
        <v>2011</v>
      </c>
      <c r="AG40" s="102">
        <f t="shared" si="31"/>
        <v>2611</v>
      </c>
      <c r="AH40" s="102">
        <f t="shared" si="32"/>
        <v>2553</v>
      </c>
      <c r="AI40" s="102">
        <f t="shared" si="33"/>
        <v>2544</v>
      </c>
      <c r="AJ40" s="102">
        <f t="shared" si="34"/>
        <v>2741</v>
      </c>
      <c r="AK40" s="102">
        <f t="shared" si="35"/>
        <v>2688</v>
      </c>
      <c r="AL40" s="102">
        <f>VLOOKUP($AE40,Usinas!$B$3:$F$241,5,FALSE)</f>
        <v>1</v>
      </c>
      <c r="AM40" s="102" t="str">
        <f>VLOOKUP($AE40,Usinas!$B$3:$H$241,7,FALSE)</f>
        <v>PARANA</v>
      </c>
      <c r="AN40" s="102" t="str">
        <f>VLOOKUP($AE40,Usinas!$B$3:$D$241,3,FALSE)</f>
        <v>PARANAÍBA</v>
      </c>
      <c r="AP40" s="103">
        <v>20</v>
      </c>
      <c r="AQ40" s="103" t="str">
        <f>IF(BA40=1,VLOOKUP($AP40,Usinas!$B$3:$F$244,2,0),"")</f>
        <v/>
      </c>
      <c r="AR40" s="103" t="str">
        <f>IF(BA40=1,VLOOKUP($AP40,Usinas!$B$3:$F$241,3,0),"")</f>
        <v/>
      </c>
      <c r="AS40" s="103" t="str">
        <f>IF(BA40,VLOOKUP($AP40,Usinas!$B$3:$F$244,4,0),"")</f>
        <v/>
      </c>
      <c r="AT40" s="103" t="str">
        <f t="shared" si="39"/>
        <v/>
      </c>
      <c r="AU40" s="104" t="str">
        <f t="shared" si="58"/>
        <v/>
      </c>
      <c r="AV40" s="104" t="str">
        <f t="shared" si="58"/>
        <v/>
      </c>
      <c r="AW40" s="104" t="str">
        <f t="shared" si="58"/>
        <v/>
      </c>
      <c r="AX40" s="104" t="str">
        <f t="shared" si="58"/>
        <v/>
      </c>
      <c r="AY40" s="104" t="str">
        <f t="shared" si="58"/>
        <v/>
      </c>
      <c r="AZ40" s="104" t="str">
        <f t="shared" si="58"/>
        <v/>
      </c>
      <c r="BA40" s="103">
        <f t="shared" si="40"/>
        <v>0</v>
      </c>
      <c r="BB40" s="103">
        <f t="shared" si="41"/>
        <v>0</v>
      </c>
      <c r="BC40" s="103" t="str">
        <f>IF(BA40=1,VLOOKUP($AP40,Usinas!$B$3:$H$244,7,0),"")</f>
        <v/>
      </c>
      <c r="BE40" s="103">
        <v>132</v>
      </c>
      <c r="BF40" s="104">
        <f t="shared" ref="BF40:BK40" si="80">VLOOKUP(202,$AE$21:$AK$211,BF$18,0)+MIN(VLOOKUP(201,$AE$21:$AK$211,BF$18,0),25)</f>
        <v>24</v>
      </c>
      <c r="BG40" s="104">
        <f t="shared" si="80"/>
        <v>29</v>
      </c>
      <c r="BH40" s="104">
        <f t="shared" si="80"/>
        <v>30</v>
      </c>
      <c r="BI40" s="104">
        <f t="shared" si="80"/>
        <v>26</v>
      </c>
      <c r="BJ40" s="104">
        <f t="shared" si="80"/>
        <v>29</v>
      </c>
      <c r="BK40" s="104">
        <f t="shared" si="80"/>
        <v>28</v>
      </c>
      <c r="BM40" s="105">
        <f t="shared" si="44"/>
        <v>22</v>
      </c>
      <c r="BN40" s="105">
        <f t="shared" si="45"/>
        <v>31</v>
      </c>
      <c r="BO40" s="151">
        <f>IF($BP$15=1,IFERROR(VLOOKUP(BN40,$BZ$20:CA203,2,0),0),VALUE(RIGHT(LEFT($B49,21),10)))</f>
        <v>1475</v>
      </c>
      <c r="BP40" s="105">
        <f t="shared" si="46"/>
        <v>1915</v>
      </c>
      <c r="BQ40" s="105">
        <f t="shared" si="47"/>
        <v>1872</v>
      </c>
      <c r="BR40" s="105">
        <f t="shared" si="48"/>
        <v>1866</v>
      </c>
      <c r="BS40" s="105">
        <f t="shared" si="49"/>
        <v>2010</v>
      </c>
      <c r="BT40" s="105">
        <f t="shared" si="50"/>
        <v>1971</v>
      </c>
      <c r="BU40" s="85"/>
      <c r="BV40" s="97" t="s">
        <v>330</v>
      </c>
      <c r="BW40" s="98" t="s">
        <v>268</v>
      </c>
      <c r="BX40" s="97" t="str">
        <f t="shared" si="63"/>
        <v>BCA Iguaçu</v>
      </c>
      <c r="BZ40" s="147">
        <v>207</v>
      </c>
      <c r="CA40" s="148">
        <v>183</v>
      </c>
      <c r="CB40" s="106"/>
      <c r="CC40" s="87"/>
      <c r="CD40" s="107"/>
      <c r="CE40" s="78"/>
      <c r="CF40" s="89"/>
      <c r="CG40" s="90"/>
      <c r="CH40" s="87"/>
      <c r="CI40" s="87"/>
      <c r="CJ40" s="87"/>
      <c r="CK40" s="87"/>
      <c r="CL40" s="87"/>
      <c r="CM40" s="87"/>
    </row>
    <row r="41" spans="2:91" ht="15.6" x14ac:dyDescent="0.3">
      <c r="B41" s="99" t="s">
        <v>849</v>
      </c>
      <c r="C41" s="99"/>
      <c r="D41" s="99"/>
      <c r="E41" s="99"/>
      <c r="F41" s="99"/>
      <c r="G41" s="99"/>
      <c r="H41" s="99"/>
      <c r="I41" s="43"/>
      <c r="J41" s="99" t="str">
        <f t="shared" si="60"/>
        <v xml:space="preserve">    14   16       136       161       149       145       142       153</v>
      </c>
      <c r="L41" s="59" t="s">
        <v>266</v>
      </c>
      <c r="M41" s="60">
        <f t="shared" si="67"/>
        <v>472.07447999999994</v>
      </c>
      <c r="N41" s="60">
        <f t="shared" si="68"/>
        <v>625.45607999999993</v>
      </c>
      <c r="O41" s="60">
        <f t="shared" si="69"/>
        <v>691.35335999999995</v>
      </c>
      <c r="P41" s="60">
        <f t="shared" si="70"/>
        <v>613.52639999999997</v>
      </c>
      <c r="Q41" s="60">
        <f t="shared" si="71"/>
        <v>739.64015999999992</v>
      </c>
      <c r="R41" s="60">
        <f t="shared" si="72"/>
        <v>648.74735999999996</v>
      </c>
      <c r="S41" s="61">
        <f t="shared" si="74"/>
        <v>648.58243354838714</v>
      </c>
      <c r="T41" s="184">
        <f t="shared" si="76"/>
        <v>1.0455773344639572</v>
      </c>
      <c r="U41" s="74">
        <v>0.9</v>
      </c>
      <c r="V41" s="74">
        <f t="shared" si="77"/>
        <v>-0.14557733446395715</v>
      </c>
      <c r="W41" s="187">
        <v>32</v>
      </c>
      <c r="X41" s="187">
        <v>0.2702</v>
      </c>
      <c r="Z41" s="101">
        <v>21</v>
      </c>
      <c r="AA41" s="101">
        <v>0</v>
      </c>
      <c r="AB41" s="101">
        <v>0</v>
      </c>
      <c r="AD41" s="102">
        <f t="shared" si="28"/>
        <v>23</v>
      </c>
      <c r="AE41" s="102">
        <f t="shared" si="29"/>
        <v>32</v>
      </c>
      <c r="AF41" s="102">
        <f t="shared" si="30"/>
        <v>2069</v>
      </c>
      <c r="AG41" s="102">
        <f t="shared" si="31"/>
        <v>2682</v>
      </c>
      <c r="AH41" s="102">
        <f t="shared" si="32"/>
        <v>2655</v>
      </c>
      <c r="AI41" s="102">
        <f t="shared" si="33"/>
        <v>2639</v>
      </c>
      <c r="AJ41" s="102">
        <f t="shared" si="34"/>
        <v>2823</v>
      </c>
      <c r="AK41" s="102">
        <f t="shared" si="35"/>
        <v>2795</v>
      </c>
      <c r="AL41" s="102">
        <f>VLOOKUP($AE41,Usinas!$B$3:$F$241,5,FALSE)</f>
        <v>1</v>
      </c>
      <c r="AM41" s="102" t="str">
        <f>VLOOKUP($AE41,Usinas!$B$3:$H$241,7,FALSE)</f>
        <v>PARANA</v>
      </c>
      <c r="AN41" s="102" t="str">
        <f>VLOOKUP($AE41,Usinas!$B$3:$D$241,3,FALSE)</f>
        <v>PARANAÍBA</v>
      </c>
      <c r="AP41" s="103">
        <v>21</v>
      </c>
      <c r="AQ41" s="103" t="str">
        <f>IF(BA41=1,VLOOKUP($AP41,Usinas!$B$3:$F$244,2,0),"")</f>
        <v/>
      </c>
      <c r="AR41" s="103" t="str">
        <f>IF(BA41=1,VLOOKUP($AP41,Usinas!$B$3:$F$241,3,0),"")</f>
        <v/>
      </c>
      <c r="AS41" s="103" t="str">
        <f>IF(BA41,VLOOKUP($AP41,Usinas!$B$3:$F$244,4,0),"")</f>
        <v/>
      </c>
      <c r="AT41" s="103" t="str">
        <f t="shared" si="39"/>
        <v/>
      </c>
      <c r="AU41" s="104" t="str">
        <f t="shared" ref="AU41:AZ50" si="81">IF($BA41=1,IFERROR(VLOOKUP($AP41,$AE$21:$AK$211,AU$19,0),VLOOKUP($AP41,$BE$21:$BK$65,AU$19,0))*$AT41,"")</f>
        <v/>
      </c>
      <c r="AV41" s="104" t="str">
        <f t="shared" si="81"/>
        <v/>
      </c>
      <c r="AW41" s="104" t="str">
        <f t="shared" si="81"/>
        <v/>
      </c>
      <c r="AX41" s="104" t="str">
        <f t="shared" si="81"/>
        <v/>
      </c>
      <c r="AY41" s="104" t="str">
        <f t="shared" si="81"/>
        <v/>
      </c>
      <c r="AZ41" s="104" t="str">
        <f t="shared" si="81"/>
        <v/>
      </c>
      <c r="BA41" s="103">
        <f t="shared" si="40"/>
        <v>0</v>
      </c>
      <c r="BB41" s="103">
        <f t="shared" si="41"/>
        <v>0</v>
      </c>
      <c r="BC41" s="103" t="str">
        <f>IF(BA41=1,VLOOKUP($AP41,Usinas!$B$3:$H$244,7,0),"")</f>
        <v/>
      </c>
      <c r="BE41" s="103">
        <v>164</v>
      </c>
      <c r="BF41" s="104">
        <f t="shared" ref="BF41:BK41" si="82">VLOOKUP(161,$AE$21:$AK$211,BF$18,0)-VLOOKUP(117,$AE$21:$AK$211,BF$18,0)-VLOOKUP(118,$AE$21:$AK$211,BF$18,0)</f>
        <v>161</v>
      </c>
      <c r="BG41" s="104">
        <f t="shared" si="82"/>
        <v>211</v>
      </c>
      <c r="BH41" s="104">
        <f t="shared" si="82"/>
        <v>237</v>
      </c>
      <c r="BI41" s="104">
        <f t="shared" si="82"/>
        <v>210</v>
      </c>
      <c r="BJ41" s="104">
        <f t="shared" si="82"/>
        <v>252</v>
      </c>
      <c r="BK41" s="104">
        <f t="shared" si="82"/>
        <v>222</v>
      </c>
      <c r="BM41" s="105">
        <f t="shared" si="44"/>
        <v>23</v>
      </c>
      <c r="BN41" s="105">
        <f t="shared" si="45"/>
        <v>32</v>
      </c>
      <c r="BO41" s="151">
        <f>IF($BP$15=1,IFERROR(VLOOKUP(BN41,$BZ$20:CA204,2,0),0),VALUE(RIGHT(LEFT($B50,21),10)))</f>
        <v>1517</v>
      </c>
      <c r="BP41" s="105">
        <f t="shared" si="46"/>
        <v>1967</v>
      </c>
      <c r="BQ41" s="105">
        <f t="shared" si="47"/>
        <v>1947</v>
      </c>
      <c r="BR41" s="105">
        <f t="shared" si="48"/>
        <v>1935</v>
      </c>
      <c r="BS41" s="105">
        <f t="shared" si="49"/>
        <v>2070</v>
      </c>
      <c r="BT41" s="105">
        <f t="shared" si="50"/>
        <v>2050</v>
      </c>
      <c r="BU41" s="85"/>
      <c r="BV41" s="97" t="s">
        <v>330</v>
      </c>
      <c r="BW41" s="98" t="s">
        <v>276</v>
      </c>
      <c r="BX41" s="97" t="str">
        <f t="shared" si="63"/>
        <v>BCA Itabapoana</v>
      </c>
      <c r="BZ41" s="147">
        <v>28</v>
      </c>
      <c r="CA41" s="148">
        <v>190</v>
      </c>
      <c r="CB41" s="106"/>
      <c r="CC41" s="87"/>
      <c r="CD41" s="107"/>
      <c r="CE41" s="78"/>
      <c r="CF41" s="89"/>
      <c r="CG41" s="90"/>
      <c r="CH41" s="87"/>
      <c r="CI41" s="87"/>
      <c r="CJ41" s="87"/>
      <c r="CK41" s="87"/>
      <c r="CL41" s="87"/>
      <c r="CM41" s="87"/>
    </row>
    <row r="42" spans="2:91" ht="15.6" x14ac:dyDescent="0.3">
      <c r="B42" s="99" t="s">
        <v>850</v>
      </c>
      <c r="C42" s="99"/>
      <c r="D42" s="99"/>
      <c r="E42" s="99"/>
      <c r="F42" s="99"/>
      <c r="G42" s="99"/>
      <c r="H42" s="99"/>
      <c r="I42" s="43"/>
      <c r="J42" s="99" t="str">
        <f t="shared" si="60"/>
        <v xml:space="preserve">    15   17      2525      3181      3713      3964      3721      3723</v>
      </c>
      <c r="L42" s="59" t="s">
        <v>275</v>
      </c>
      <c r="M42" s="60">
        <f t="shared" si="67"/>
        <v>120.7298</v>
      </c>
      <c r="N42" s="60">
        <f t="shared" si="68"/>
        <v>114.37559999999999</v>
      </c>
      <c r="O42" s="60">
        <f t="shared" si="69"/>
        <v>133.43819999999999</v>
      </c>
      <c r="P42" s="60">
        <f t="shared" si="70"/>
        <v>133.43819999999999</v>
      </c>
      <c r="Q42" s="60">
        <f t="shared" si="71"/>
        <v>146.14659999999998</v>
      </c>
      <c r="R42" s="60">
        <f t="shared" si="72"/>
        <v>114.37559999999999</v>
      </c>
      <c r="S42" s="61">
        <f t="shared" si="74"/>
        <v>130.77353548387094</v>
      </c>
      <c r="T42" s="184">
        <f t="shared" si="76"/>
        <v>1.1698387254790077</v>
      </c>
      <c r="U42" s="74">
        <v>0.6</v>
      </c>
      <c r="V42" s="74">
        <f t="shared" si="77"/>
        <v>-0.56983872547900771</v>
      </c>
      <c r="W42" s="187">
        <v>33</v>
      </c>
      <c r="X42" s="187">
        <v>0.63549999999999995</v>
      </c>
      <c r="Z42" s="101">
        <v>22</v>
      </c>
      <c r="AA42" s="101">
        <v>1</v>
      </c>
      <c r="AB42" s="101">
        <v>0.35510000000000003</v>
      </c>
      <c r="AD42" s="102">
        <f t="shared" si="28"/>
        <v>24</v>
      </c>
      <c r="AE42" s="102">
        <f t="shared" si="29"/>
        <v>33</v>
      </c>
      <c r="AF42" s="102">
        <f t="shared" si="30"/>
        <v>3155</v>
      </c>
      <c r="AG42" s="102">
        <f t="shared" si="31"/>
        <v>3995</v>
      </c>
      <c r="AH42" s="102">
        <f t="shared" si="32"/>
        <v>4162</v>
      </c>
      <c r="AI42" s="102">
        <f t="shared" si="33"/>
        <v>4076</v>
      </c>
      <c r="AJ42" s="102">
        <f t="shared" si="34"/>
        <v>4313</v>
      </c>
      <c r="AK42" s="102">
        <f t="shared" si="35"/>
        <v>4299</v>
      </c>
      <c r="AL42" s="102">
        <f>VLOOKUP($AE42,Usinas!$B$3:$F$241,5,FALSE)</f>
        <v>1</v>
      </c>
      <c r="AM42" s="102" t="str">
        <f>VLOOKUP($AE42,Usinas!$B$3:$H$241,7,FALSE)</f>
        <v>PARANA</v>
      </c>
      <c r="AN42" s="102" t="str">
        <f>VLOOKUP($AE42,Usinas!$B$3:$D$241,3,FALSE)</f>
        <v>PARANAÍBA</v>
      </c>
      <c r="AP42" s="103">
        <v>22</v>
      </c>
      <c r="AQ42" s="103" t="str">
        <f>IF(BA42=1,VLOOKUP($AP42,Usinas!$B$3:$F$244,2,0),"")</f>
        <v>BATALHA</v>
      </c>
      <c r="AR42" s="103" t="str">
        <f>IF(BA42=1,VLOOKUP($AP42,Usinas!$B$3:$F$241,3,0),"")</f>
        <v>PARANAÍBA</v>
      </c>
      <c r="AS42" s="103" t="str">
        <f>IF(BA42,VLOOKUP($AP42,Usinas!$B$3:$F$244,4,0),"")</f>
        <v>SUDESTE</v>
      </c>
      <c r="AT42" s="103">
        <f t="shared" si="39"/>
        <v>0.35510000000000003</v>
      </c>
      <c r="AU42" s="104">
        <f t="shared" si="81"/>
        <v>59.656800000000004</v>
      </c>
      <c r="AV42" s="104">
        <f t="shared" si="81"/>
        <v>76.346500000000006</v>
      </c>
      <c r="AW42" s="104">
        <f t="shared" si="81"/>
        <v>73.150600000000011</v>
      </c>
      <c r="AX42" s="104">
        <f t="shared" si="81"/>
        <v>72.795500000000004</v>
      </c>
      <c r="AY42" s="104">
        <f t="shared" si="81"/>
        <v>78.122</v>
      </c>
      <c r="AZ42" s="104">
        <f t="shared" si="81"/>
        <v>80.252600000000001</v>
      </c>
      <c r="BA42" s="103">
        <f t="shared" si="40"/>
        <v>1</v>
      </c>
      <c r="BB42" s="103">
        <f t="shared" si="41"/>
        <v>0</v>
      </c>
      <c r="BC42" s="103" t="str">
        <f>IF(BA42=1,VLOOKUP($AP42,Usinas!$B$3:$H$244,7,0),"")</f>
        <v>PARANA</v>
      </c>
      <c r="BE42" s="103">
        <v>173</v>
      </c>
      <c r="BF42" s="104">
        <f t="shared" ref="BF42:BK42" si="83">VLOOKUP(172,$AE$21:$AK$211,BF$18,0)</f>
        <v>2783</v>
      </c>
      <c r="BG42" s="104">
        <f t="shared" si="83"/>
        <v>2844</v>
      </c>
      <c r="BH42" s="104">
        <f t="shared" si="83"/>
        <v>3140</v>
      </c>
      <c r="BI42" s="104">
        <f t="shared" si="83"/>
        <v>3451</v>
      </c>
      <c r="BJ42" s="104">
        <f t="shared" si="83"/>
        <v>3335</v>
      </c>
      <c r="BK42" s="104">
        <f t="shared" si="83"/>
        <v>3242</v>
      </c>
      <c r="BM42" s="105">
        <f t="shared" si="44"/>
        <v>24</v>
      </c>
      <c r="BN42" s="105">
        <f t="shared" si="45"/>
        <v>33</v>
      </c>
      <c r="BO42" s="151">
        <f>IF($BP$15=1,IFERROR(VLOOKUP(BN42,$BZ$20:CA205,2,0),0),VALUE(RIGHT(LEFT($B51,21),10)))</f>
        <v>2314</v>
      </c>
      <c r="BP42" s="105">
        <f t="shared" si="46"/>
        <v>2930</v>
      </c>
      <c r="BQ42" s="105">
        <f t="shared" si="47"/>
        <v>3052</v>
      </c>
      <c r="BR42" s="105">
        <f t="shared" si="48"/>
        <v>2989</v>
      </c>
      <c r="BS42" s="105">
        <f t="shared" si="49"/>
        <v>3163</v>
      </c>
      <c r="BT42" s="105">
        <f t="shared" si="50"/>
        <v>3153</v>
      </c>
      <c r="BU42" s="85"/>
      <c r="BV42" s="97" t="s">
        <v>330</v>
      </c>
      <c r="BW42" s="98" t="s">
        <v>273</v>
      </c>
      <c r="BX42" s="97" t="str">
        <f t="shared" si="63"/>
        <v>BCA Itajaí-Açu</v>
      </c>
      <c r="BZ42" s="147">
        <v>205</v>
      </c>
      <c r="CA42" s="148">
        <v>69</v>
      </c>
      <c r="CB42" s="106"/>
      <c r="CC42" s="87"/>
      <c r="CD42" s="107"/>
      <c r="CE42" s="78"/>
      <c r="CF42" s="89"/>
      <c r="CG42" s="90"/>
      <c r="CH42" s="87"/>
      <c r="CI42" s="87"/>
      <c r="CJ42" s="87"/>
      <c r="CK42" s="87"/>
      <c r="CL42" s="87"/>
      <c r="CM42" s="87"/>
    </row>
    <row r="43" spans="2:91" ht="15.6" x14ac:dyDescent="0.3">
      <c r="B43" s="99" t="s">
        <v>851</v>
      </c>
      <c r="C43" s="99"/>
      <c r="D43" s="99"/>
      <c r="E43" s="99"/>
      <c r="F43" s="99"/>
      <c r="G43" s="99"/>
      <c r="H43" s="99"/>
      <c r="I43" s="43"/>
      <c r="J43" s="99" t="str">
        <f t="shared" si="60"/>
        <v xml:space="preserve">    16   18      2795      3517      4178      4534      4329      4317</v>
      </c>
      <c r="L43" s="59" t="s">
        <v>270</v>
      </c>
      <c r="M43" s="60">
        <f t="shared" si="67"/>
        <v>1631.2408</v>
      </c>
      <c r="N43" s="60">
        <f t="shared" si="68"/>
        <v>1849.3379</v>
      </c>
      <c r="O43" s="60">
        <f t="shared" si="69"/>
        <v>1519.2433999999998</v>
      </c>
      <c r="P43" s="60">
        <f t="shared" si="70"/>
        <v>1419.4806999999998</v>
      </c>
      <c r="Q43" s="60">
        <f t="shared" si="71"/>
        <v>1487.0216</v>
      </c>
      <c r="R43" s="60">
        <f t="shared" si="72"/>
        <v>1173.92</v>
      </c>
      <c r="S43" s="61">
        <f t="shared" si="74"/>
        <v>1574.8163741935482</v>
      </c>
      <c r="T43" s="184">
        <f t="shared" si="76"/>
        <v>1.3086175299633009</v>
      </c>
      <c r="U43" s="74">
        <v>0.89</v>
      </c>
      <c r="V43" s="74">
        <f t="shared" si="77"/>
        <v>-0.41861752996330093</v>
      </c>
      <c r="W43" s="187">
        <v>34</v>
      </c>
      <c r="X43" s="187">
        <v>0.38690000000000002</v>
      </c>
      <c r="Z43" s="101">
        <v>23</v>
      </c>
      <c r="AA43" s="101">
        <v>1</v>
      </c>
      <c r="AB43" s="101">
        <v>0.34710000000000002</v>
      </c>
      <c r="AD43" s="102">
        <f t="shared" si="28"/>
        <v>25</v>
      </c>
      <c r="AE43" s="102">
        <f t="shared" si="29"/>
        <v>34</v>
      </c>
      <c r="AF43" s="102">
        <f t="shared" si="30"/>
        <v>7138</v>
      </c>
      <c r="AG43" s="102">
        <f t="shared" si="31"/>
        <v>8679</v>
      </c>
      <c r="AH43" s="102">
        <f t="shared" si="32"/>
        <v>9878</v>
      </c>
      <c r="AI43" s="102">
        <f t="shared" si="33"/>
        <v>10272</v>
      </c>
      <c r="AJ43" s="102">
        <f t="shared" si="34"/>
        <v>10320</v>
      </c>
      <c r="AK43" s="102">
        <f t="shared" si="35"/>
        <v>10413</v>
      </c>
      <c r="AL43" s="102">
        <f>VLOOKUP($AE43,Usinas!$B$3:$F$241,5,FALSE)</f>
        <v>1</v>
      </c>
      <c r="AM43" s="102" t="str">
        <f>VLOOKUP($AE43,Usinas!$B$3:$H$241,7,FALSE)</f>
        <v>PARANA</v>
      </c>
      <c r="AN43" s="102" t="str">
        <f>VLOOKUP($AE43,Usinas!$B$3:$D$241,3,FALSE)</f>
        <v>ALTO PARANÁ</v>
      </c>
      <c r="AP43" s="103">
        <v>23</v>
      </c>
      <c r="AQ43" s="103" t="str">
        <f>IF(BA43=1,VLOOKUP($AP43,Usinas!$B$3:$F$244,2,0),"")</f>
        <v>CORUMBA III</v>
      </c>
      <c r="AR43" s="103" t="str">
        <f>IF(BA43=1,VLOOKUP($AP43,Usinas!$B$3:$F$241,3,0),"")</f>
        <v>PARANAÍBA</v>
      </c>
      <c r="AS43" s="103" t="str">
        <f>IF(BA43,VLOOKUP($AP43,Usinas!$B$3:$F$244,4,0),"")</f>
        <v>SUDESTE</v>
      </c>
      <c r="AT43" s="103">
        <f t="shared" si="39"/>
        <v>0.34710000000000002</v>
      </c>
      <c r="AU43" s="104">
        <f t="shared" si="81"/>
        <v>75.320700000000002</v>
      </c>
      <c r="AV43" s="104">
        <f t="shared" si="81"/>
        <v>85.733699999999999</v>
      </c>
      <c r="AW43" s="104">
        <f t="shared" si="81"/>
        <v>90.940200000000004</v>
      </c>
      <c r="AX43" s="104">
        <f t="shared" si="81"/>
        <v>89.898900000000012</v>
      </c>
      <c r="AY43" s="104">
        <f t="shared" si="81"/>
        <v>100.65900000000001</v>
      </c>
      <c r="AZ43" s="104">
        <f t="shared" si="81"/>
        <v>100.65900000000001</v>
      </c>
      <c r="BA43" s="103">
        <f t="shared" si="40"/>
        <v>1</v>
      </c>
      <c r="BB43" s="103">
        <f t="shared" si="41"/>
        <v>0</v>
      </c>
      <c r="BC43" s="103" t="str">
        <f>IF(BA43=1,VLOOKUP($AP43,Usinas!$B$3:$H$244,7,0),"")</f>
        <v>PARANA</v>
      </c>
      <c r="BE43" s="103">
        <v>176</v>
      </c>
      <c r="BF43" s="104">
        <f t="shared" ref="BF43:BK43" si="84">VLOOKUP(173,$AE$21:$AK$211,BF$18,0)</f>
        <v>2783</v>
      </c>
      <c r="BG43" s="104">
        <f t="shared" si="84"/>
        <v>2844</v>
      </c>
      <c r="BH43" s="104">
        <f t="shared" si="84"/>
        <v>3140</v>
      </c>
      <c r="BI43" s="104">
        <f t="shared" si="84"/>
        <v>3451</v>
      </c>
      <c r="BJ43" s="104">
        <f t="shared" si="84"/>
        <v>3335</v>
      </c>
      <c r="BK43" s="104">
        <f t="shared" si="84"/>
        <v>3242</v>
      </c>
      <c r="BM43" s="105">
        <f t="shared" si="44"/>
        <v>25</v>
      </c>
      <c r="BN43" s="105">
        <f t="shared" si="45"/>
        <v>34</v>
      </c>
      <c r="BO43" s="151">
        <f>IF($BP$15=1,IFERROR(VLOOKUP(BN43,$BZ$20:CA206,2,0),0),VALUE(RIGHT(LEFT($B52,21),10)))</f>
        <v>5235</v>
      </c>
      <c r="BP43" s="105">
        <f t="shared" si="46"/>
        <v>6365</v>
      </c>
      <c r="BQ43" s="105">
        <f t="shared" si="47"/>
        <v>7244</v>
      </c>
      <c r="BR43" s="105">
        <f t="shared" si="48"/>
        <v>7533</v>
      </c>
      <c r="BS43" s="105">
        <f t="shared" si="49"/>
        <v>7568</v>
      </c>
      <c r="BT43" s="105">
        <f t="shared" si="50"/>
        <v>7636</v>
      </c>
      <c r="BU43" s="85"/>
      <c r="BV43" s="97" t="s">
        <v>330</v>
      </c>
      <c r="BW43" s="98" t="s">
        <v>282</v>
      </c>
      <c r="BX43" s="97" t="str">
        <f t="shared" si="63"/>
        <v>BCA Jacuí</v>
      </c>
      <c r="BZ43" s="147">
        <v>23</v>
      </c>
      <c r="CA43" s="148">
        <v>91</v>
      </c>
      <c r="CB43" s="106"/>
      <c r="CC43" s="87"/>
      <c r="CD43" s="107"/>
      <c r="CE43" s="78"/>
      <c r="CF43" s="89"/>
      <c r="CG43" s="90"/>
      <c r="CH43" s="87"/>
      <c r="CI43" s="87"/>
      <c r="CJ43" s="87"/>
      <c r="CK43" s="87"/>
      <c r="CL43" s="87"/>
      <c r="CM43" s="87"/>
    </row>
    <row r="44" spans="2:91" ht="15.6" x14ac:dyDescent="0.3">
      <c r="B44" s="99" t="s">
        <v>852</v>
      </c>
      <c r="C44" s="99"/>
      <c r="D44" s="99"/>
      <c r="E44" s="99"/>
      <c r="F44" s="99"/>
      <c r="G44" s="99"/>
      <c r="H44" s="99"/>
      <c r="I44" s="43"/>
      <c r="J44" s="99" t="str">
        <f t="shared" si="60"/>
        <v xml:space="preserve">    17   22       168       215       206       205       220       226</v>
      </c>
      <c r="L44" s="59" t="s">
        <v>259</v>
      </c>
      <c r="M44" s="60">
        <f t="shared" si="67"/>
        <v>7307.0933000000014</v>
      </c>
      <c r="N44" s="60">
        <f t="shared" si="68"/>
        <v>9179.9346000000023</v>
      </c>
      <c r="O44" s="60">
        <f t="shared" si="69"/>
        <v>10405.589400000001</v>
      </c>
      <c r="P44" s="60">
        <f t="shared" si="70"/>
        <v>10838.779699999999</v>
      </c>
      <c r="Q44" s="60">
        <f t="shared" si="71"/>
        <v>9808.2806</v>
      </c>
      <c r="R44" s="60">
        <f t="shared" si="72"/>
        <v>9796.7899999999991</v>
      </c>
      <c r="S44" s="61">
        <f t="shared" si="74"/>
        <v>9791.9151612903242</v>
      </c>
      <c r="T44" s="184">
        <f t="shared" si="76"/>
        <v>1.0826991526182619</v>
      </c>
      <c r="U44" s="74">
        <v>0.56999999999999995</v>
      </c>
      <c r="V44" s="74">
        <f t="shared" si="77"/>
        <v>-0.51269915261826193</v>
      </c>
      <c r="W44" s="187">
        <v>37</v>
      </c>
      <c r="X44" s="187">
        <v>0.17760000000000001</v>
      </c>
      <c r="Z44" s="101">
        <v>24</v>
      </c>
      <c r="AA44" s="101">
        <v>1</v>
      </c>
      <c r="AB44" s="101">
        <v>1.1581999999999999</v>
      </c>
      <c r="AD44" s="102">
        <f t="shared" si="28"/>
        <v>26</v>
      </c>
      <c r="AE44" s="102">
        <f t="shared" si="29"/>
        <v>47</v>
      </c>
      <c r="AF44" s="102">
        <f t="shared" si="30"/>
        <v>350</v>
      </c>
      <c r="AG44" s="102">
        <f t="shared" si="31"/>
        <v>406</v>
      </c>
      <c r="AH44" s="102">
        <f t="shared" si="32"/>
        <v>445</v>
      </c>
      <c r="AI44" s="102">
        <f t="shared" si="33"/>
        <v>521</v>
      </c>
      <c r="AJ44" s="102">
        <f t="shared" si="34"/>
        <v>578</v>
      </c>
      <c r="AK44" s="102">
        <f t="shared" si="35"/>
        <v>685</v>
      </c>
      <c r="AL44" s="102">
        <f>VLOOKUP($AE44,Usinas!$B$3:$F$241,5,FALSE)</f>
        <v>1</v>
      </c>
      <c r="AM44" s="102" t="str">
        <f>VLOOKUP($AE44,Usinas!$B$3:$H$241,7,FALSE)</f>
        <v>PRNPANEMA</v>
      </c>
      <c r="AN44" s="102" t="str">
        <f>VLOOKUP($AE44,Usinas!$B$3:$D$241,3,FALSE)</f>
        <v>PARANAPANEMA (SE)</v>
      </c>
      <c r="AP44" s="103">
        <v>24</v>
      </c>
      <c r="AQ44" s="103" t="str">
        <f>IF(BA44=1,VLOOKUP($AP44,Usinas!$B$3:$F$244,2,0),"")</f>
        <v>EMBORCACAO</v>
      </c>
      <c r="AR44" s="103" t="str">
        <f>IF(BA44=1,VLOOKUP($AP44,Usinas!$B$3:$F$241,3,0),"")</f>
        <v>PARANAÍBA</v>
      </c>
      <c r="AS44" s="103" t="str">
        <f>IF(BA44,VLOOKUP($AP44,Usinas!$B$3:$F$244,4,0),"")</f>
        <v>SUDESTE</v>
      </c>
      <c r="AT44" s="103">
        <f t="shared" si="39"/>
        <v>1.1581999999999999</v>
      </c>
      <c r="AU44" s="104">
        <f t="shared" si="81"/>
        <v>750.51359999999988</v>
      </c>
      <c r="AV44" s="104">
        <f t="shared" si="81"/>
        <v>1003.0011999999999</v>
      </c>
      <c r="AW44" s="104">
        <f t="shared" si="81"/>
        <v>928.87639999999988</v>
      </c>
      <c r="AX44" s="104">
        <f t="shared" si="81"/>
        <v>890.65579999999989</v>
      </c>
      <c r="AY44" s="104">
        <f t="shared" si="81"/>
        <v>977.52079999999989</v>
      </c>
      <c r="AZ44" s="104">
        <f t="shared" si="81"/>
        <v>963.62239999999997</v>
      </c>
      <c r="BA44" s="103">
        <f t="shared" si="40"/>
        <v>1</v>
      </c>
      <c r="BB44" s="103">
        <f t="shared" si="41"/>
        <v>0</v>
      </c>
      <c r="BC44" s="103" t="str">
        <f>IF(BA44=1,VLOOKUP($AP44,Usinas!$B$3:$H$244,7,0),"")</f>
        <v>PARANA</v>
      </c>
      <c r="BE44" s="103">
        <v>244</v>
      </c>
      <c r="BF44" s="104">
        <f t="shared" ref="BF44:BK44" si="85">VLOOKUP(34,$AE$21:$AK$211,BF$18,0)+VLOOKUP(243,$AE$21:$AK$211,BF$18,0)</f>
        <v>7959</v>
      </c>
      <c r="BG44" s="104">
        <f t="shared" si="85"/>
        <v>9773</v>
      </c>
      <c r="BH44" s="104">
        <f t="shared" si="85"/>
        <v>11156</v>
      </c>
      <c r="BI44" s="104">
        <f t="shared" si="85"/>
        <v>11777</v>
      </c>
      <c r="BJ44" s="104">
        <f t="shared" si="85"/>
        <v>11776</v>
      </c>
      <c r="BK44" s="104">
        <f t="shared" si="85"/>
        <v>12049</v>
      </c>
      <c r="BM44" s="105">
        <f t="shared" si="44"/>
        <v>26</v>
      </c>
      <c r="BN44" s="105">
        <f t="shared" si="45"/>
        <v>47</v>
      </c>
      <c r="BO44" s="151">
        <f>IF($BP$15=1,IFERROR(VLOOKUP(BN44,$BZ$20:CA207,2,0),0),VALUE(RIGHT(LEFT($B53,21),10)))</f>
        <v>257</v>
      </c>
      <c r="BP44" s="105">
        <f t="shared" si="46"/>
        <v>298</v>
      </c>
      <c r="BQ44" s="105">
        <f t="shared" si="47"/>
        <v>326</v>
      </c>
      <c r="BR44" s="105">
        <f t="shared" si="48"/>
        <v>382</v>
      </c>
      <c r="BS44" s="105">
        <f t="shared" si="49"/>
        <v>424</v>
      </c>
      <c r="BT44" s="105">
        <f t="shared" si="50"/>
        <v>502</v>
      </c>
      <c r="BU44" s="85"/>
      <c r="BV44" s="97" t="s">
        <v>330</v>
      </c>
      <c r="BW44" s="98" t="s">
        <v>281</v>
      </c>
      <c r="BX44" s="97" t="str">
        <f t="shared" si="63"/>
        <v>BCA Jequitinhonha (NE)</v>
      </c>
      <c r="BZ44" s="147">
        <v>209</v>
      </c>
      <c r="CA44" s="148">
        <v>232</v>
      </c>
      <c r="CB44" s="109"/>
      <c r="CC44" s="87"/>
      <c r="CD44" s="107"/>
      <c r="CE44" s="78"/>
      <c r="CF44" s="89"/>
      <c r="CG44" s="90"/>
      <c r="CH44" s="87"/>
      <c r="CI44" s="87"/>
      <c r="CJ44" s="87"/>
      <c r="CK44" s="87"/>
      <c r="CL44" s="87"/>
      <c r="CM44" s="87"/>
    </row>
    <row r="45" spans="2:91" ht="15.6" x14ac:dyDescent="0.3">
      <c r="B45" s="99" t="s">
        <v>853</v>
      </c>
      <c r="C45" s="99"/>
      <c r="D45" s="99"/>
      <c r="E45" s="99"/>
      <c r="F45" s="99"/>
      <c r="G45" s="99"/>
      <c r="H45" s="99"/>
      <c r="I45" s="43"/>
      <c r="J45" s="99" t="str">
        <f t="shared" si="60"/>
        <v xml:space="preserve">    18   23       217       247       262       259       290       290</v>
      </c>
      <c r="L45" s="59" t="s">
        <v>272</v>
      </c>
      <c r="M45" s="60">
        <f t="shared" si="67"/>
        <v>3744.0167999999999</v>
      </c>
      <c r="N45" s="60">
        <f t="shared" si="68"/>
        <v>4047.0362000000005</v>
      </c>
      <c r="O45" s="60">
        <f t="shared" si="69"/>
        <v>4317.4235000000008</v>
      </c>
      <c r="P45" s="60">
        <f t="shared" si="70"/>
        <v>4319.0139999999992</v>
      </c>
      <c r="Q45" s="60">
        <f t="shared" si="71"/>
        <v>4078.5891000000001</v>
      </c>
      <c r="R45" s="60">
        <f t="shared" si="72"/>
        <v>3788.2356000000004</v>
      </c>
      <c r="S45" s="61">
        <f t="shared" si="74"/>
        <v>4147.3061290322585</v>
      </c>
      <c r="T45" s="184">
        <f t="shared" si="76"/>
        <v>0.69728604708712194</v>
      </c>
      <c r="U45" s="74">
        <v>0.61</v>
      </c>
      <c r="V45" s="74">
        <f t="shared" si="77"/>
        <v>-8.7286047087121954E-2</v>
      </c>
      <c r="W45" s="187">
        <v>38</v>
      </c>
      <c r="X45" s="187">
        <v>0.18479999999999999</v>
      </c>
      <c r="Z45" s="101">
        <v>25</v>
      </c>
      <c r="AA45" s="101">
        <v>1</v>
      </c>
      <c r="AB45" s="101">
        <v>0.96689999999999998</v>
      </c>
      <c r="AD45" s="102">
        <f t="shared" si="28"/>
        <v>27</v>
      </c>
      <c r="AE45" s="102">
        <f t="shared" si="29"/>
        <v>48</v>
      </c>
      <c r="AF45" s="102">
        <f t="shared" si="30"/>
        <v>357</v>
      </c>
      <c r="AG45" s="102">
        <f t="shared" si="31"/>
        <v>413</v>
      </c>
      <c r="AH45" s="102">
        <f t="shared" si="32"/>
        <v>453</v>
      </c>
      <c r="AI45" s="102">
        <f t="shared" si="33"/>
        <v>532</v>
      </c>
      <c r="AJ45" s="102">
        <f t="shared" si="34"/>
        <v>588</v>
      </c>
      <c r="AK45" s="102">
        <f t="shared" si="35"/>
        <v>697</v>
      </c>
      <c r="AL45" s="102">
        <f>VLOOKUP($AE45,Usinas!$B$3:$F$241,5,FALSE)</f>
        <v>1</v>
      </c>
      <c r="AM45" s="102" t="str">
        <f>VLOOKUP($AE45,Usinas!$B$3:$H$241,7,FALSE)</f>
        <v>PRNPANEMA</v>
      </c>
      <c r="AN45" s="102" t="str">
        <f>VLOOKUP($AE45,Usinas!$B$3:$D$241,3,FALSE)</f>
        <v>PARANAPANEMA (SE)</v>
      </c>
      <c r="AP45" s="103">
        <v>25</v>
      </c>
      <c r="AQ45" s="103" t="str">
        <f>IF(BA45=1,VLOOKUP($AP45,Usinas!$B$3:$F$244,2,0),"")</f>
        <v>NOVA PONTE</v>
      </c>
      <c r="AR45" s="103" t="str">
        <f>IF(BA45=1,VLOOKUP($AP45,Usinas!$B$3:$F$241,3,0),"")</f>
        <v>PARANAÍBA</v>
      </c>
      <c r="AS45" s="103" t="str">
        <f>IF(BA45,VLOOKUP($AP45,Usinas!$B$3:$F$244,4,0),"")</f>
        <v>SUDESTE</v>
      </c>
      <c r="AT45" s="103">
        <f t="shared" si="39"/>
        <v>0.96689999999999998</v>
      </c>
      <c r="AU45" s="104">
        <f t="shared" si="81"/>
        <v>441.87329999999997</v>
      </c>
      <c r="AV45" s="104">
        <f t="shared" si="81"/>
        <v>523.09289999999999</v>
      </c>
      <c r="AW45" s="104">
        <f t="shared" si="81"/>
        <v>450.5754</v>
      </c>
      <c r="AX45" s="104">
        <f t="shared" si="81"/>
        <v>488.28449999999998</v>
      </c>
      <c r="AY45" s="104">
        <f t="shared" si="81"/>
        <v>604.3125</v>
      </c>
      <c r="AZ45" s="104">
        <f t="shared" si="81"/>
        <v>558.8682</v>
      </c>
      <c r="BA45" s="103">
        <f t="shared" si="40"/>
        <v>1</v>
      </c>
      <c r="BB45" s="103">
        <f t="shared" si="41"/>
        <v>0</v>
      </c>
      <c r="BC45" s="103" t="str">
        <f>IF(BA45=1,VLOOKUP($AP45,Usinas!$B$3:$H$244,7,0),"")</f>
        <v>PARANA</v>
      </c>
      <c r="BE45" s="103">
        <v>298</v>
      </c>
      <c r="BF45" s="104">
        <f t="shared" ref="BF45:BK45" si="86">IF(VLOOKUP(125,$AE$21:$AK$211,BF$18,0)&lt;=190,VLOOKUP(125,$AE$21:$AK$211,BF$18,0)*119/190,IF(VLOOKUP(125,$AE$21:$AK$211,BF$18,0)&lt;=209,119,IF(VLOOKUP(125,$AE$21:$AK$211,BF$18,0)&lt;=250,VLOOKUP(125,$AE$21:$AK$211,BF$18,0)-90,160)))</f>
        <v>160</v>
      </c>
      <c r="BG45" s="104">
        <f t="shared" si="86"/>
        <v>160</v>
      </c>
      <c r="BH45" s="104">
        <f t="shared" si="86"/>
        <v>160</v>
      </c>
      <c r="BI45" s="104">
        <f t="shared" si="86"/>
        <v>160</v>
      </c>
      <c r="BJ45" s="104">
        <f t="shared" si="86"/>
        <v>160</v>
      </c>
      <c r="BK45" s="104">
        <f t="shared" si="86"/>
        <v>160</v>
      </c>
      <c r="BM45" s="105">
        <f t="shared" si="44"/>
        <v>27</v>
      </c>
      <c r="BN45" s="105">
        <f t="shared" si="45"/>
        <v>48</v>
      </c>
      <c r="BO45" s="151">
        <f>IF($BP$15=1,IFERROR(VLOOKUP(BN45,$BZ$20:CA208,2,0),0),VALUE(RIGHT(LEFT($B54,21),10)))</f>
        <v>262</v>
      </c>
      <c r="BP45" s="105">
        <f t="shared" si="46"/>
        <v>303</v>
      </c>
      <c r="BQ45" s="105">
        <f t="shared" si="47"/>
        <v>332</v>
      </c>
      <c r="BR45" s="105">
        <f t="shared" si="48"/>
        <v>390</v>
      </c>
      <c r="BS45" s="105">
        <f t="shared" si="49"/>
        <v>431</v>
      </c>
      <c r="BT45" s="105">
        <f t="shared" si="50"/>
        <v>511</v>
      </c>
      <c r="BU45" s="85"/>
      <c r="BV45" s="97" t="s">
        <v>330</v>
      </c>
      <c r="BW45" s="98" t="s">
        <v>269</v>
      </c>
      <c r="BX45" s="97" t="str">
        <f t="shared" si="63"/>
        <v>BCA Jequitinhonha (SE)</v>
      </c>
      <c r="BZ45" s="147">
        <v>31</v>
      </c>
      <c r="CA45" s="148">
        <v>900</v>
      </c>
      <c r="CB45" s="109"/>
      <c r="CC45" s="87"/>
      <c r="CD45" s="107"/>
      <c r="CE45" s="78"/>
      <c r="CF45" s="89"/>
      <c r="CG45" s="90"/>
      <c r="CH45" s="87"/>
      <c r="CI45" s="87"/>
      <c r="CJ45" s="87"/>
      <c r="CK45" s="87"/>
      <c r="CL45" s="87"/>
      <c r="CM45" s="87"/>
    </row>
    <row r="46" spans="2:91" ht="15.6" x14ac:dyDescent="0.3">
      <c r="B46" s="99" t="s">
        <v>854</v>
      </c>
      <c r="C46" s="99"/>
      <c r="D46" s="99"/>
      <c r="E46" s="99"/>
      <c r="F46" s="99"/>
      <c r="G46" s="99"/>
      <c r="H46" s="99"/>
      <c r="I46" s="43"/>
      <c r="J46" s="99" t="str">
        <f t="shared" si="60"/>
        <v xml:space="preserve">    19   24       648       866       802       769       844       832</v>
      </c>
      <c r="L46" s="59" t="s">
        <v>268</v>
      </c>
      <c r="M46" s="60">
        <f t="shared" si="67"/>
        <v>150.4367</v>
      </c>
      <c r="N46" s="60">
        <f t="shared" si="68"/>
        <v>170.72029999999998</v>
      </c>
      <c r="O46" s="60">
        <f t="shared" si="69"/>
        <v>121.7016</v>
      </c>
      <c r="P46" s="60">
        <f t="shared" si="70"/>
        <v>118.321</v>
      </c>
      <c r="Q46" s="60">
        <f t="shared" si="71"/>
        <v>118.321</v>
      </c>
      <c r="R46" s="60">
        <f t="shared" si="72"/>
        <v>99.727699999999999</v>
      </c>
      <c r="S46" s="61">
        <f t="shared" si="74"/>
        <v>134.02443225806451</v>
      </c>
      <c r="T46" s="184">
        <f t="shared" si="76"/>
        <v>0.71734706821497307</v>
      </c>
      <c r="U46" s="74">
        <v>0.81</v>
      </c>
      <c r="V46" s="74">
        <f t="shared" si="77"/>
        <v>9.2652931785026982E-2</v>
      </c>
      <c r="W46" s="187">
        <v>39</v>
      </c>
      <c r="X46" s="187">
        <v>0.17369999999999999</v>
      </c>
      <c r="Z46" s="101">
        <v>26</v>
      </c>
      <c r="AA46" s="101">
        <v>0</v>
      </c>
      <c r="AB46" s="101">
        <v>0</v>
      </c>
      <c r="AD46" s="102">
        <f t="shared" si="28"/>
        <v>28</v>
      </c>
      <c r="AE46" s="102">
        <f t="shared" si="29"/>
        <v>49</v>
      </c>
      <c r="AF46" s="102">
        <f t="shared" si="30"/>
        <v>500</v>
      </c>
      <c r="AG46" s="102">
        <f t="shared" si="31"/>
        <v>565</v>
      </c>
      <c r="AH46" s="102">
        <f t="shared" si="32"/>
        <v>686</v>
      </c>
      <c r="AI46" s="102">
        <f t="shared" si="33"/>
        <v>769</v>
      </c>
      <c r="AJ46" s="102">
        <f t="shared" si="34"/>
        <v>859</v>
      </c>
      <c r="AK46" s="102">
        <f t="shared" si="35"/>
        <v>946</v>
      </c>
      <c r="AL46" s="102">
        <f>VLOOKUP($AE46,Usinas!$B$3:$F$241,5,FALSE)</f>
        <v>1</v>
      </c>
      <c r="AM46" s="102" t="str">
        <f>VLOOKUP($AE46,Usinas!$B$3:$H$241,7,FALSE)</f>
        <v>PRNPANEMA</v>
      </c>
      <c r="AN46" s="102" t="str">
        <f>VLOOKUP($AE46,Usinas!$B$3:$D$241,3,FALSE)</f>
        <v>PARANAPANEMA (SE)</v>
      </c>
      <c r="AP46" s="103">
        <v>26</v>
      </c>
      <c r="AQ46" s="103" t="str">
        <f>IF(BA46=1,VLOOKUP($AP46,Usinas!$B$3:$F$244,2,0),"")</f>
        <v/>
      </c>
      <c r="AR46" s="103" t="str">
        <f>IF(BA46=1,VLOOKUP($AP46,Usinas!$B$3:$F$241,3,0),"")</f>
        <v/>
      </c>
      <c r="AS46" s="103" t="str">
        <f>IF(BA46,VLOOKUP($AP46,Usinas!$B$3:$F$244,4,0),"")</f>
        <v/>
      </c>
      <c r="AT46" s="103" t="str">
        <f t="shared" si="39"/>
        <v/>
      </c>
      <c r="AU46" s="104" t="str">
        <f t="shared" si="81"/>
        <v/>
      </c>
      <c r="AV46" s="104" t="str">
        <f t="shared" si="81"/>
        <v/>
      </c>
      <c r="AW46" s="104" t="str">
        <f t="shared" si="81"/>
        <v/>
      </c>
      <c r="AX46" s="104" t="str">
        <f t="shared" si="81"/>
        <v/>
      </c>
      <c r="AY46" s="104" t="str">
        <f t="shared" si="81"/>
        <v/>
      </c>
      <c r="AZ46" s="104" t="str">
        <f t="shared" si="81"/>
        <v/>
      </c>
      <c r="BA46" s="103">
        <f t="shared" si="40"/>
        <v>0</v>
      </c>
      <c r="BB46" s="103">
        <f t="shared" si="41"/>
        <v>0</v>
      </c>
      <c r="BC46" s="103" t="str">
        <f>IF(BA46=1,VLOOKUP($AP46,Usinas!$B$3:$H$244,7,0),"")</f>
        <v/>
      </c>
      <c r="BE46" s="103">
        <v>299</v>
      </c>
      <c r="BF46" s="104">
        <f t="shared" ref="BF46:BK46" si="87">VLOOKUP(130,$AE$21:$AK$211,BF$18,0)-BF45-VLOOKUP(203,$AE$21:$AK$211,BF$18,0)+BF48</f>
        <v>861</v>
      </c>
      <c r="BG46" s="104">
        <f t="shared" si="87"/>
        <v>1001</v>
      </c>
      <c r="BH46" s="104">
        <f t="shared" si="87"/>
        <v>1066</v>
      </c>
      <c r="BI46" s="104">
        <f t="shared" si="87"/>
        <v>1041</v>
      </c>
      <c r="BJ46" s="104">
        <f t="shared" si="87"/>
        <v>895</v>
      </c>
      <c r="BK46" s="104">
        <f t="shared" si="87"/>
        <v>905</v>
      </c>
      <c r="BM46" s="105">
        <f t="shared" si="44"/>
        <v>28</v>
      </c>
      <c r="BN46" s="105">
        <f t="shared" si="45"/>
        <v>49</v>
      </c>
      <c r="BO46" s="151">
        <f>IF($BP$15=1,IFERROR(VLOOKUP(BN46,$BZ$20:CA209,2,0),0),VALUE(RIGHT(LEFT($B55,21),10)))</f>
        <v>367</v>
      </c>
      <c r="BP46" s="105">
        <f t="shared" si="46"/>
        <v>414</v>
      </c>
      <c r="BQ46" s="105">
        <f t="shared" si="47"/>
        <v>503</v>
      </c>
      <c r="BR46" s="105">
        <f t="shared" si="48"/>
        <v>564</v>
      </c>
      <c r="BS46" s="105">
        <f t="shared" si="49"/>
        <v>630</v>
      </c>
      <c r="BT46" s="105">
        <f t="shared" si="50"/>
        <v>694</v>
      </c>
      <c r="BU46" s="85"/>
      <c r="BV46" s="97" t="s">
        <v>330</v>
      </c>
      <c r="BW46" s="98" t="s">
        <v>280</v>
      </c>
      <c r="BX46" s="97" t="str">
        <f t="shared" si="63"/>
        <v>BCA Mucuri</v>
      </c>
      <c r="BZ46" s="147">
        <v>32</v>
      </c>
      <c r="CA46" s="148">
        <v>969</v>
      </c>
      <c r="CB46" s="109"/>
      <c r="CC46" s="87"/>
      <c r="CD46" s="107"/>
      <c r="CE46" s="78"/>
      <c r="CF46" s="89"/>
      <c r="CG46" s="90"/>
      <c r="CH46" s="87"/>
      <c r="CI46" s="87"/>
      <c r="CJ46" s="87"/>
      <c r="CK46" s="87"/>
      <c r="CL46" s="87"/>
      <c r="CM46" s="87"/>
    </row>
    <row r="47" spans="2:91" ht="15.6" x14ac:dyDescent="0.3">
      <c r="B47" s="99" t="s">
        <v>855</v>
      </c>
      <c r="C47" s="99"/>
      <c r="D47" s="99"/>
      <c r="E47" s="99"/>
      <c r="F47" s="99"/>
      <c r="G47" s="99"/>
      <c r="H47" s="99"/>
      <c r="I47" s="43"/>
      <c r="J47" s="99" t="str">
        <f t="shared" si="60"/>
        <v xml:space="preserve">    20   25       457       541       466       505       625       578</v>
      </c>
      <c r="L47" s="59" t="s">
        <v>276</v>
      </c>
      <c r="M47" s="60">
        <f t="shared" si="67"/>
        <v>246.97399999999999</v>
      </c>
      <c r="N47" s="60">
        <f t="shared" si="68"/>
        <v>255.7945</v>
      </c>
      <c r="O47" s="60">
        <f t="shared" si="69"/>
        <v>356.34820000000002</v>
      </c>
      <c r="P47" s="60">
        <f t="shared" si="70"/>
        <v>324.59440000000001</v>
      </c>
      <c r="Q47" s="60">
        <f t="shared" si="71"/>
        <v>285.7842</v>
      </c>
      <c r="R47" s="60">
        <f t="shared" si="72"/>
        <v>229.333</v>
      </c>
      <c r="S47" s="61">
        <f t="shared" si="74"/>
        <v>299.95390645161291</v>
      </c>
      <c r="T47" s="184">
        <f t="shared" si="76"/>
        <v>0.90818085035145268</v>
      </c>
      <c r="U47" s="74">
        <v>1.07</v>
      </c>
      <c r="V47" s="74">
        <f t="shared" si="77"/>
        <v>0.16181914964854738</v>
      </c>
      <c r="W47" s="187">
        <v>40</v>
      </c>
      <c r="X47" s="187">
        <v>0.21299999999999999</v>
      </c>
      <c r="Z47" s="101">
        <v>27</v>
      </c>
      <c r="AA47" s="101">
        <v>0</v>
      </c>
      <c r="AB47" s="101">
        <v>0</v>
      </c>
      <c r="AD47" s="102">
        <f t="shared" si="28"/>
        <v>29</v>
      </c>
      <c r="AE47" s="102">
        <f t="shared" si="29"/>
        <v>50</v>
      </c>
      <c r="AF47" s="102">
        <f t="shared" si="30"/>
        <v>596</v>
      </c>
      <c r="AG47" s="102">
        <f t="shared" si="31"/>
        <v>665</v>
      </c>
      <c r="AH47" s="102">
        <f t="shared" si="32"/>
        <v>817</v>
      </c>
      <c r="AI47" s="102">
        <f t="shared" si="33"/>
        <v>920</v>
      </c>
      <c r="AJ47" s="102">
        <f t="shared" si="34"/>
        <v>1024</v>
      </c>
      <c r="AK47" s="102">
        <f t="shared" si="35"/>
        <v>1122</v>
      </c>
      <c r="AL47" s="102">
        <f>VLOOKUP($AE47,Usinas!$B$3:$F$241,5,FALSE)</f>
        <v>1</v>
      </c>
      <c r="AM47" s="102" t="str">
        <f>VLOOKUP($AE47,Usinas!$B$3:$H$241,7,FALSE)</f>
        <v>PRNPANEMA</v>
      </c>
      <c r="AN47" s="102" t="str">
        <f>VLOOKUP($AE47,Usinas!$B$3:$D$241,3,FALSE)</f>
        <v>PARANAPANEMA (SE)</v>
      </c>
      <c r="AP47" s="103">
        <v>27</v>
      </c>
      <c r="AQ47" s="103" t="str">
        <f>IF(BA47=1,VLOOKUP($AP47,Usinas!$B$3:$F$244,2,0),"")</f>
        <v/>
      </c>
      <c r="AR47" s="103" t="str">
        <f>IF(BA47=1,VLOOKUP($AP47,Usinas!$B$3:$F$241,3,0),"")</f>
        <v/>
      </c>
      <c r="AS47" s="103" t="str">
        <f>IF(BA47,VLOOKUP($AP47,Usinas!$B$3:$F$244,4,0),"")</f>
        <v/>
      </c>
      <c r="AT47" s="103" t="str">
        <f t="shared" si="39"/>
        <v/>
      </c>
      <c r="AU47" s="104" t="str">
        <f t="shared" si="81"/>
        <v/>
      </c>
      <c r="AV47" s="104" t="str">
        <f t="shared" si="81"/>
        <v/>
      </c>
      <c r="AW47" s="104" t="str">
        <f t="shared" si="81"/>
        <v/>
      </c>
      <c r="AX47" s="104" t="str">
        <f t="shared" si="81"/>
        <v/>
      </c>
      <c r="AY47" s="104" t="str">
        <f t="shared" si="81"/>
        <v/>
      </c>
      <c r="AZ47" s="104" t="str">
        <f t="shared" si="81"/>
        <v/>
      </c>
      <c r="BA47" s="103">
        <f t="shared" si="40"/>
        <v>0</v>
      </c>
      <c r="BB47" s="103">
        <f t="shared" si="41"/>
        <v>0</v>
      </c>
      <c r="BC47" s="103" t="str">
        <f>IF(BA47=1,VLOOKUP($AP47,Usinas!$B$3:$H$244,7,0),"")</f>
        <v/>
      </c>
      <c r="BE47" s="103">
        <v>303</v>
      </c>
      <c r="BF47" s="104">
        <f>IF(VLOOKUP(132,$BE$21:$BK$65,BF$18,0)&lt;17,VLOOKUP(132,$BE$21:$BK$65,BF$18,0),17+MIN(VLOOKUP(316,$BE$21:$BK$65,BF$18,0)-VLOOKUP(131,$BE$21:$BK$65,BF$18,0),34))</f>
        <v>43</v>
      </c>
      <c r="BG47" s="104">
        <f t="shared" ref="BG47:BK47" si="88">IF(VLOOKUP(132,$BE$21:$BK$65,BG$18,0)&lt;17,VLOOKUP(132,$BE$21:$BK$65,BG$18,0),17+MIN(VLOOKUP(316,$BE$21:$BK$65,BG$18,0)-VLOOKUP(131,$BE$21:$BK$65,BG$18,0),34))</f>
        <v>43</v>
      </c>
      <c r="BH47" s="104">
        <f t="shared" si="88"/>
        <v>43</v>
      </c>
      <c r="BI47" s="104">
        <f t="shared" si="88"/>
        <v>41</v>
      </c>
      <c r="BJ47" s="104">
        <f t="shared" si="88"/>
        <v>43</v>
      </c>
      <c r="BK47" s="104">
        <f t="shared" si="88"/>
        <v>41</v>
      </c>
      <c r="BM47" s="105">
        <f t="shared" si="44"/>
        <v>29</v>
      </c>
      <c r="BN47" s="105">
        <f t="shared" si="45"/>
        <v>50</v>
      </c>
      <c r="BO47" s="151">
        <f>IF($BP$15=1,IFERROR(VLOOKUP(BN47,$BZ$20:CA210,2,0),0),VALUE(RIGHT(LEFT($B56,21),10)))</f>
        <v>437</v>
      </c>
      <c r="BP47" s="105">
        <f t="shared" si="46"/>
        <v>488</v>
      </c>
      <c r="BQ47" s="105">
        <f t="shared" si="47"/>
        <v>599</v>
      </c>
      <c r="BR47" s="105">
        <f t="shared" si="48"/>
        <v>675</v>
      </c>
      <c r="BS47" s="105">
        <f t="shared" si="49"/>
        <v>751</v>
      </c>
      <c r="BT47" s="105">
        <f t="shared" si="50"/>
        <v>823</v>
      </c>
      <c r="BU47" s="85"/>
      <c r="BV47" s="97" t="s">
        <v>330</v>
      </c>
      <c r="BW47" s="98" t="s">
        <v>271</v>
      </c>
      <c r="BX47" s="97" t="str">
        <f t="shared" si="63"/>
        <v>BCA Paraguaçu</v>
      </c>
      <c r="BZ47" s="147">
        <v>33</v>
      </c>
      <c r="CA47" s="148">
        <v>1741</v>
      </c>
      <c r="CB47" s="106"/>
      <c r="CC47" s="87"/>
      <c r="CD47" s="107"/>
      <c r="CE47" s="78"/>
      <c r="CF47" s="89"/>
      <c r="CG47" s="90"/>
      <c r="CH47" s="87"/>
      <c r="CI47" s="87"/>
      <c r="CJ47" s="87"/>
      <c r="CK47" s="87"/>
      <c r="CL47" s="87"/>
      <c r="CM47" s="87"/>
    </row>
    <row r="48" spans="2:91" ht="15.6" x14ac:dyDescent="0.3">
      <c r="B48" s="99" t="s">
        <v>856</v>
      </c>
      <c r="C48" s="99"/>
      <c r="D48" s="99"/>
      <c r="E48" s="99"/>
      <c r="F48" s="99"/>
      <c r="G48" s="99"/>
      <c r="H48" s="99"/>
      <c r="I48" s="43"/>
      <c r="J48" s="99" t="str">
        <f t="shared" si="60"/>
        <v xml:space="preserve">    21   28       468       565       511       530       630       616</v>
      </c>
      <c r="L48" s="59" t="s">
        <v>273</v>
      </c>
      <c r="M48" s="60">
        <f t="shared" si="67"/>
        <v>696.02829999999994</v>
      </c>
      <c r="N48" s="60">
        <f t="shared" si="68"/>
        <v>742.82259999999997</v>
      </c>
      <c r="O48" s="60">
        <f t="shared" si="69"/>
        <v>686.75929999999994</v>
      </c>
      <c r="P48" s="60">
        <f t="shared" si="70"/>
        <v>665.92930000000013</v>
      </c>
      <c r="Q48" s="60">
        <f t="shared" si="71"/>
        <v>589.99699999999996</v>
      </c>
      <c r="R48" s="60">
        <f t="shared" si="72"/>
        <v>523.08270000000005</v>
      </c>
      <c r="S48" s="61">
        <f t="shared" si="74"/>
        <v>673.76265483870975</v>
      </c>
      <c r="T48" s="184">
        <f t="shared" si="76"/>
        <v>0.94052300477158057</v>
      </c>
      <c r="U48" s="74">
        <v>1.1200000000000001</v>
      </c>
      <c r="V48" s="74">
        <f t="shared" si="77"/>
        <v>0.17947699522841953</v>
      </c>
      <c r="W48" s="187">
        <v>42</v>
      </c>
      <c r="X48" s="187">
        <v>0.27839999999999998</v>
      </c>
      <c r="Z48" s="101">
        <v>28</v>
      </c>
      <c r="AA48" s="101">
        <v>1</v>
      </c>
      <c r="AB48" s="101">
        <v>0.41689999999999999</v>
      </c>
      <c r="AD48" s="102">
        <f t="shared" si="28"/>
        <v>30</v>
      </c>
      <c r="AE48" s="102">
        <f t="shared" si="29"/>
        <v>51</v>
      </c>
      <c r="AF48" s="102">
        <f t="shared" si="30"/>
        <v>603</v>
      </c>
      <c r="AG48" s="102">
        <f t="shared" si="31"/>
        <v>674</v>
      </c>
      <c r="AH48" s="102">
        <f t="shared" si="32"/>
        <v>825</v>
      </c>
      <c r="AI48" s="102">
        <f t="shared" si="33"/>
        <v>930</v>
      </c>
      <c r="AJ48" s="102">
        <f t="shared" si="34"/>
        <v>1032</v>
      </c>
      <c r="AK48" s="102">
        <f t="shared" si="35"/>
        <v>1137</v>
      </c>
      <c r="AL48" s="102">
        <f>VLOOKUP($AE48,Usinas!$B$3:$F$241,5,FALSE)</f>
        <v>1</v>
      </c>
      <c r="AM48" s="102" t="str">
        <f>VLOOKUP($AE48,Usinas!$B$3:$H$241,7,FALSE)</f>
        <v>PRNPANEMA</v>
      </c>
      <c r="AN48" s="102" t="str">
        <f>VLOOKUP($AE48,Usinas!$B$3:$D$241,3,FALSE)</f>
        <v>PARANAPANEMA (SE)</v>
      </c>
      <c r="AP48" s="103">
        <v>28</v>
      </c>
      <c r="AQ48" s="103" t="str">
        <f>IF(BA48=1,VLOOKUP($AP48,Usinas!$B$3:$F$244,2,0),"")</f>
        <v>CAPIM BRANCO II</v>
      </c>
      <c r="AR48" s="103" t="str">
        <f>IF(BA48=1,VLOOKUP($AP48,Usinas!$B$3:$F$241,3,0),"")</f>
        <v>PARANAÍBA</v>
      </c>
      <c r="AS48" s="103" t="str">
        <f>IF(BA48,VLOOKUP($AP48,Usinas!$B$3:$F$244,4,0),"")</f>
        <v>SUDESTE</v>
      </c>
      <c r="AT48" s="103">
        <f t="shared" si="39"/>
        <v>0.41689999999999999</v>
      </c>
      <c r="AU48" s="104">
        <f t="shared" si="81"/>
        <v>195.10919999999999</v>
      </c>
      <c r="AV48" s="104">
        <f t="shared" si="81"/>
        <v>235.54849999999999</v>
      </c>
      <c r="AW48" s="104">
        <f t="shared" si="81"/>
        <v>213.0359</v>
      </c>
      <c r="AX48" s="104">
        <f t="shared" si="81"/>
        <v>220.95699999999999</v>
      </c>
      <c r="AY48" s="104">
        <f t="shared" si="81"/>
        <v>262.64699999999999</v>
      </c>
      <c r="AZ48" s="104">
        <f t="shared" si="81"/>
        <v>256.81040000000002</v>
      </c>
      <c r="BA48" s="103">
        <f t="shared" si="40"/>
        <v>1</v>
      </c>
      <c r="BB48" s="103">
        <f t="shared" si="41"/>
        <v>0</v>
      </c>
      <c r="BC48" s="103" t="str">
        <f>IF(BA48=1,VLOOKUP($AP48,Usinas!$B$3:$H$244,7,0),"")</f>
        <v>PARANA</v>
      </c>
      <c r="BE48" s="103">
        <v>304</v>
      </c>
      <c r="BF48" s="104">
        <f>BF51-BF52</f>
        <v>0</v>
      </c>
      <c r="BG48" s="104">
        <f t="shared" ref="BG48:BK48" si="89">BG51-BG52</f>
        <v>0</v>
      </c>
      <c r="BH48" s="104">
        <f t="shared" si="89"/>
        <v>0</v>
      </c>
      <c r="BI48" s="104">
        <f t="shared" si="89"/>
        <v>0</v>
      </c>
      <c r="BJ48" s="104">
        <f t="shared" si="89"/>
        <v>0</v>
      </c>
      <c r="BK48" s="104">
        <f t="shared" si="89"/>
        <v>0</v>
      </c>
      <c r="BM48" s="105">
        <f t="shared" si="44"/>
        <v>30</v>
      </c>
      <c r="BN48" s="105">
        <f t="shared" si="45"/>
        <v>51</v>
      </c>
      <c r="BO48" s="151">
        <f>IF($BP$15=1,IFERROR(VLOOKUP(BN48,$BZ$20:CA211,2,0),0),VALUE(RIGHT(LEFT($B57,21),10)))</f>
        <v>442</v>
      </c>
      <c r="BP48" s="105">
        <f t="shared" si="46"/>
        <v>494</v>
      </c>
      <c r="BQ48" s="105">
        <f t="shared" si="47"/>
        <v>605</v>
      </c>
      <c r="BR48" s="105">
        <f t="shared" si="48"/>
        <v>682</v>
      </c>
      <c r="BS48" s="105">
        <f t="shared" si="49"/>
        <v>757</v>
      </c>
      <c r="BT48" s="105">
        <f t="shared" si="50"/>
        <v>834</v>
      </c>
      <c r="BU48" s="85"/>
      <c r="BV48" s="97" t="s">
        <v>330</v>
      </c>
      <c r="BW48" s="98" t="s">
        <v>267</v>
      </c>
      <c r="BX48" s="97" t="str">
        <f t="shared" si="63"/>
        <v>BCA Paraguai</v>
      </c>
      <c r="BZ48" s="147">
        <v>247</v>
      </c>
      <c r="CA48" s="148">
        <v>164</v>
      </c>
      <c r="CB48" s="106"/>
      <c r="CC48" s="87"/>
      <c r="CD48" s="107"/>
      <c r="CE48" s="78"/>
      <c r="CF48" s="89"/>
      <c r="CG48" s="90"/>
      <c r="CH48" s="87"/>
      <c r="CI48" s="87"/>
      <c r="CJ48" s="87"/>
      <c r="CK48" s="87"/>
      <c r="CL48" s="87"/>
      <c r="CM48" s="87"/>
    </row>
    <row r="49" spans="2:91" ht="15.6" x14ac:dyDescent="0.3">
      <c r="B49" s="99" t="s">
        <v>857</v>
      </c>
      <c r="C49" s="99"/>
      <c r="D49" s="99"/>
      <c r="E49" s="99"/>
      <c r="F49" s="99"/>
      <c r="G49" s="99"/>
      <c r="H49" s="99"/>
      <c r="I49" s="43"/>
      <c r="J49" s="99" t="str">
        <f t="shared" si="60"/>
        <v xml:space="preserve">    22   31      2011      2611      2553      2544      2741      2688</v>
      </c>
      <c r="L49" s="59" t="s">
        <v>282</v>
      </c>
      <c r="M49" s="60">
        <f t="shared" si="67"/>
        <v>474.76</v>
      </c>
      <c r="N49" s="60">
        <f t="shared" si="68"/>
        <v>380.38</v>
      </c>
      <c r="O49" s="60">
        <f t="shared" si="69"/>
        <v>265.97999999999996</v>
      </c>
      <c r="P49" s="60">
        <f t="shared" si="70"/>
        <v>302.44499999999999</v>
      </c>
      <c r="Q49" s="60">
        <f t="shared" si="71"/>
        <v>352.495</v>
      </c>
      <c r="R49" s="60">
        <f t="shared" si="72"/>
        <v>266.69499999999999</v>
      </c>
      <c r="S49" s="61">
        <f t="shared" si="74"/>
        <v>339.78645161290319</v>
      </c>
      <c r="T49" s="42"/>
      <c r="U49" s="134"/>
      <c r="V49" s="191"/>
      <c r="W49" s="187">
        <v>43</v>
      </c>
      <c r="X49" s="187">
        <v>0.40250000000000002</v>
      </c>
      <c r="Z49" s="101">
        <v>29</v>
      </c>
      <c r="AA49" s="101">
        <v>0</v>
      </c>
      <c r="AB49" s="101">
        <v>0</v>
      </c>
      <c r="AD49" s="102">
        <f t="shared" si="28"/>
        <v>31</v>
      </c>
      <c r="AE49" s="102">
        <f t="shared" si="29"/>
        <v>52</v>
      </c>
      <c r="AF49" s="102">
        <f t="shared" si="30"/>
        <v>616</v>
      </c>
      <c r="AG49" s="102">
        <f t="shared" si="31"/>
        <v>689</v>
      </c>
      <c r="AH49" s="102">
        <f t="shared" si="32"/>
        <v>843</v>
      </c>
      <c r="AI49" s="102">
        <f t="shared" si="33"/>
        <v>955</v>
      </c>
      <c r="AJ49" s="102">
        <f t="shared" si="34"/>
        <v>1057</v>
      </c>
      <c r="AK49" s="102">
        <f t="shared" si="35"/>
        <v>1167</v>
      </c>
      <c r="AL49" s="102">
        <f>VLOOKUP($AE49,Usinas!$B$3:$F$241,5,FALSE)</f>
        <v>1</v>
      </c>
      <c r="AM49" s="102" t="str">
        <f>VLOOKUP($AE49,Usinas!$B$3:$H$241,7,FALSE)</f>
        <v>PRNPANEMA</v>
      </c>
      <c r="AN49" s="102" t="str">
        <f>VLOOKUP($AE49,Usinas!$B$3:$D$241,3,FALSE)</f>
        <v>PARANAPANEMA (SE)</v>
      </c>
      <c r="AP49" s="103">
        <v>29</v>
      </c>
      <c r="AQ49" s="103" t="str">
        <f>IF(BA49=1,VLOOKUP($AP49,Usinas!$B$3:$F$244,2,0),"")</f>
        <v/>
      </c>
      <c r="AR49" s="103" t="str">
        <f>IF(BA49=1,VLOOKUP($AP49,Usinas!$B$3:$F$241,3,0),"")</f>
        <v/>
      </c>
      <c r="AS49" s="103" t="str">
        <f>IF(BA49,VLOOKUP($AP49,Usinas!$B$3:$F$244,4,0),"")</f>
        <v/>
      </c>
      <c r="AT49" s="103" t="str">
        <f t="shared" si="39"/>
        <v/>
      </c>
      <c r="AU49" s="104" t="str">
        <f t="shared" si="81"/>
        <v/>
      </c>
      <c r="AV49" s="104" t="str">
        <f t="shared" si="81"/>
        <v/>
      </c>
      <c r="AW49" s="104" t="str">
        <f t="shared" si="81"/>
        <v/>
      </c>
      <c r="AX49" s="104" t="str">
        <f t="shared" si="81"/>
        <v/>
      </c>
      <c r="AY49" s="104" t="str">
        <f t="shared" si="81"/>
        <v/>
      </c>
      <c r="AZ49" s="104" t="str">
        <f t="shared" si="81"/>
        <v/>
      </c>
      <c r="BA49" s="103">
        <f t="shared" si="40"/>
        <v>0</v>
      </c>
      <c r="BB49" s="103">
        <f t="shared" si="41"/>
        <v>0</v>
      </c>
      <c r="BC49" s="103" t="str">
        <f>IF(BA49=1,VLOOKUP($AP49,Usinas!$B$3:$H$244,7,0),"")</f>
        <v/>
      </c>
      <c r="BE49" s="103">
        <v>306</v>
      </c>
      <c r="BF49" s="104">
        <f>BF47+BF39</f>
        <v>187</v>
      </c>
      <c r="BG49" s="104">
        <f t="shared" ref="BG49:BK49" si="90">BG47+BG39</f>
        <v>187</v>
      </c>
      <c r="BH49" s="104">
        <f t="shared" si="90"/>
        <v>187</v>
      </c>
      <c r="BI49" s="104">
        <f t="shared" si="90"/>
        <v>185</v>
      </c>
      <c r="BJ49" s="104">
        <f t="shared" si="90"/>
        <v>187</v>
      </c>
      <c r="BK49" s="104">
        <f t="shared" si="90"/>
        <v>185</v>
      </c>
      <c r="BM49" s="105">
        <f t="shared" si="44"/>
        <v>31</v>
      </c>
      <c r="BN49" s="105">
        <f t="shared" si="45"/>
        <v>52</v>
      </c>
      <c r="BO49" s="151">
        <f>IF($BP$15=1,IFERROR(VLOOKUP(BN49,$BZ$20:CA212,2,0),0),VALUE(RIGHT(LEFT($B58,21),10)))</f>
        <v>452</v>
      </c>
      <c r="BP49" s="105">
        <f t="shared" si="46"/>
        <v>505</v>
      </c>
      <c r="BQ49" s="105">
        <f t="shared" si="47"/>
        <v>618</v>
      </c>
      <c r="BR49" s="105">
        <f t="shared" si="48"/>
        <v>700</v>
      </c>
      <c r="BS49" s="105">
        <f t="shared" si="49"/>
        <v>775</v>
      </c>
      <c r="BT49" s="105">
        <f t="shared" si="50"/>
        <v>856</v>
      </c>
      <c r="BU49" s="85"/>
      <c r="BV49" s="97" t="s">
        <v>330</v>
      </c>
      <c r="BW49" s="98" t="s">
        <v>260</v>
      </c>
      <c r="BX49" s="97" t="str">
        <f t="shared" si="63"/>
        <v>BCA Paraíba do Sul</v>
      </c>
      <c r="BZ49" s="147">
        <v>248</v>
      </c>
      <c r="CA49" s="148">
        <v>172</v>
      </c>
      <c r="CB49" s="106"/>
      <c r="CC49" s="87"/>
      <c r="CD49" s="107"/>
      <c r="CE49" s="78"/>
      <c r="CF49" s="89"/>
      <c r="CG49" s="90"/>
      <c r="CH49" s="87"/>
      <c r="CI49" s="87"/>
      <c r="CJ49" s="87"/>
      <c r="CK49" s="87"/>
      <c r="CL49" s="87"/>
      <c r="CM49" s="87"/>
    </row>
    <row r="50" spans="2:91" ht="15.6" x14ac:dyDescent="0.3">
      <c r="B50" s="99" t="s">
        <v>858</v>
      </c>
      <c r="C50" s="99"/>
      <c r="D50" s="99"/>
      <c r="E50" s="99"/>
      <c r="F50" s="99"/>
      <c r="G50" s="99"/>
      <c r="H50" s="99"/>
      <c r="I50" s="43"/>
      <c r="J50" s="99" t="str">
        <f t="shared" si="60"/>
        <v xml:space="preserve">    23   32      2069      2682      2655      2639      2823      2795</v>
      </c>
      <c r="L50" s="59" t="s">
        <v>281</v>
      </c>
      <c r="M50" s="60">
        <f t="shared" si="67"/>
        <v>540.62760000000003</v>
      </c>
      <c r="N50" s="60">
        <f t="shared" si="68"/>
        <v>465.05600000000004</v>
      </c>
      <c r="O50" s="60">
        <f t="shared" si="69"/>
        <v>393.84430000000003</v>
      </c>
      <c r="P50" s="60">
        <f t="shared" si="70"/>
        <v>481.04230000000001</v>
      </c>
      <c r="Q50" s="60">
        <f t="shared" si="71"/>
        <v>475.22910000000002</v>
      </c>
      <c r="R50" s="60">
        <f t="shared" si="72"/>
        <v>354.60520000000002</v>
      </c>
      <c r="S50" s="61">
        <f t="shared" si="74"/>
        <v>462.19628064516127</v>
      </c>
      <c r="T50" s="42"/>
      <c r="U50" s="134"/>
      <c r="V50" s="191"/>
      <c r="W50" s="187">
        <v>45</v>
      </c>
      <c r="X50" s="187">
        <v>0.18</v>
      </c>
      <c r="Z50" s="101">
        <v>30</v>
      </c>
      <c r="AA50" s="101">
        <v>0</v>
      </c>
      <c r="AB50" s="101">
        <v>0</v>
      </c>
      <c r="AD50" s="102">
        <f t="shared" si="28"/>
        <v>32</v>
      </c>
      <c r="AE50" s="102">
        <f t="shared" si="29"/>
        <v>57</v>
      </c>
      <c r="AF50" s="102">
        <f t="shared" si="30"/>
        <v>300</v>
      </c>
      <c r="AG50" s="102">
        <f t="shared" si="31"/>
        <v>334</v>
      </c>
      <c r="AH50" s="102">
        <f t="shared" si="32"/>
        <v>365</v>
      </c>
      <c r="AI50" s="102">
        <f t="shared" si="33"/>
        <v>385</v>
      </c>
      <c r="AJ50" s="102">
        <f t="shared" si="34"/>
        <v>378</v>
      </c>
      <c r="AK50" s="102">
        <f t="shared" si="35"/>
        <v>337</v>
      </c>
      <c r="AL50" s="102">
        <f>VLOOKUP($AE50,Usinas!$B$3:$F$241,5,FALSE)</f>
        <v>2</v>
      </c>
      <c r="AM50" s="102" t="str">
        <f>VLOOKUP($AE50,Usinas!$B$3:$H$241,7,FALSE)</f>
        <v>IGUACU</v>
      </c>
      <c r="AN50" s="102" t="str">
        <f>VLOOKUP($AE50,Usinas!$B$3:$D$241,3,FALSE)</f>
        <v>PARANAPANEMA (S)</v>
      </c>
      <c r="AP50" s="103">
        <v>30</v>
      </c>
      <c r="AQ50" s="103" t="str">
        <f>IF(BA50=1,VLOOKUP($AP50,Usinas!$B$3:$F$244,2,0),"")</f>
        <v/>
      </c>
      <c r="AR50" s="103" t="str">
        <f>IF(BA50=1,VLOOKUP($AP50,Usinas!$B$3:$F$241,3,0),"")</f>
        <v/>
      </c>
      <c r="AS50" s="103" t="str">
        <f>IF(BA50,VLOOKUP($AP50,Usinas!$B$3:$F$244,4,0),"")</f>
        <v/>
      </c>
      <c r="AT50" s="103" t="str">
        <f t="shared" si="39"/>
        <v/>
      </c>
      <c r="AU50" s="104" t="str">
        <f t="shared" si="81"/>
        <v/>
      </c>
      <c r="AV50" s="104" t="str">
        <f t="shared" si="81"/>
        <v/>
      </c>
      <c r="AW50" s="104" t="str">
        <f t="shared" si="81"/>
        <v/>
      </c>
      <c r="AX50" s="104" t="str">
        <f t="shared" si="81"/>
        <v/>
      </c>
      <c r="AY50" s="104" t="str">
        <f t="shared" si="81"/>
        <v/>
      </c>
      <c r="AZ50" s="104" t="str">
        <f t="shared" si="81"/>
        <v/>
      </c>
      <c r="BA50" s="103">
        <f t="shared" si="40"/>
        <v>0</v>
      </c>
      <c r="BB50" s="103">
        <f t="shared" si="41"/>
        <v>0</v>
      </c>
      <c r="BC50" s="103" t="str">
        <f>IF(BA50=1,VLOOKUP($AP50,Usinas!$B$3:$H$244,7,0),"")</f>
        <v/>
      </c>
      <c r="BE50" s="103">
        <v>314</v>
      </c>
      <c r="BF50" s="104" t="e">
        <f t="shared" ref="BF50:BK50" si="91">VLOOKUP(199,$AE$21:$AK$211,BF$18,0)-BF45-VLOOKUP(203,$AE$21:$AK$211,BF$18,0)+BF48</f>
        <v>#N/A</v>
      </c>
      <c r="BG50" s="104" t="e">
        <f t="shared" si="91"/>
        <v>#N/A</v>
      </c>
      <c r="BH50" s="104" t="e">
        <f t="shared" si="91"/>
        <v>#N/A</v>
      </c>
      <c r="BI50" s="104" t="e">
        <f t="shared" si="91"/>
        <v>#N/A</v>
      </c>
      <c r="BJ50" s="104" t="e">
        <f t="shared" si="91"/>
        <v>#N/A</v>
      </c>
      <c r="BK50" s="104" t="e">
        <f t="shared" si="91"/>
        <v>#N/A</v>
      </c>
      <c r="BM50" s="105">
        <f t="shared" si="44"/>
        <v>32</v>
      </c>
      <c r="BN50" s="105">
        <f t="shared" si="45"/>
        <v>57</v>
      </c>
      <c r="BO50" s="151">
        <f>IF($BP$15=1,IFERROR(VLOOKUP(BN50,$BZ$20:CA213,2,0),0),VALUE(RIGHT(LEFT($B59,21),10)))</f>
        <v>253</v>
      </c>
      <c r="BP50" s="105">
        <f t="shared" si="46"/>
        <v>282</v>
      </c>
      <c r="BQ50" s="105">
        <f t="shared" si="47"/>
        <v>308</v>
      </c>
      <c r="BR50" s="105">
        <f t="shared" si="48"/>
        <v>325</v>
      </c>
      <c r="BS50" s="105">
        <f t="shared" si="49"/>
        <v>319</v>
      </c>
      <c r="BT50" s="105">
        <f t="shared" si="50"/>
        <v>284</v>
      </c>
      <c r="BU50" s="85"/>
      <c r="BV50" s="97" t="s">
        <v>330</v>
      </c>
      <c r="BW50" s="98" t="s">
        <v>263</v>
      </c>
      <c r="BX50" s="97" t="str">
        <f t="shared" si="63"/>
        <v>BCA Paranaíba</v>
      </c>
      <c r="BZ50" s="147">
        <v>261</v>
      </c>
      <c r="CA50" s="148">
        <v>188</v>
      </c>
      <c r="CB50" s="106"/>
      <c r="CC50" s="87"/>
      <c r="CD50" s="107"/>
      <c r="CE50" s="78"/>
      <c r="CF50" s="89"/>
      <c r="CG50" s="90"/>
      <c r="CH50" s="87"/>
      <c r="CI50" s="87"/>
      <c r="CJ50" s="87"/>
      <c r="CK50" s="87"/>
      <c r="CL50" s="87"/>
      <c r="CM50" s="87"/>
    </row>
    <row r="51" spans="2:91" ht="15.6" x14ac:dyDescent="0.3">
      <c r="B51" s="99" t="s">
        <v>859</v>
      </c>
      <c r="C51" s="99"/>
      <c r="D51" s="99"/>
      <c r="E51" s="99"/>
      <c r="F51" s="99"/>
      <c r="G51" s="99"/>
      <c r="H51" s="99"/>
      <c r="I51" s="43"/>
      <c r="J51" s="99" t="str">
        <f t="shared" si="60"/>
        <v xml:space="preserve">    24   33      3155      3995      4162      4076      4313      4299</v>
      </c>
      <c r="L51" s="59" t="s">
        <v>269</v>
      </c>
      <c r="M51" s="60">
        <f t="shared" si="67"/>
        <v>45.849000000000004</v>
      </c>
      <c r="N51" s="60">
        <f t="shared" si="68"/>
        <v>46.748000000000005</v>
      </c>
      <c r="O51" s="60">
        <f t="shared" si="69"/>
        <v>37.308500000000002</v>
      </c>
      <c r="P51" s="60">
        <f t="shared" si="70"/>
        <v>57.536000000000001</v>
      </c>
      <c r="Q51" s="60">
        <f t="shared" si="71"/>
        <v>55.288499999999999</v>
      </c>
      <c r="R51" s="60">
        <f t="shared" si="72"/>
        <v>50.344000000000001</v>
      </c>
      <c r="S51" s="61">
        <f t="shared" si="74"/>
        <v>48.894000000000005</v>
      </c>
      <c r="T51" s="42"/>
      <c r="U51" s="134"/>
      <c r="V51" s="191"/>
      <c r="W51" s="187">
        <v>46</v>
      </c>
      <c r="X51" s="187">
        <v>0.1754</v>
      </c>
      <c r="Z51" s="101">
        <v>31</v>
      </c>
      <c r="AA51" s="101">
        <v>1</v>
      </c>
      <c r="AB51" s="101">
        <v>0.70269999999999999</v>
      </c>
      <c r="AD51" s="102">
        <f t="shared" si="28"/>
        <v>33</v>
      </c>
      <c r="AE51" s="102">
        <f t="shared" si="29"/>
        <v>61</v>
      </c>
      <c r="AF51" s="102">
        <f t="shared" si="30"/>
        <v>1256</v>
      </c>
      <c r="AG51" s="102">
        <f t="shared" si="31"/>
        <v>1435</v>
      </c>
      <c r="AH51" s="102">
        <f t="shared" si="32"/>
        <v>1867</v>
      </c>
      <c r="AI51" s="102">
        <f t="shared" si="33"/>
        <v>1921</v>
      </c>
      <c r="AJ51" s="102">
        <f t="shared" si="34"/>
        <v>1938</v>
      </c>
      <c r="AK51" s="102">
        <f t="shared" si="35"/>
        <v>1972</v>
      </c>
      <c r="AL51" s="102">
        <f>VLOOKUP($AE51,Usinas!$B$3:$F$241,5,FALSE)</f>
        <v>1</v>
      </c>
      <c r="AM51" s="102" t="str">
        <f>VLOOKUP($AE51,Usinas!$B$3:$H$241,7,FALSE)</f>
        <v>PRNPANEMA</v>
      </c>
      <c r="AN51" s="102" t="str">
        <f>VLOOKUP($AE51,Usinas!$B$3:$D$241,3,FALSE)</f>
        <v>PARANAPANEMA (SE)</v>
      </c>
      <c r="AP51" s="103">
        <v>31</v>
      </c>
      <c r="AQ51" s="103" t="str">
        <f>IF(BA51=1,VLOOKUP($AP51,Usinas!$B$3:$F$244,2,0),"")</f>
        <v>ITUMBIARA</v>
      </c>
      <c r="AR51" s="103" t="str">
        <f>IF(BA51=1,VLOOKUP($AP51,Usinas!$B$3:$F$241,3,0),"")</f>
        <v>PARANAÍBA</v>
      </c>
      <c r="AS51" s="103" t="str">
        <f>IF(BA51,VLOOKUP($AP51,Usinas!$B$3:$F$244,4,0),"")</f>
        <v>SUDESTE</v>
      </c>
      <c r="AT51" s="103">
        <f t="shared" si="39"/>
        <v>0.70269999999999999</v>
      </c>
      <c r="AU51" s="104">
        <f t="shared" ref="AU51:AZ60" si="92">IF($BA51=1,IFERROR(VLOOKUP($AP51,$AE$21:$AK$211,AU$19,0),VLOOKUP($AP51,$BE$21:$BK$65,AU$19,0))*$AT51,"")</f>
        <v>1413.1297</v>
      </c>
      <c r="AV51" s="104">
        <f t="shared" si="92"/>
        <v>1834.7497000000001</v>
      </c>
      <c r="AW51" s="104">
        <f t="shared" si="92"/>
        <v>1793.9930999999999</v>
      </c>
      <c r="AX51" s="104">
        <f t="shared" si="92"/>
        <v>1787.6687999999999</v>
      </c>
      <c r="AY51" s="104">
        <f t="shared" si="92"/>
        <v>1926.1007</v>
      </c>
      <c r="AZ51" s="104">
        <f t="shared" si="92"/>
        <v>1888.8576</v>
      </c>
      <c r="BA51" s="103">
        <f t="shared" si="40"/>
        <v>1</v>
      </c>
      <c r="BB51" s="103">
        <f t="shared" si="41"/>
        <v>0</v>
      </c>
      <c r="BC51" s="103" t="str">
        <f>IF(BA51=1,VLOOKUP($AP51,Usinas!$B$3:$H$244,7,0),"")</f>
        <v>PARANA</v>
      </c>
      <c r="BE51" s="103">
        <v>315</v>
      </c>
      <c r="BF51" s="104">
        <f t="shared" ref="BF51:BK51" si="93">(VLOOKUP(203,$AE$21:$AK$211,BF$18,0)-VLOOKUP(201,$AE$21:$AK$211,BF$18,0))+BF53+BF45</f>
        <v>170</v>
      </c>
      <c r="BG51" s="104">
        <f t="shared" si="93"/>
        <v>170</v>
      </c>
      <c r="BH51" s="104">
        <f t="shared" si="93"/>
        <v>170</v>
      </c>
      <c r="BI51" s="104">
        <f t="shared" si="93"/>
        <v>168</v>
      </c>
      <c r="BJ51" s="104">
        <f t="shared" si="93"/>
        <v>170</v>
      </c>
      <c r="BK51" s="104">
        <f t="shared" si="93"/>
        <v>168</v>
      </c>
      <c r="BM51" s="105">
        <f t="shared" si="44"/>
        <v>33</v>
      </c>
      <c r="BN51" s="105">
        <f t="shared" si="45"/>
        <v>61</v>
      </c>
      <c r="BO51" s="151">
        <f>IF($BP$15=1,IFERROR(VLOOKUP(BN51,$BZ$20:CA214,2,0),0),VALUE(RIGHT(LEFT($B60,21),10)))</f>
        <v>921</v>
      </c>
      <c r="BP51" s="105">
        <f t="shared" si="46"/>
        <v>1052</v>
      </c>
      <c r="BQ51" s="105">
        <f t="shared" si="47"/>
        <v>1369</v>
      </c>
      <c r="BR51" s="105">
        <f t="shared" si="48"/>
        <v>1409</v>
      </c>
      <c r="BS51" s="105">
        <f t="shared" si="49"/>
        <v>1421</v>
      </c>
      <c r="BT51" s="105">
        <f t="shared" si="50"/>
        <v>1446</v>
      </c>
      <c r="BU51" s="85"/>
      <c r="BV51" s="97" t="s">
        <v>330</v>
      </c>
      <c r="BW51" s="98" t="s">
        <v>262</v>
      </c>
      <c r="BX51" s="97" t="str">
        <f t="shared" si="63"/>
        <v>BCA Paranapanema (S)</v>
      </c>
      <c r="BZ51" s="147">
        <v>294</v>
      </c>
      <c r="CA51" s="148">
        <v>150</v>
      </c>
      <c r="CB51" s="106"/>
      <c r="CC51" s="87"/>
      <c r="CD51" s="107"/>
      <c r="CE51" s="78"/>
      <c r="CF51" s="110"/>
      <c r="CG51" s="111"/>
      <c r="CH51" s="87"/>
      <c r="CI51" s="87"/>
      <c r="CJ51" s="87"/>
      <c r="CK51" s="87"/>
      <c r="CL51" s="87"/>
      <c r="CM51" s="87"/>
    </row>
    <row r="52" spans="2:91" ht="15.6" x14ac:dyDescent="0.3">
      <c r="B52" s="99" t="s">
        <v>860</v>
      </c>
      <c r="C52" s="99"/>
      <c r="D52" s="99"/>
      <c r="E52" s="99"/>
      <c r="F52" s="99"/>
      <c r="G52" s="99"/>
      <c r="H52" s="99"/>
      <c r="I52" s="43"/>
      <c r="J52" s="99" t="str">
        <f t="shared" si="60"/>
        <v xml:space="preserve">    25   34      7138      8679      9878     10272     10320     10413</v>
      </c>
      <c r="L52" s="59" t="s">
        <v>280</v>
      </c>
      <c r="M52" s="60">
        <f t="shared" si="67"/>
        <v>119.4858</v>
      </c>
      <c r="N52" s="60">
        <f t="shared" si="68"/>
        <v>103.3647</v>
      </c>
      <c r="O52" s="60">
        <f t="shared" si="69"/>
        <v>118.53750000000001</v>
      </c>
      <c r="P52" s="60">
        <f t="shared" si="70"/>
        <v>193.45320000000001</v>
      </c>
      <c r="Q52" s="60">
        <f t="shared" si="71"/>
        <v>290.1798</v>
      </c>
      <c r="R52" s="60">
        <f t="shared" si="72"/>
        <v>127.07220000000001</v>
      </c>
      <c r="S52" s="61">
        <f t="shared" si="74"/>
        <v>170.87754193548386</v>
      </c>
      <c r="T52" s="42"/>
      <c r="U52" s="134"/>
      <c r="V52" s="191"/>
      <c r="W52" s="187">
        <v>47</v>
      </c>
      <c r="X52" s="187">
        <v>0.29070000000000001</v>
      </c>
      <c r="Z52" s="101">
        <v>32</v>
      </c>
      <c r="AA52" s="101">
        <v>1</v>
      </c>
      <c r="AB52" s="101">
        <v>0.2702</v>
      </c>
      <c r="AD52" s="102">
        <f t="shared" si="28"/>
        <v>34</v>
      </c>
      <c r="AE52" s="102">
        <f t="shared" si="29"/>
        <v>62</v>
      </c>
      <c r="AF52" s="102">
        <f t="shared" si="30"/>
        <v>1302</v>
      </c>
      <c r="AG52" s="102">
        <f t="shared" si="31"/>
        <v>1493</v>
      </c>
      <c r="AH52" s="102">
        <f t="shared" si="32"/>
        <v>1920</v>
      </c>
      <c r="AI52" s="102">
        <f t="shared" si="33"/>
        <v>1998</v>
      </c>
      <c r="AJ52" s="102">
        <f t="shared" si="34"/>
        <v>2002</v>
      </c>
      <c r="AK52" s="102">
        <f t="shared" si="35"/>
        <v>2048</v>
      </c>
      <c r="AL52" s="102">
        <f>VLOOKUP($AE52,Usinas!$B$3:$F$241,5,FALSE)</f>
        <v>1</v>
      </c>
      <c r="AM52" s="102" t="str">
        <f>VLOOKUP($AE52,Usinas!$B$3:$H$241,7,FALSE)</f>
        <v>PRNPANEMA</v>
      </c>
      <c r="AN52" s="102" t="str">
        <f>VLOOKUP($AE52,Usinas!$B$3:$D$241,3,FALSE)</f>
        <v>PARANAPANEMA (SE)</v>
      </c>
      <c r="AP52" s="103">
        <v>32</v>
      </c>
      <c r="AQ52" s="103" t="str">
        <f>IF(BA52=1,VLOOKUP($AP52,Usinas!$B$3:$F$244,2,0),"")</f>
        <v>C. DOURADA</v>
      </c>
      <c r="AR52" s="103" t="str">
        <f>IF(BA52=1,VLOOKUP($AP52,Usinas!$B$3:$F$241,3,0),"")</f>
        <v>PARANAÍBA</v>
      </c>
      <c r="AS52" s="103" t="str">
        <f>IF(BA52,VLOOKUP($AP52,Usinas!$B$3:$F$244,4,0),"")</f>
        <v>SUDESTE</v>
      </c>
      <c r="AT52" s="103">
        <f t="shared" si="39"/>
        <v>0.2702</v>
      </c>
      <c r="AU52" s="104">
        <f t="shared" si="92"/>
        <v>559.04380000000003</v>
      </c>
      <c r="AV52" s="104">
        <f t="shared" si="92"/>
        <v>724.67639999999994</v>
      </c>
      <c r="AW52" s="104">
        <f t="shared" si="92"/>
        <v>717.38099999999997</v>
      </c>
      <c r="AX52" s="104">
        <f t="shared" si="92"/>
        <v>713.05780000000004</v>
      </c>
      <c r="AY52" s="104">
        <f t="shared" si="92"/>
        <v>762.77459999999996</v>
      </c>
      <c r="AZ52" s="104">
        <f t="shared" si="92"/>
        <v>755.20899999999995</v>
      </c>
      <c r="BA52" s="103">
        <f t="shared" si="40"/>
        <v>1</v>
      </c>
      <c r="BB52" s="103">
        <f t="shared" si="41"/>
        <v>0</v>
      </c>
      <c r="BC52" s="103" t="str">
        <f>IF(BA52=1,VLOOKUP($AP52,Usinas!$B$3:$H$244,7,0),"")</f>
        <v>PARANA</v>
      </c>
      <c r="BE52" s="103">
        <v>316</v>
      </c>
      <c r="BF52" s="103">
        <f>MIN(BF51,190)</f>
        <v>170</v>
      </c>
      <c r="BG52" s="103">
        <f>MIN(BG51,190)</f>
        <v>170</v>
      </c>
      <c r="BH52" s="103">
        <f t="shared" ref="BH52:BK52" si="94">MIN(BH51,190)</f>
        <v>170</v>
      </c>
      <c r="BI52" s="103">
        <f t="shared" si="94"/>
        <v>168</v>
      </c>
      <c r="BJ52" s="103">
        <f t="shared" si="94"/>
        <v>170</v>
      </c>
      <c r="BK52" s="103">
        <f t="shared" si="94"/>
        <v>168</v>
      </c>
      <c r="BM52" s="105">
        <f t="shared" si="44"/>
        <v>34</v>
      </c>
      <c r="BN52" s="105">
        <f t="shared" si="45"/>
        <v>62</v>
      </c>
      <c r="BO52" s="151">
        <f>IF($BP$15=1,IFERROR(VLOOKUP(BN52,$BZ$20:CA215,2,0),0),VALUE(RIGHT(LEFT($B61,21),10)))</f>
        <v>955</v>
      </c>
      <c r="BP52" s="105">
        <f t="shared" si="46"/>
        <v>1095</v>
      </c>
      <c r="BQ52" s="105">
        <f t="shared" si="47"/>
        <v>1408</v>
      </c>
      <c r="BR52" s="105">
        <f t="shared" si="48"/>
        <v>1465</v>
      </c>
      <c r="BS52" s="105">
        <f t="shared" si="49"/>
        <v>1468</v>
      </c>
      <c r="BT52" s="105">
        <f t="shared" si="50"/>
        <v>1502</v>
      </c>
      <c r="BU52" s="85"/>
      <c r="BV52" s="97" t="s">
        <v>330</v>
      </c>
      <c r="BW52" s="98" t="s">
        <v>279</v>
      </c>
      <c r="BX52" s="97" t="str">
        <f t="shared" si="63"/>
        <v>BCA Paranapanema (SE)</v>
      </c>
      <c r="BZ52" s="147">
        <v>241</v>
      </c>
      <c r="CA52" s="148">
        <v>163</v>
      </c>
      <c r="CB52" s="106"/>
      <c r="CC52" s="87"/>
      <c r="CD52" s="107"/>
      <c r="CE52" s="78"/>
      <c r="CF52" s="110"/>
      <c r="CG52" s="111"/>
      <c r="CH52" s="87"/>
      <c r="CI52" s="87"/>
      <c r="CJ52" s="87"/>
      <c r="CK52" s="87"/>
      <c r="CL52" s="87"/>
      <c r="CM52" s="87"/>
    </row>
    <row r="53" spans="2:91" ht="15.6" x14ac:dyDescent="0.3">
      <c r="B53" s="99" t="s">
        <v>722</v>
      </c>
      <c r="C53" s="99"/>
      <c r="D53" s="99"/>
      <c r="E53" s="99"/>
      <c r="F53" s="99"/>
      <c r="G53" s="99"/>
      <c r="H53" s="99"/>
      <c r="I53" s="43"/>
      <c r="J53" s="99" t="str">
        <f t="shared" si="60"/>
        <v xml:space="preserve">    26   47       350       406       445       521       578       685</v>
      </c>
      <c r="L53" s="59" t="s">
        <v>271</v>
      </c>
      <c r="M53" s="60">
        <f t="shared" si="67"/>
        <v>544.16079999999999</v>
      </c>
      <c r="N53" s="60">
        <f t="shared" si="68"/>
        <v>573.31759999999997</v>
      </c>
      <c r="O53" s="60">
        <f t="shared" si="69"/>
        <v>654.1617</v>
      </c>
      <c r="P53" s="60">
        <f t="shared" si="70"/>
        <v>640.2894</v>
      </c>
      <c r="Q53" s="60">
        <f t="shared" si="71"/>
        <v>706.08409999999992</v>
      </c>
      <c r="R53" s="60">
        <f t="shared" si="72"/>
        <v>709.65210000000002</v>
      </c>
      <c r="S53" s="61">
        <f t="shared" si="74"/>
        <v>633.85329032258062</v>
      </c>
      <c r="T53" s="42"/>
      <c r="U53" s="134"/>
      <c r="V53" s="191"/>
      <c r="W53" s="187">
        <v>48</v>
      </c>
      <c r="X53" s="187">
        <v>0.2306</v>
      </c>
      <c r="Z53" s="101">
        <v>33</v>
      </c>
      <c r="AA53" s="101">
        <v>1</v>
      </c>
      <c r="AB53" s="101">
        <v>0.63549999999999995</v>
      </c>
      <c r="AD53" s="102">
        <f t="shared" si="28"/>
        <v>35</v>
      </c>
      <c r="AE53" s="102">
        <f t="shared" si="29"/>
        <v>63</v>
      </c>
      <c r="AF53" s="102">
        <f t="shared" ref="AF53:AF84" si="95">ROUND(BO53*(1+VLOOKUP($AL53,$B$3:$H$6,AF$19,FALSE)+_xlfn.IFNA(VLOOKUP("REE "&amp;$AM53,$B$11:$H$23,AF$19,FALSE),0)+_xlfn.IFNA(VLOOKUP("BCA "&amp;$AN53,$B$11:$H$23,AF$19,0),0)+_xlfn.IFNA(VLOOKUP("PST "&amp;$AE53,$B$11:$H$23,AF$19,0),0)),0)</f>
        <v>1417</v>
      </c>
      <c r="AG53" s="102">
        <f t="shared" ref="AG53:AG84" si="96">ROUND(BP53*(1+VLOOKUP($AL53,$B$3:$H$6,AG$19,FALSE)+_xlfn.IFNA(VLOOKUP("REE "&amp;$AM53,$B$11:$H$23,AG$19,FALSE),0)+_xlfn.IFNA(VLOOKUP("BCA "&amp;$AN53,$B$11:$H$23,AG$19,0),0)+_xlfn.IFNA(VLOOKUP("PST "&amp;$AE53,$B$11:$H$23,AG$19,0),0)),0)</f>
        <v>1634</v>
      </c>
      <c r="AH53" s="102">
        <f t="shared" ref="AH53:AH84" si="97">ROUND(BQ53*(1+VLOOKUP($AL53,$B$3:$H$6,AH$19,FALSE)+_xlfn.IFNA(VLOOKUP("REE "&amp;$AM53,$B$11:$H$23,AH$19,FALSE),0)+_xlfn.IFNA(VLOOKUP("BCA "&amp;$AN53,$B$11:$H$23,AH$19,0),0)+_xlfn.IFNA(VLOOKUP("PST "&amp;$AE53,$B$11:$H$23,AH$19,0),0)),0)</f>
        <v>2065</v>
      </c>
      <c r="AI53" s="102">
        <f t="shared" ref="AI53:AI84" si="98">ROUND(BR53*(1+VLOOKUP($AL53,$B$3:$H$6,AI$19,FALSE)+_xlfn.IFNA(VLOOKUP("REE "&amp;$AM53,$B$11:$H$23,AI$19,FALSE),0)+_xlfn.IFNA(VLOOKUP("BCA "&amp;$AN53,$B$11:$H$23,AI$19,0),0)+_xlfn.IFNA(VLOOKUP("PST "&amp;$AE53,$B$11:$H$23,AI$19,0),0)),0)</f>
        <v>2175</v>
      </c>
      <c r="AJ53" s="102">
        <f t="shared" ref="AJ53:AJ84" si="99">ROUND(BS53*(1+VLOOKUP($AL53,$B$3:$H$6,AJ$19,FALSE)+_xlfn.IFNA(VLOOKUP("REE "&amp;$AM53,$B$11:$H$23,AJ$19,FALSE),0)+_xlfn.IFNA(VLOOKUP("BCA "&amp;$AN53,$B$11:$H$23,AJ$19,0),0)+_xlfn.IFNA(VLOOKUP("PST "&amp;$AE53,$B$11:$H$23,AJ$19,0),0)),0)</f>
        <v>2163</v>
      </c>
      <c r="AK53" s="102">
        <f t="shared" ref="AK53:AK84" si="100">ROUND(BT53*(1+VLOOKUP($AL53,$B$3:$H$6,AK$19,FALSE)+_xlfn.IFNA(VLOOKUP("REE "&amp;$AM53,$B$11:$H$23,AK$19,FALSE),0)+_xlfn.IFNA(VLOOKUP("BCA "&amp;$AN53,$B$11:$H$23,AK$19,0),0)+_xlfn.IFNA(VLOOKUP("PST "&amp;$AE53,$B$11:$H$23,AK$19,0),0)),0)</f>
        <v>2216</v>
      </c>
      <c r="AL53" s="102">
        <f>VLOOKUP($AE53,Usinas!$B$3:$F$241,5,FALSE)</f>
        <v>1</v>
      </c>
      <c r="AM53" s="102" t="str">
        <f>VLOOKUP($AE53,Usinas!$B$3:$H$241,7,FALSE)</f>
        <v>PRNPANEMA</v>
      </c>
      <c r="AN53" s="102" t="str">
        <f>VLOOKUP($AE53,Usinas!$B$3:$D$241,3,FALSE)</f>
        <v>PARANAPANEMA (SE)</v>
      </c>
      <c r="AP53" s="103">
        <v>33</v>
      </c>
      <c r="AQ53" s="103" t="str">
        <f>IF(BA53=1,VLOOKUP($AP53,Usinas!$B$3:$F$244,2,0),"")</f>
        <v>SAO SIMAO</v>
      </c>
      <c r="AR53" s="103" t="str">
        <f>IF(BA53=1,VLOOKUP($AP53,Usinas!$B$3:$F$241,3,0),"")</f>
        <v>PARANAÍBA</v>
      </c>
      <c r="AS53" s="103" t="str">
        <f>IF(BA53,VLOOKUP($AP53,Usinas!$B$3:$F$244,4,0),"")</f>
        <v>SUDESTE</v>
      </c>
      <c r="AT53" s="103">
        <f t="shared" si="39"/>
        <v>0.63549999999999995</v>
      </c>
      <c r="AU53" s="104">
        <f t="shared" si="92"/>
        <v>2005.0024999999998</v>
      </c>
      <c r="AV53" s="104">
        <f t="shared" si="92"/>
        <v>2538.8224999999998</v>
      </c>
      <c r="AW53" s="104">
        <f t="shared" si="92"/>
        <v>2644.951</v>
      </c>
      <c r="AX53" s="104">
        <f t="shared" si="92"/>
        <v>2590.2979999999998</v>
      </c>
      <c r="AY53" s="104">
        <f t="shared" si="92"/>
        <v>2740.9114999999997</v>
      </c>
      <c r="AZ53" s="104">
        <f t="shared" si="92"/>
        <v>2732.0144999999998</v>
      </c>
      <c r="BA53" s="103">
        <f t="shared" si="40"/>
        <v>1</v>
      </c>
      <c r="BB53" s="103">
        <f t="shared" si="41"/>
        <v>0</v>
      </c>
      <c r="BC53" s="103" t="str">
        <f>IF(BA53=1,VLOOKUP($AP53,Usinas!$B$3:$H$244,7,0),"")</f>
        <v>PARANA</v>
      </c>
      <c r="BE53" s="103">
        <v>317</v>
      </c>
      <c r="BF53" s="103">
        <f t="shared" ref="BF53:BK53" si="101">MAX(0,VLOOKUP(201,$AE$21:$AK$211,BF$18,0)-25)</f>
        <v>0</v>
      </c>
      <c r="BG53" s="103">
        <f t="shared" si="101"/>
        <v>0</v>
      </c>
      <c r="BH53" s="103">
        <f t="shared" si="101"/>
        <v>0</v>
      </c>
      <c r="BI53" s="103">
        <f t="shared" si="101"/>
        <v>0</v>
      </c>
      <c r="BJ53" s="103">
        <f t="shared" si="101"/>
        <v>0</v>
      </c>
      <c r="BK53" s="103">
        <f t="shared" si="101"/>
        <v>0</v>
      </c>
      <c r="BM53" s="105">
        <f t="shared" ref="BM53:BM84" si="102">VALUE(LEFT($B62,6))</f>
        <v>35</v>
      </c>
      <c r="BN53" s="105">
        <f t="shared" ref="BN53:BN84" si="103">VALUE(RIGHT(LEFT($B62,11),5))</f>
        <v>63</v>
      </c>
      <c r="BO53" s="151">
        <f>IF($BP$15=1,IFERROR(VLOOKUP(BN53,$BZ$20:CA216,2,0),0),VALUE(RIGHT(LEFT($B62,21),10)))</f>
        <v>1039</v>
      </c>
      <c r="BP53" s="105">
        <f t="shared" ref="BP53:BP84" si="104">VALUE(RIGHT(LEFT($B62,31),10))</f>
        <v>1198</v>
      </c>
      <c r="BQ53" s="105">
        <f t="shared" ref="BQ53:BQ84" si="105">VALUE(RIGHT(LEFT($B62,41),10))</f>
        <v>1514</v>
      </c>
      <c r="BR53" s="105">
        <f t="shared" ref="BR53:BR84" si="106">VALUE(RIGHT(LEFT($B62,51),10))</f>
        <v>1595</v>
      </c>
      <c r="BS53" s="105">
        <f t="shared" ref="BS53:BS84" si="107">VALUE(RIGHT(LEFT($B62,61),10))</f>
        <v>1586</v>
      </c>
      <c r="BT53" s="105">
        <f t="shared" ref="BT53:BT84" si="108">VALUE(RIGHT(LEFT($B62,71),10))</f>
        <v>1625</v>
      </c>
      <c r="BU53" s="85"/>
      <c r="BV53" s="97" t="s">
        <v>330</v>
      </c>
      <c r="BW53" s="98" t="s">
        <v>278</v>
      </c>
      <c r="BX53" s="97" t="str">
        <f t="shared" si="63"/>
        <v>BCA Parnaíba</v>
      </c>
      <c r="BZ53" s="147">
        <v>99</v>
      </c>
      <c r="CA53" s="148">
        <v>66</v>
      </c>
      <c r="CB53" s="106"/>
      <c r="CC53" s="87"/>
      <c r="CD53" s="107"/>
      <c r="CE53" s="78"/>
      <c r="CF53" s="110"/>
      <c r="CG53" s="111"/>
      <c r="CH53" s="87"/>
      <c r="CI53" s="87"/>
      <c r="CJ53" s="87"/>
      <c r="CK53" s="87"/>
      <c r="CL53" s="87"/>
      <c r="CM53" s="87"/>
    </row>
    <row r="54" spans="2:91" ht="15.6" x14ac:dyDescent="0.3">
      <c r="B54" s="99" t="s">
        <v>723</v>
      </c>
      <c r="C54" s="99"/>
      <c r="D54" s="99"/>
      <c r="E54" s="99"/>
      <c r="F54" s="99"/>
      <c r="G54" s="99"/>
      <c r="H54" s="99"/>
      <c r="I54" s="43"/>
      <c r="J54" s="99" t="str">
        <f t="shared" si="60"/>
        <v xml:space="preserve">    27   48       357       413       453       532       588       697</v>
      </c>
      <c r="L54" s="59" t="s">
        <v>267</v>
      </c>
      <c r="M54" s="60">
        <f t="shared" si="67"/>
        <v>1666.7318000000002</v>
      </c>
      <c r="N54" s="60">
        <f t="shared" si="68"/>
        <v>1770.5416000000002</v>
      </c>
      <c r="O54" s="60">
        <f t="shared" si="69"/>
        <v>1840.4628000000002</v>
      </c>
      <c r="P54" s="60">
        <f t="shared" si="70"/>
        <v>1770.9079999999999</v>
      </c>
      <c r="Q54" s="60">
        <f t="shared" si="71"/>
        <v>1728.3911999999998</v>
      </c>
      <c r="R54" s="60">
        <f t="shared" si="72"/>
        <v>1710.1755999999996</v>
      </c>
      <c r="S54" s="61">
        <f t="shared" si="74"/>
        <v>1766.8490516129032</v>
      </c>
      <c r="T54" s="42"/>
      <c r="U54" s="134"/>
      <c r="V54" s="191"/>
      <c r="W54" s="187">
        <v>49</v>
      </c>
      <c r="X54" s="187">
        <v>0.61770000000000003</v>
      </c>
      <c r="Z54" s="101">
        <v>34</v>
      </c>
      <c r="AA54" s="101">
        <v>1</v>
      </c>
      <c r="AB54" s="101">
        <v>0.38690000000000002</v>
      </c>
      <c r="AD54" s="102">
        <f t="shared" si="28"/>
        <v>36</v>
      </c>
      <c r="AE54" s="102">
        <f t="shared" si="29"/>
        <v>71</v>
      </c>
      <c r="AF54" s="102">
        <f t="shared" si="95"/>
        <v>94</v>
      </c>
      <c r="AG54" s="102">
        <f t="shared" si="96"/>
        <v>102</v>
      </c>
      <c r="AH54" s="102">
        <f t="shared" si="97"/>
        <v>107</v>
      </c>
      <c r="AI54" s="102">
        <f>ROUND(BR54*(1+VLOOKUP($AL54,$B$3:$H$6,AI$19,FALSE)+_xlfn.IFNA(VLOOKUP("REE "&amp;$AM54,$B$11:$H$23,AI$19,FALSE),0)+_xlfn.IFNA(VLOOKUP("BCA "&amp;$AN54,$B$11:$H$23,AI$19,0),0)+_xlfn.IFNA(VLOOKUP("PST "&amp;$AE54,$B$11:$H$23,AI$19,0),0)),0)</f>
        <v>100</v>
      </c>
      <c r="AJ54" s="102">
        <f t="shared" si="99"/>
        <v>92</v>
      </c>
      <c r="AK54" s="102">
        <f t="shared" si="100"/>
        <v>101</v>
      </c>
      <c r="AL54" s="102">
        <f>VLOOKUP($AE54,Usinas!$B$3:$F$241,5,FALSE)</f>
        <v>2</v>
      </c>
      <c r="AM54" s="102" t="str">
        <f>VLOOKUP($AE54,Usinas!$B$3:$H$241,7,FALSE)</f>
        <v>IGUACU</v>
      </c>
      <c r="AN54" s="102" t="str">
        <f>VLOOKUP($AE54,Usinas!$B$3:$D$241,3,FALSE)</f>
        <v>IGUAÇU</v>
      </c>
      <c r="AP54" s="103">
        <v>34</v>
      </c>
      <c r="AQ54" s="103" t="str">
        <f>IF(BA54=1,VLOOKUP($AP54,Usinas!$B$3:$F$244,2,0),"")</f>
        <v>ILHA SOLTEIRA</v>
      </c>
      <c r="AR54" s="103" t="str">
        <f>IF(BA54=1,VLOOKUP($AP54,Usinas!$B$3:$F$241,3,0),"")</f>
        <v>ALTO PARANÁ</v>
      </c>
      <c r="AS54" s="103" t="str">
        <f>IF(BA54,VLOOKUP($AP54,Usinas!$B$3:$F$244,4,0),"")</f>
        <v>SUDESTE</v>
      </c>
      <c r="AT54" s="103">
        <f t="shared" si="39"/>
        <v>0.38690000000000002</v>
      </c>
      <c r="AU54" s="104">
        <f t="shared" si="92"/>
        <v>2761.6922</v>
      </c>
      <c r="AV54" s="104">
        <f t="shared" si="92"/>
        <v>3357.9051000000004</v>
      </c>
      <c r="AW54" s="104">
        <f t="shared" si="92"/>
        <v>3821.7982000000002</v>
      </c>
      <c r="AX54" s="104">
        <f t="shared" si="92"/>
        <v>3974.2368000000001</v>
      </c>
      <c r="AY54" s="104">
        <f t="shared" si="92"/>
        <v>3992.8080000000004</v>
      </c>
      <c r="AZ54" s="104">
        <f t="shared" si="92"/>
        <v>4028.7897000000003</v>
      </c>
      <c r="BA54" s="103">
        <f t="shared" si="40"/>
        <v>1</v>
      </c>
      <c r="BB54" s="103">
        <f t="shared" si="41"/>
        <v>0</v>
      </c>
      <c r="BC54" s="103" t="str">
        <f>IF(BA54=1,VLOOKUP($AP54,Usinas!$B$3:$H$244,7,0),"")</f>
        <v>PARANA</v>
      </c>
      <c r="BE54" s="103">
        <v>318</v>
      </c>
      <c r="BF54" s="103">
        <f t="shared" ref="BF54:BK54" si="109">VLOOKUP(116,$AE$21:$AK$211,BF$18,0)+0.1*(VLOOKUP(161,$AE$21:$AK$211,BF$18,0)-VLOOKUP(117,$AE$21:$AK$211,BF$18,0)-VLOOKUP(118,$AE$21:$AK$211,BF$18,0))+VLOOKUP(117,$AE$21:$AK$211,BF$18,0)+VLOOKUP(118,$AE$21:$AK$211,BF$18,0)</f>
        <v>83.1</v>
      </c>
      <c r="BG54" s="103">
        <f t="shared" si="109"/>
        <v>110.1</v>
      </c>
      <c r="BH54" s="103">
        <f t="shared" si="109"/>
        <v>121.7</v>
      </c>
      <c r="BI54" s="103">
        <f t="shared" si="109"/>
        <v>108</v>
      </c>
      <c r="BJ54" s="103">
        <f t="shared" si="109"/>
        <v>130.19999999999999</v>
      </c>
      <c r="BK54" s="103">
        <f t="shared" si="109"/>
        <v>114.2</v>
      </c>
      <c r="BM54" s="105">
        <f t="shared" si="102"/>
        <v>36</v>
      </c>
      <c r="BN54" s="105">
        <f t="shared" si="103"/>
        <v>71</v>
      </c>
      <c r="BO54" s="151">
        <f>IF($BP$15=1,IFERROR(VLOOKUP(BN54,$BZ$20:CA217,2,0),0),VALUE(RIGHT(LEFT($B63,21),10)))</f>
        <v>79</v>
      </c>
      <c r="BP54" s="105">
        <f t="shared" si="104"/>
        <v>86</v>
      </c>
      <c r="BQ54" s="105">
        <f t="shared" si="105"/>
        <v>90</v>
      </c>
      <c r="BR54" s="105">
        <f t="shared" si="106"/>
        <v>84</v>
      </c>
      <c r="BS54" s="105">
        <f t="shared" si="107"/>
        <v>78</v>
      </c>
      <c r="BT54" s="105">
        <f t="shared" si="108"/>
        <v>85</v>
      </c>
      <c r="BU54" s="85"/>
      <c r="BV54" s="97" t="s">
        <v>330</v>
      </c>
      <c r="BW54" s="98" t="s">
        <v>277</v>
      </c>
      <c r="BX54" s="97" t="str">
        <f t="shared" si="63"/>
        <v>BCA São Francisco (NE)</v>
      </c>
      <c r="BZ54" s="147">
        <v>34</v>
      </c>
      <c r="CA54" s="148">
        <v>3743</v>
      </c>
      <c r="CB54" s="106"/>
      <c r="CC54" s="87"/>
      <c r="CD54" s="107"/>
      <c r="CE54" s="78"/>
      <c r="CF54" s="110"/>
      <c r="CG54" s="111"/>
      <c r="CH54" s="87"/>
      <c r="CI54" s="87"/>
      <c r="CJ54" s="87"/>
      <c r="CK54" s="87"/>
      <c r="CL54" s="87"/>
      <c r="CM54" s="87"/>
    </row>
    <row r="55" spans="2:91" ht="15.6" x14ac:dyDescent="0.3">
      <c r="B55" s="99" t="s">
        <v>724</v>
      </c>
      <c r="C55" s="99"/>
      <c r="D55" s="99"/>
      <c r="E55" s="99"/>
      <c r="F55" s="99"/>
      <c r="G55" s="99"/>
      <c r="H55" s="99"/>
      <c r="I55" s="43"/>
      <c r="J55" s="99" t="str">
        <f t="shared" si="60"/>
        <v xml:space="preserve">    28   49       500       565       686       769       859       946</v>
      </c>
      <c r="L55" s="59" t="s">
        <v>260</v>
      </c>
      <c r="M55" s="60">
        <f t="shared" si="67"/>
        <v>7129.9454000000005</v>
      </c>
      <c r="N55" s="60">
        <f t="shared" si="68"/>
        <v>8911.0946000000004</v>
      </c>
      <c r="O55" s="60">
        <f t="shared" si="69"/>
        <v>8797.1945999999989</v>
      </c>
      <c r="P55" s="60">
        <f t="shared" si="70"/>
        <v>8751.0818999999992</v>
      </c>
      <c r="Q55" s="60">
        <f t="shared" si="71"/>
        <v>9539.8561000000027</v>
      </c>
      <c r="R55" s="60">
        <f t="shared" si="72"/>
        <v>9374.6321999999982</v>
      </c>
      <c r="S55" s="61">
        <f t="shared" si="74"/>
        <v>8818.8524709677422</v>
      </c>
      <c r="T55" s="42"/>
      <c r="U55" s="134"/>
      <c r="V55" s="191"/>
      <c r="W55" s="187">
        <v>50</v>
      </c>
      <c r="X55" s="187">
        <v>0.14829999999999999</v>
      </c>
      <c r="Z55" s="101">
        <v>35</v>
      </c>
      <c r="AA55" s="101">
        <v>0</v>
      </c>
      <c r="AB55" s="101">
        <v>0</v>
      </c>
      <c r="AD55" s="102">
        <f t="shared" si="28"/>
        <v>37</v>
      </c>
      <c r="AE55" s="102">
        <f t="shared" si="29"/>
        <v>72</v>
      </c>
      <c r="AF55" s="102">
        <f>ROUND(BO55*(1+VLOOKUP($AL55,$B$3:$H$6,AF$19,FALSE)+_xlfn.IFNA(VLOOKUP("REE "&amp;$AM55,$B$11:$H$23,AF$19,FALSE),0)+_xlfn.IFNA(VLOOKUP("BCA "&amp;$AN55,$B$11:$H$23,AF$19,0),0)+_xlfn.IFNA(VLOOKUP("PST "&amp;$AE55,$B$11:$H$23,AF$19,0),0)),0)</f>
        <v>100</v>
      </c>
      <c r="AG55" s="102">
        <f t="shared" si="96"/>
        <v>109</v>
      </c>
      <c r="AH55" s="102">
        <f t="shared" si="97"/>
        <v>114</v>
      </c>
      <c r="AI55" s="102">
        <f t="shared" si="98"/>
        <v>107</v>
      </c>
      <c r="AJ55" s="102">
        <f t="shared" si="99"/>
        <v>100</v>
      </c>
      <c r="AK55" s="102">
        <f t="shared" si="100"/>
        <v>107</v>
      </c>
      <c r="AL55" s="102">
        <f>VLOOKUP($AE55,Usinas!$B$3:$F$241,5,FALSE)</f>
        <v>2</v>
      </c>
      <c r="AM55" s="102" t="str">
        <f>VLOOKUP($AE55,Usinas!$B$3:$H$241,7,FALSE)</f>
        <v>IGUACU</v>
      </c>
      <c r="AN55" s="102" t="str">
        <f>VLOOKUP($AE55,Usinas!$B$3:$D$241,3,FALSE)</f>
        <v>IGUAÇU</v>
      </c>
      <c r="AP55" s="103">
        <v>35</v>
      </c>
      <c r="AQ55" s="103" t="str">
        <f>IF(BA55=1,VLOOKUP($AP55,Usinas!$B$3:$F$244,2,0),"")</f>
        <v/>
      </c>
      <c r="AR55" s="103" t="str">
        <f>IF(BA55=1,VLOOKUP($AP55,Usinas!$B$3:$F$241,3,0),"")</f>
        <v/>
      </c>
      <c r="AS55" s="103" t="str">
        <f>IF(BA55,VLOOKUP($AP55,Usinas!$B$3:$F$244,4,0),"")</f>
        <v/>
      </c>
      <c r="AT55" s="103" t="str">
        <f t="shared" si="39"/>
        <v/>
      </c>
      <c r="AU55" s="104" t="str">
        <f t="shared" si="92"/>
        <v/>
      </c>
      <c r="AV55" s="104" t="str">
        <f t="shared" si="92"/>
        <v/>
      </c>
      <c r="AW55" s="104" t="str">
        <f t="shared" si="92"/>
        <v/>
      </c>
      <c r="AX55" s="104" t="str">
        <f t="shared" si="92"/>
        <v/>
      </c>
      <c r="AY55" s="104" t="str">
        <f t="shared" si="92"/>
        <v/>
      </c>
      <c r="AZ55" s="104" t="str">
        <f t="shared" si="92"/>
        <v/>
      </c>
      <c r="BA55" s="103">
        <f t="shared" si="40"/>
        <v>0</v>
      </c>
      <c r="BB55" s="103">
        <f t="shared" si="41"/>
        <v>0</v>
      </c>
      <c r="BC55" s="103" t="str">
        <f>IF(BA55=1,VLOOKUP($AP55,Usinas!$B$3:$H$244,7,0),"")</f>
        <v/>
      </c>
      <c r="BE55" s="103">
        <v>319</v>
      </c>
      <c r="BF55" s="103">
        <f t="shared" ref="BF55:BK55" si="110">0.1*(VLOOKUP(161,$AE$21:$AK$211,BF$18,0)-VLOOKUP(117,$AE$21:$AK$211,BF$18,0)-VLOOKUP(118,$AE$21:$AK$211,BF$18,0))+VLOOKUP(117,$AE$21:$AK$211,BF$18,0)+VLOOKUP(118,$AE$21:$AK$211,BF$18,0)</f>
        <v>75.099999999999994</v>
      </c>
      <c r="BG55" s="103">
        <f t="shared" si="110"/>
        <v>99.1</v>
      </c>
      <c r="BH55" s="103">
        <f t="shared" si="110"/>
        <v>109.7</v>
      </c>
      <c r="BI55" s="103">
        <f t="shared" si="110"/>
        <v>97</v>
      </c>
      <c r="BJ55" s="103">
        <f t="shared" si="110"/>
        <v>118.2</v>
      </c>
      <c r="BK55" s="103">
        <f t="shared" si="110"/>
        <v>104.2</v>
      </c>
      <c r="BM55" s="105">
        <f t="shared" si="102"/>
        <v>37</v>
      </c>
      <c r="BN55" s="105">
        <f t="shared" si="103"/>
        <v>72</v>
      </c>
      <c r="BO55" s="151">
        <f>IF($BP$15=1,IFERROR(VLOOKUP(BN55,$BZ$20:CA218,2,0),0),VALUE(RIGHT(LEFT($B64,21),10)))</f>
        <v>84</v>
      </c>
      <c r="BP55" s="105">
        <f t="shared" si="104"/>
        <v>92</v>
      </c>
      <c r="BQ55" s="105">
        <f t="shared" si="105"/>
        <v>96</v>
      </c>
      <c r="BR55" s="105">
        <f t="shared" si="106"/>
        <v>90</v>
      </c>
      <c r="BS55" s="105">
        <f t="shared" si="107"/>
        <v>84</v>
      </c>
      <c r="BT55" s="105">
        <f t="shared" si="108"/>
        <v>90</v>
      </c>
      <c r="BU55" s="85"/>
      <c r="BV55" s="97" t="s">
        <v>330</v>
      </c>
      <c r="BW55" s="98" t="s">
        <v>261</v>
      </c>
      <c r="BX55" s="97" t="str">
        <f t="shared" si="63"/>
        <v>BCA São Francisco (SE)</v>
      </c>
      <c r="BZ55" s="147">
        <v>318</v>
      </c>
      <c r="CA55" s="148">
        <v>64</v>
      </c>
      <c r="CB55" s="106"/>
      <c r="CC55" s="87"/>
      <c r="CD55" s="107"/>
      <c r="CE55" s="78"/>
      <c r="CF55" s="110"/>
      <c r="CG55" s="111"/>
      <c r="CH55" s="87"/>
      <c r="CI55" s="87"/>
      <c r="CJ55" s="87"/>
      <c r="CK55" s="87"/>
      <c r="CL55" s="87"/>
      <c r="CM55" s="87"/>
    </row>
    <row r="56" spans="2:91" ht="15.6" x14ac:dyDescent="0.3">
      <c r="B56" s="99" t="s">
        <v>725</v>
      </c>
      <c r="C56" s="99"/>
      <c r="D56" s="99"/>
      <c r="E56" s="99"/>
      <c r="F56" s="99"/>
      <c r="G56" s="99"/>
      <c r="H56" s="99"/>
      <c r="I56" s="43"/>
      <c r="J56" s="99" t="str">
        <f t="shared" si="60"/>
        <v xml:space="preserve">    29   50       596       665       817       920      1024      1122</v>
      </c>
      <c r="L56" s="59" t="s">
        <v>263</v>
      </c>
      <c r="M56" s="60">
        <f t="shared" si="67"/>
        <v>314.82000000000005</v>
      </c>
      <c r="N56" s="60">
        <f t="shared" si="68"/>
        <v>350.49960000000004</v>
      </c>
      <c r="O56" s="60">
        <f t="shared" si="69"/>
        <v>383.03100000000006</v>
      </c>
      <c r="P56" s="60">
        <f t="shared" si="70"/>
        <v>404.01900000000006</v>
      </c>
      <c r="Q56" s="60">
        <f t="shared" si="71"/>
        <v>396.67320000000007</v>
      </c>
      <c r="R56" s="60">
        <f t="shared" si="72"/>
        <v>353.64780000000002</v>
      </c>
      <c r="S56" s="61">
        <f t="shared" si="74"/>
        <v>376.90385806451616</v>
      </c>
      <c r="T56" s="42"/>
      <c r="U56" s="134"/>
      <c r="V56" s="191"/>
      <c r="W56" s="187">
        <v>51</v>
      </c>
      <c r="X56" s="187">
        <v>0.1288</v>
      </c>
      <c r="Z56" s="101">
        <v>36</v>
      </c>
      <c r="AA56" s="101">
        <v>0</v>
      </c>
      <c r="AB56" s="101">
        <v>0</v>
      </c>
      <c r="AD56" s="102">
        <f t="shared" si="28"/>
        <v>38</v>
      </c>
      <c r="AE56" s="102">
        <f t="shared" si="29"/>
        <v>73</v>
      </c>
      <c r="AF56" s="102">
        <f t="shared" si="95"/>
        <v>127</v>
      </c>
      <c r="AG56" s="102">
        <f t="shared" si="96"/>
        <v>136</v>
      </c>
      <c r="AH56" s="102">
        <f t="shared" si="97"/>
        <v>143</v>
      </c>
      <c r="AI56" s="102">
        <f t="shared" si="98"/>
        <v>133</v>
      </c>
      <c r="AJ56" s="102">
        <f t="shared" si="99"/>
        <v>125</v>
      </c>
      <c r="AK56" s="102">
        <f t="shared" si="100"/>
        <v>130</v>
      </c>
      <c r="AL56" s="102">
        <f>VLOOKUP($AE56,Usinas!$B$3:$F$241,5,FALSE)</f>
        <v>2</v>
      </c>
      <c r="AM56" s="102" t="str">
        <f>VLOOKUP($AE56,Usinas!$B$3:$H$241,7,FALSE)</f>
        <v>IGUACU</v>
      </c>
      <c r="AN56" s="102" t="str">
        <f>VLOOKUP($AE56,Usinas!$B$3:$D$241,3,FALSE)</f>
        <v>IGUAÇU</v>
      </c>
      <c r="AP56" s="103">
        <v>36</v>
      </c>
      <c r="AQ56" s="103" t="str">
        <f>IF(BA56=1,VLOOKUP($AP56,Usinas!$B$3:$F$244,2,0),"")</f>
        <v/>
      </c>
      <c r="AR56" s="103" t="str">
        <f>IF(BA56=1,VLOOKUP($AP56,Usinas!$B$3:$F$241,3,0),"")</f>
        <v/>
      </c>
      <c r="AS56" s="103" t="str">
        <f>IF(BA56,VLOOKUP($AP56,Usinas!$B$3:$F$244,4,0),"")</f>
        <v/>
      </c>
      <c r="AT56" s="103" t="str">
        <f t="shared" si="39"/>
        <v/>
      </c>
      <c r="AU56" s="104" t="str">
        <f t="shared" si="92"/>
        <v/>
      </c>
      <c r="AV56" s="104" t="str">
        <f t="shared" si="92"/>
        <v/>
      </c>
      <c r="AW56" s="104" t="str">
        <f t="shared" si="92"/>
        <v/>
      </c>
      <c r="AX56" s="104" t="str">
        <f t="shared" si="92"/>
        <v/>
      </c>
      <c r="AY56" s="104" t="str">
        <f t="shared" si="92"/>
        <v/>
      </c>
      <c r="AZ56" s="104" t="str">
        <f t="shared" si="92"/>
        <v/>
      </c>
      <c r="BA56" s="103">
        <f t="shared" si="40"/>
        <v>0</v>
      </c>
      <c r="BB56" s="103">
        <f t="shared" si="41"/>
        <v>0</v>
      </c>
      <c r="BC56" s="103" t="str">
        <f>IF(BA56=1,VLOOKUP($AP56,Usinas!$B$3:$H$244,7,0),"")</f>
        <v/>
      </c>
      <c r="BE56" s="103">
        <v>302</v>
      </c>
      <c r="BF56" s="104">
        <f t="shared" ref="BF56:BK56" si="111">BF68-BF57</f>
        <v>985.71428571428578</v>
      </c>
      <c r="BG56" s="104">
        <f t="shared" si="111"/>
        <v>1100</v>
      </c>
      <c r="BH56" s="104">
        <f t="shared" si="111"/>
        <v>1100</v>
      </c>
      <c r="BI56" s="104">
        <f t="shared" si="111"/>
        <v>1100</v>
      </c>
      <c r="BJ56" s="104">
        <f t="shared" si="111"/>
        <v>1100</v>
      </c>
      <c r="BK56" s="104">
        <f t="shared" si="111"/>
        <v>1600</v>
      </c>
      <c r="BM56" s="105">
        <f t="shared" si="102"/>
        <v>38</v>
      </c>
      <c r="BN56" s="105">
        <f t="shared" si="103"/>
        <v>73</v>
      </c>
      <c r="BO56" s="151">
        <f>IF($BP$15=1,IFERROR(VLOOKUP(BN56,$BZ$20:CA219,2,0),0),VALUE(RIGHT(LEFT($B65,21),10)))</f>
        <v>107</v>
      </c>
      <c r="BP56" s="105">
        <f t="shared" si="104"/>
        <v>115</v>
      </c>
      <c r="BQ56" s="105">
        <f t="shared" si="105"/>
        <v>121</v>
      </c>
      <c r="BR56" s="105">
        <f t="shared" si="106"/>
        <v>112</v>
      </c>
      <c r="BS56" s="105">
        <f t="shared" si="107"/>
        <v>105</v>
      </c>
      <c r="BT56" s="105">
        <f t="shared" si="108"/>
        <v>110</v>
      </c>
      <c r="BU56" s="85"/>
      <c r="BV56" s="97" t="s">
        <v>330</v>
      </c>
      <c r="BW56" s="98" t="s">
        <v>284</v>
      </c>
      <c r="BX56" s="97" t="str">
        <f t="shared" si="63"/>
        <v>BCA Tietê</v>
      </c>
      <c r="BZ56" s="147">
        <v>118</v>
      </c>
      <c r="CA56" s="148">
        <v>22</v>
      </c>
      <c r="CB56" s="106"/>
      <c r="CC56" s="87"/>
      <c r="CD56" s="107"/>
      <c r="CE56" s="78"/>
      <c r="CF56" s="110"/>
      <c r="CG56" s="111"/>
      <c r="CH56" s="87"/>
      <c r="CI56" s="87"/>
      <c r="CJ56" s="87"/>
      <c r="CK56" s="87"/>
      <c r="CL56" s="87"/>
      <c r="CM56" s="87"/>
    </row>
    <row r="57" spans="2:91" ht="15.6" x14ac:dyDescent="0.3">
      <c r="B57" s="99" t="s">
        <v>726</v>
      </c>
      <c r="C57" s="99"/>
      <c r="D57" s="99"/>
      <c r="E57" s="99"/>
      <c r="F57" s="99"/>
      <c r="G57" s="99"/>
      <c r="H57" s="99"/>
      <c r="I57" s="43"/>
      <c r="J57" s="99" t="str">
        <f t="shared" si="60"/>
        <v xml:space="preserve">    30   51       603       674       825       930      1032      1137</v>
      </c>
      <c r="L57" s="59" t="s">
        <v>262</v>
      </c>
      <c r="M57" s="60">
        <f t="shared" si="67"/>
        <v>1819.3736999999999</v>
      </c>
      <c r="N57" s="60">
        <f t="shared" si="68"/>
        <v>2074.5094000000004</v>
      </c>
      <c r="O57" s="60">
        <f t="shared" si="69"/>
        <v>2582.3944000000006</v>
      </c>
      <c r="P57" s="60">
        <f t="shared" si="70"/>
        <v>2785.5153999999998</v>
      </c>
      <c r="Q57" s="60">
        <f t="shared" si="71"/>
        <v>2927.7539000000006</v>
      </c>
      <c r="R57" s="60">
        <f t="shared" si="72"/>
        <v>3123.9168</v>
      </c>
      <c r="S57" s="61">
        <f t="shared" si="74"/>
        <v>2517.7204129032261</v>
      </c>
      <c r="T57" s="42"/>
      <c r="U57" s="134"/>
      <c r="V57" s="191"/>
      <c r="W57" s="187">
        <v>52</v>
      </c>
      <c r="X57" s="187">
        <v>0.1489</v>
      </c>
      <c r="Z57" s="101">
        <v>37</v>
      </c>
      <c r="AA57" s="101">
        <v>1</v>
      </c>
      <c r="AB57" s="101">
        <v>0.17760000000000001</v>
      </c>
      <c r="AD57" s="102">
        <f t="shared" si="28"/>
        <v>39</v>
      </c>
      <c r="AE57" s="102">
        <f t="shared" si="29"/>
        <v>74</v>
      </c>
      <c r="AF57" s="102">
        <f t="shared" si="95"/>
        <v>567</v>
      </c>
      <c r="AG57" s="102">
        <f t="shared" si="96"/>
        <v>618</v>
      </c>
      <c r="AH57" s="102">
        <f t="shared" si="97"/>
        <v>671</v>
      </c>
      <c r="AI57" s="102">
        <f t="shared" si="98"/>
        <v>692</v>
      </c>
      <c r="AJ57" s="102">
        <f t="shared" si="99"/>
        <v>650</v>
      </c>
      <c r="AK57" s="102">
        <f t="shared" si="100"/>
        <v>569</v>
      </c>
      <c r="AL57" s="102">
        <f>VLOOKUP($AE57,Usinas!$B$3:$F$241,5,FALSE)</f>
        <v>2</v>
      </c>
      <c r="AM57" s="102" t="str">
        <f>VLOOKUP($AE57,Usinas!$B$3:$H$241,7,FALSE)</f>
        <v>IGUACU</v>
      </c>
      <c r="AN57" s="102" t="str">
        <f>VLOOKUP($AE57,Usinas!$B$3:$D$241,3,FALSE)</f>
        <v>IGUAÇU</v>
      </c>
      <c r="AP57" s="103">
        <v>37</v>
      </c>
      <c r="AQ57" s="103" t="str">
        <f>IF(BA57=1,VLOOKUP($AP57,Usinas!$B$3:$F$244,2,0),"")</f>
        <v>BARRA BONITA</v>
      </c>
      <c r="AR57" s="103" t="str">
        <f>IF(BA57=1,VLOOKUP($AP57,Usinas!$B$3:$F$241,3,0),"")</f>
        <v>TIETÊ</v>
      </c>
      <c r="AS57" s="103" t="str">
        <f>IF(BA57,VLOOKUP($AP57,Usinas!$B$3:$F$244,4,0),"")</f>
        <v>SUDESTE</v>
      </c>
      <c r="AT57" s="103">
        <f t="shared" si="39"/>
        <v>0.17760000000000001</v>
      </c>
      <c r="AU57" s="104">
        <f t="shared" si="92"/>
        <v>93.932640000000006</v>
      </c>
      <c r="AV57" s="104">
        <f t="shared" si="92"/>
        <v>132.11663999999999</v>
      </c>
      <c r="AW57" s="104">
        <f t="shared" si="92"/>
        <v>147.10607999999999</v>
      </c>
      <c r="AX57" s="104">
        <f t="shared" si="92"/>
        <v>162.50400000000002</v>
      </c>
      <c r="AY57" s="104">
        <f t="shared" si="92"/>
        <v>164.24448000000001</v>
      </c>
      <c r="AZ57" s="104">
        <f t="shared" si="92"/>
        <v>152.70048</v>
      </c>
      <c r="BA57" s="103">
        <f t="shared" si="40"/>
        <v>1</v>
      </c>
      <c r="BB57" s="103">
        <f t="shared" si="41"/>
        <v>0</v>
      </c>
      <c r="BC57" s="103" t="str">
        <f>IF(BA57=1,VLOOKUP($AP57,Usinas!$B$3:$H$244,7,0),"")</f>
        <v>PARANA</v>
      </c>
      <c r="BE57" s="103">
        <v>292</v>
      </c>
      <c r="BF57" s="104">
        <f t="shared" ref="BF57:BK57" si="112">BF73</f>
        <v>3545.2857142857142</v>
      </c>
      <c r="BG57" s="104">
        <f t="shared" si="112"/>
        <v>4622</v>
      </c>
      <c r="BH57" s="104">
        <f t="shared" si="112"/>
        <v>5832</v>
      </c>
      <c r="BI57" s="104">
        <f t="shared" si="112"/>
        <v>7107</v>
      </c>
      <c r="BJ57" s="104">
        <f t="shared" si="112"/>
        <v>8381</v>
      </c>
      <c r="BK57" s="104">
        <f t="shared" si="112"/>
        <v>9193</v>
      </c>
      <c r="BM57" s="105">
        <f t="shared" si="102"/>
        <v>39</v>
      </c>
      <c r="BN57" s="105">
        <f t="shared" si="103"/>
        <v>74</v>
      </c>
      <c r="BO57" s="151">
        <f>IF($BP$15=1,IFERROR(VLOOKUP(BN57,$BZ$20:CA220,2,0),0),VALUE(RIGHT(LEFT($B66,21),10)))</f>
        <v>478</v>
      </c>
      <c r="BP57" s="105">
        <f t="shared" si="104"/>
        <v>521</v>
      </c>
      <c r="BQ57" s="105">
        <f t="shared" si="105"/>
        <v>566</v>
      </c>
      <c r="BR57" s="105">
        <f t="shared" si="106"/>
        <v>584</v>
      </c>
      <c r="BS57" s="105">
        <f t="shared" si="107"/>
        <v>548</v>
      </c>
      <c r="BT57" s="105">
        <f t="shared" si="108"/>
        <v>480</v>
      </c>
      <c r="BU57" s="85"/>
      <c r="BV57" s="97" t="s">
        <v>330</v>
      </c>
      <c r="BW57" s="98" t="s">
        <v>283</v>
      </c>
      <c r="BX57" s="97" t="str">
        <f t="shared" si="63"/>
        <v>BCA Tocantins (N)</v>
      </c>
      <c r="BZ57" s="147">
        <v>119</v>
      </c>
      <c r="CA57" s="148">
        <v>27</v>
      </c>
      <c r="CC57" s="87"/>
      <c r="CD57" s="107"/>
      <c r="CF57" s="110"/>
      <c r="CG57" s="111"/>
      <c r="CH57" s="87"/>
      <c r="CI57" s="87"/>
      <c r="CJ57" s="87"/>
      <c r="CK57" s="87"/>
      <c r="CL57" s="87"/>
      <c r="CM57" s="87"/>
    </row>
    <row r="58" spans="2:91" ht="15.6" x14ac:dyDescent="0.3">
      <c r="B58" s="99" t="s">
        <v>727</v>
      </c>
      <c r="C58" s="99"/>
      <c r="D58" s="99"/>
      <c r="E58" s="99"/>
      <c r="F58" s="99"/>
      <c r="G58" s="99"/>
      <c r="H58" s="99"/>
      <c r="I58" s="43"/>
      <c r="J58" s="99" t="str">
        <f t="shared" si="60"/>
        <v xml:space="preserve">    31   52       616       689       843       955      1057      1167</v>
      </c>
      <c r="L58" s="59" t="s">
        <v>279</v>
      </c>
      <c r="M58" s="60">
        <f t="shared" si="67"/>
        <v>139.25120000000001</v>
      </c>
      <c r="N58" s="60">
        <f t="shared" si="68"/>
        <v>154.00880000000001</v>
      </c>
      <c r="O58" s="60">
        <f t="shared" si="69"/>
        <v>168.7664</v>
      </c>
      <c r="P58" s="60">
        <f t="shared" si="70"/>
        <v>169.5232</v>
      </c>
      <c r="Q58" s="60">
        <f t="shared" si="71"/>
        <v>212.66079999999999</v>
      </c>
      <c r="R58" s="60">
        <f t="shared" si="72"/>
        <v>245.58160000000001</v>
      </c>
      <c r="S58" s="61">
        <f t="shared" si="74"/>
        <v>172.66025806451611</v>
      </c>
      <c r="T58" s="42"/>
      <c r="U58" s="134"/>
      <c r="V58" s="191"/>
      <c r="W58" s="187">
        <v>57</v>
      </c>
      <c r="X58" s="187">
        <v>1.0494000000000001</v>
      </c>
      <c r="Z58" s="101">
        <v>38</v>
      </c>
      <c r="AA58" s="101">
        <v>1</v>
      </c>
      <c r="AB58" s="101">
        <v>0.18479999999999999</v>
      </c>
      <c r="AD58" s="102">
        <f t="shared" si="28"/>
        <v>40</v>
      </c>
      <c r="AE58" s="102">
        <f t="shared" si="29"/>
        <v>76</v>
      </c>
      <c r="AF58" s="102">
        <f t="shared" si="95"/>
        <v>698</v>
      </c>
      <c r="AG58" s="102">
        <f t="shared" si="96"/>
        <v>761</v>
      </c>
      <c r="AH58" s="102">
        <f t="shared" si="97"/>
        <v>812</v>
      </c>
      <c r="AI58" s="102">
        <f t="shared" si="98"/>
        <v>828</v>
      </c>
      <c r="AJ58" s="102">
        <f t="shared" si="99"/>
        <v>781</v>
      </c>
      <c r="AK58" s="102">
        <f t="shared" si="100"/>
        <v>698</v>
      </c>
      <c r="AL58" s="102">
        <f>VLOOKUP($AE58,Usinas!$B$3:$F$241,5,FALSE)</f>
        <v>2</v>
      </c>
      <c r="AM58" s="102" t="str">
        <f>VLOOKUP($AE58,Usinas!$B$3:$H$241,7,FALSE)</f>
        <v>IGUACU</v>
      </c>
      <c r="AN58" s="102" t="str">
        <f>VLOOKUP($AE58,Usinas!$B$3:$D$241,3,FALSE)</f>
        <v>IGUAÇU</v>
      </c>
      <c r="AP58" s="103">
        <v>38</v>
      </c>
      <c r="AQ58" s="103" t="str">
        <f>IF(BA58=1,VLOOKUP($AP58,Usinas!$B$3:$F$244,2,0),"")</f>
        <v>BARIRI</v>
      </c>
      <c r="AR58" s="103" t="str">
        <f>IF(BA58=1,VLOOKUP($AP58,Usinas!$B$3:$F$241,3,0),"")</f>
        <v>TIETÊ</v>
      </c>
      <c r="AS58" s="103" t="str">
        <f>IF(BA58,VLOOKUP($AP58,Usinas!$B$3:$F$244,4,0),"")</f>
        <v>SUDESTE</v>
      </c>
      <c r="AT58" s="103">
        <f t="shared" si="39"/>
        <v>0.18479999999999999</v>
      </c>
      <c r="AU58" s="104">
        <f t="shared" si="92"/>
        <v>106.79592</v>
      </c>
      <c r="AV58" s="104">
        <f t="shared" si="92"/>
        <v>149.29991999999999</v>
      </c>
      <c r="AW58" s="104">
        <f t="shared" si="92"/>
        <v>169.14743999999999</v>
      </c>
      <c r="AX58" s="104">
        <f t="shared" si="92"/>
        <v>183.876</v>
      </c>
      <c r="AY58" s="104">
        <f t="shared" si="92"/>
        <v>186.79583999999997</v>
      </c>
      <c r="AZ58" s="104">
        <f t="shared" si="92"/>
        <v>177.55583999999999</v>
      </c>
      <c r="BA58" s="103">
        <f t="shared" si="40"/>
        <v>1</v>
      </c>
      <c r="BB58" s="103">
        <f t="shared" si="41"/>
        <v>0</v>
      </c>
      <c r="BC58" s="103" t="str">
        <f>IF(BA58=1,VLOOKUP($AP58,Usinas!$B$3:$H$244,7,0),"")</f>
        <v>PARANA</v>
      </c>
      <c r="BE58" s="103"/>
      <c r="BF58" s="103"/>
      <c r="BG58" s="103"/>
      <c r="BH58" s="103"/>
      <c r="BI58" s="103"/>
      <c r="BJ58" s="103"/>
      <c r="BK58" s="103"/>
      <c r="BM58" s="105">
        <f t="shared" si="102"/>
        <v>40</v>
      </c>
      <c r="BN58" s="105">
        <f t="shared" si="103"/>
        <v>76</v>
      </c>
      <c r="BO58" s="151">
        <f>IF($BP$15=1,IFERROR(VLOOKUP(BN58,$BZ$20:CA221,2,0),0),VALUE(RIGHT(LEFT($B67,21),10)))</f>
        <v>589</v>
      </c>
      <c r="BP58" s="105">
        <f t="shared" si="104"/>
        <v>642</v>
      </c>
      <c r="BQ58" s="105">
        <f t="shared" si="105"/>
        <v>685</v>
      </c>
      <c r="BR58" s="105">
        <f t="shared" si="106"/>
        <v>698</v>
      </c>
      <c r="BS58" s="105">
        <f t="shared" si="107"/>
        <v>659</v>
      </c>
      <c r="BT58" s="105">
        <f t="shared" si="108"/>
        <v>589</v>
      </c>
      <c r="BU58" s="85"/>
      <c r="BV58" s="97" t="s">
        <v>330</v>
      </c>
      <c r="BW58" s="98" t="s">
        <v>274</v>
      </c>
      <c r="BX58" s="97" t="str">
        <f t="shared" si="63"/>
        <v>BCA Tocantins (SE)</v>
      </c>
      <c r="BZ58" s="147">
        <v>117</v>
      </c>
      <c r="CA58" s="148">
        <v>29</v>
      </c>
      <c r="CC58" s="87"/>
      <c r="CF58" s="110"/>
      <c r="CG58" s="111"/>
      <c r="CH58" s="87"/>
      <c r="CI58" s="87"/>
      <c r="CJ58" s="87"/>
      <c r="CK58" s="87"/>
      <c r="CL58" s="87"/>
      <c r="CM58" s="87"/>
    </row>
    <row r="59" spans="2:91" ht="15.6" x14ac:dyDescent="0.3">
      <c r="B59" s="99" t="s">
        <v>728</v>
      </c>
      <c r="C59" s="99"/>
      <c r="D59" s="99"/>
      <c r="E59" s="99"/>
      <c r="F59" s="99"/>
      <c r="G59" s="99"/>
      <c r="H59" s="99"/>
      <c r="I59" s="43"/>
      <c r="J59" s="99" t="str">
        <f t="shared" si="60"/>
        <v xml:space="preserve">    32   57       300       334       365       385       378       337</v>
      </c>
      <c r="L59" s="59" t="s">
        <v>278</v>
      </c>
      <c r="M59" s="60">
        <f t="shared" si="67"/>
        <v>7722.7276999999995</v>
      </c>
      <c r="N59" s="60">
        <f t="shared" si="68"/>
        <v>7929.5749000000005</v>
      </c>
      <c r="O59" s="60">
        <f t="shared" si="69"/>
        <v>8712.4110000000001</v>
      </c>
      <c r="P59" s="60">
        <f t="shared" si="70"/>
        <v>9600.3406000000014</v>
      </c>
      <c r="Q59" s="60">
        <f t="shared" si="71"/>
        <v>9309.5666000000001</v>
      </c>
      <c r="R59" s="60">
        <f t="shared" si="72"/>
        <v>9038.8251999999993</v>
      </c>
      <c r="S59" s="61">
        <f t="shared" si="74"/>
        <v>8775.2075741935496</v>
      </c>
      <c r="T59" s="42"/>
      <c r="U59" s="134"/>
      <c r="V59" s="191"/>
      <c r="W59" s="187">
        <v>61</v>
      </c>
      <c r="X59" s="187">
        <v>0.37440000000000001</v>
      </c>
      <c r="Z59" s="101">
        <v>39</v>
      </c>
      <c r="AA59" s="101">
        <v>1</v>
      </c>
      <c r="AB59" s="101">
        <v>0.17369999999999999</v>
      </c>
      <c r="AD59" s="102">
        <f t="shared" si="28"/>
        <v>41</v>
      </c>
      <c r="AE59" s="102">
        <f t="shared" si="29"/>
        <v>77</v>
      </c>
      <c r="AF59" s="102">
        <f t="shared" si="95"/>
        <v>920</v>
      </c>
      <c r="AG59" s="102">
        <f t="shared" si="96"/>
        <v>994</v>
      </c>
      <c r="AH59" s="102">
        <f t="shared" si="97"/>
        <v>1059</v>
      </c>
      <c r="AI59" s="102">
        <f t="shared" si="98"/>
        <v>1058</v>
      </c>
      <c r="AJ59" s="102">
        <f t="shared" si="99"/>
        <v>1001</v>
      </c>
      <c r="AK59" s="102">
        <f t="shared" si="100"/>
        <v>928</v>
      </c>
      <c r="AL59" s="102">
        <f>VLOOKUP($AE59,Usinas!$B$3:$F$241,5,FALSE)</f>
        <v>2</v>
      </c>
      <c r="AM59" s="102" t="str">
        <f>VLOOKUP($AE59,Usinas!$B$3:$H$241,7,FALSE)</f>
        <v>IGUACU</v>
      </c>
      <c r="AN59" s="102" t="str">
        <f>VLOOKUP($AE59,Usinas!$B$3:$D$241,3,FALSE)</f>
        <v>IGUAÇU</v>
      </c>
      <c r="AP59" s="103">
        <v>39</v>
      </c>
      <c r="AQ59" s="103" t="str">
        <f>IF(BA59=1,VLOOKUP($AP59,Usinas!$B$3:$F$244,2,0),"")</f>
        <v>IBITINGA</v>
      </c>
      <c r="AR59" s="103" t="str">
        <f>IF(BA59=1,VLOOKUP($AP59,Usinas!$B$3:$F$241,3,0),"")</f>
        <v>TIETÊ</v>
      </c>
      <c r="AS59" s="103" t="str">
        <f>IF(BA59,VLOOKUP($AP59,Usinas!$B$3:$F$244,4,0),"")</f>
        <v>SUDESTE</v>
      </c>
      <c r="AT59" s="103">
        <f t="shared" si="39"/>
        <v>0.17369999999999999</v>
      </c>
      <c r="AU59" s="104">
        <f t="shared" si="92"/>
        <v>118.09862999999999</v>
      </c>
      <c r="AV59" s="104">
        <f t="shared" si="92"/>
        <v>162.39212999999998</v>
      </c>
      <c r="AW59" s="104">
        <f t="shared" si="92"/>
        <v>190.07990999999998</v>
      </c>
      <c r="AX59" s="104">
        <f t="shared" si="92"/>
        <v>199.92869999999999</v>
      </c>
      <c r="AY59" s="104">
        <f t="shared" si="92"/>
        <v>205.97345999999999</v>
      </c>
      <c r="AZ59" s="104">
        <f t="shared" si="92"/>
        <v>197.46215999999998</v>
      </c>
      <c r="BA59" s="103">
        <f t="shared" si="40"/>
        <v>1</v>
      </c>
      <c r="BB59" s="103">
        <f t="shared" si="41"/>
        <v>0</v>
      </c>
      <c r="BC59" s="103" t="str">
        <f>IF(BA59=1,VLOOKUP($AP59,Usinas!$B$3:$H$244,7,0),"")</f>
        <v>PARANA</v>
      </c>
      <c r="BE59" s="103"/>
      <c r="BF59" s="103"/>
      <c r="BG59" s="103"/>
      <c r="BH59" s="103"/>
      <c r="BI59" s="103"/>
      <c r="BJ59" s="103"/>
      <c r="BK59" s="103"/>
      <c r="BM59" s="105">
        <f t="shared" si="102"/>
        <v>41</v>
      </c>
      <c r="BN59" s="105">
        <f t="shared" si="103"/>
        <v>77</v>
      </c>
      <c r="BO59" s="151">
        <f>IF($BP$15=1,IFERROR(VLOOKUP(BN59,$BZ$20:CA222,2,0),0),VALUE(RIGHT(LEFT($B68,21),10)))</f>
        <v>776</v>
      </c>
      <c r="BP59" s="105">
        <f t="shared" si="104"/>
        <v>838</v>
      </c>
      <c r="BQ59" s="105">
        <f t="shared" si="105"/>
        <v>893</v>
      </c>
      <c r="BR59" s="105">
        <f t="shared" si="106"/>
        <v>892</v>
      </c>
      <c r="BS59" s="105">
        <f t="shared" si="107"/>
        <v>844</v>
      </c>
      <c r="BT59" s="105">
        <f t="shared" si="108"/>
        <v>783</v>
      </c>
      <c r="BU59" s="85"/>
      <c r="BV59" s="97" t="s">
        <v>331</v>
      </c>
      <c r="BW59" s="98">
        <f t="shared" ref="BW59:BW90" si="113">AE21</f>
        <v>1</v>
      </c>
      <c r="BX59" s="97" t="str">
        <f t="shared" si="63"/>
        <v>BCA Uruguai</v>
      </c>
      <c r="BZ59" s="147">
        <v>160</v>
      </c>
      <c r="CA59" s="148">
        <v>6</v>
      </c>
      <c r="CC59" s="87"/>
      <c r="CF59" s="110"/>
      <c r="CG59" s="111"/>
      <c r="CH59" s="87"/>
      <c r="CI59" s="87"/>
      <c r="CJ59" s="87"/>
      <c r="CK59" s="87"/>
      <c r="CL59" s="87"/>
      <c r="CM59" s="87"/>
    </row>
    <row r="60" spans="2:91" ht="15.6" x14ac:dyDescent="0.3">
      <c r="B60" s="99" t="s">
        <v>729</v>
      </c>
      <c r="C60" s="99"/>
      <c r="D60" s="99"/>
      <c r="E60" s="99"/>
      <c r="F60" s="99"/>
      <c r="G60" s="99"/>
      <c r="H60" s="99"/>
      <c r="I60" s="43"/>
      <c r="J60" s="99" t="str">
        <f t="shared" si="60"/>
        <v xml:space="preserve">    33   61      1256      1435      1867      1921      1938      1972</v>
      </c>
      <c r="L60" s="59" t="s">
        <v>277</v>
      </c>
      <c r="M60" s="60">
        <f t="shared" si="67"/>
        <v>699.10140000000001</v>
      </c>
      <c r="N60" s="60">
        <f t="shared" si="68"/>
        <v>850.17259999999987</v>
      </c>
      <c r="O60" s="60">
        <f t="shared" si="69"/>
        <v>810.42920000000004</v>
      </c>
      <c r="P60" s="60">
        <f t="shared" si="70"/>
        <v>752.49259999999992</v>
      </c>
      <c r="Q60" s="60">
        <f t="shared" si="71"/>
        <v>765.96939999999995</v>
      </c>
      <c r="R60" s="60">
        <f t="shared" si="72"/>
        <v>729.75599999999997</v>
      </c>
      <c r="S60" s="61">
        <f t="shared" si="74"/>
        <v>785.50809032258053</v>
      </c>
      <c r="T60" s="42"/>
      <c r="U60" s="134"/>
      <c r="V60" s="191"/>
      <c r="W60" s="187">
        <v>62</v>
      </c>
      <c r="X60" s="187">
        <v>0.22209999999999999</v>
      </c>
      <c r="Z60" s="101">
        <v>40</v>
      </c>
      <c r="AA60" s="101">
        <v>1</v>
      </c>
      <c r="AB60" s="101">
        <v>0.21299999999999999</v>
      </c>
      <c r="AD60" s="102">
        <f t="shared" si="28"/>
        <v>42</v>
      </c>
      <c r="AE60" s="102">
        <f t="shared" si="29"/>
        <v>78</v>
      </c>
      <c r="AF60" s="102">
        <f t="shared" si="95"/>
        <v>952</v>
      </c>
      <c r="AG60" s="102">
        <f t="shared" si="96"/>
        <v>1033</v>
      </c>
      <c r="AH60" s="102">
        <f t="shared" si="97"/>
        <v>1096</v>
      </c>
      <c r="AI60" s="102">
        <f t="shared" si="98"/>
        <v>1097</v>
      </c>
      <c r="AJ60" s="102">
        <f t="shared" si="99"/>
        <v>1040</v>
      </c>
      <c r="AK60" s="102">
        <f t="shared" si="100"/>
        <v>973</v>
      </c>
      <c r="AL60" s="102">
        <f>VLOOKUP($AE60,Usinas!$B$3:$F$241,5,FALSE)</f>
        <v>2</v>
      </c>
      <c r="AM60" s="102" t="str">
        <f>VLOOKUP($AE60,Usinas!$B$3:$H$241,7,FALSE)</f>
        <v>IGUACU</v>
      </c>
      <c r="AN60" s="102" t="str">
        <f>VLOOKUP($AE60,Usinas!$B$3:$D$241,3,FALSE)</f>
        <v>IGUAÇU</v>
      </c>
      <c r="AP60" s="103">
        <v>40</v>
      </c>
      <c r="AQ60" s="103" t="str">
        <f>IF(BA60=1,VLOOKUP($AP60,Usinas!$B$3:$F$244,2,0),"")</f>
        <v>PROMISSAO</v>
      </c>
      <c r="AR60" s="103" t="str">
        <f>IF(BA60=1,VLOOKUP($AP60,Usinas!$B$3:$F$241,3,0),"")</f>
        <v>TIETÊ</v>
      </c>
      <c r="AS60" s="103" t="str">
        <f>IF(BA60,VLOOKUP($AP60,Usinas!$B$3:$F$244,4,0),"")</f>
        <v>SUDESTE</v>
      </c>
      <c r="AT60" s="103">
        <f t="shared" si="39"/>
        <v>0.21299999999999999</v>
      </c>
      <c r="AU60" s="104">
        <f t="shared" si="92"/>
        <v>154.8297</v>
      </c>
      <c r="AV60" s="104">
        <f t="shared" si="92"/>
        <v>215.32170000000002</v>
      </c>
      <c r="AW60" s="104">
        <f t="shared" si="92"/>
        <v>247.99589999999998</v>
      </c>
      <c r="AX60" s="104">
        <f t="shared" si="92"/>
        <v>271.78800000000001</v>
      </c>
      <c r="AY60" s="104">
        <f t="shared" si="92"/>
        <v>277.28339999999997</v>
      </c>
      <c r="AZ60" s="104">
        <f t="shared" si="92"/>
        <v>283.03440000000001</v>
      </c>
      <c r="BA60" s="103">
        <f t="shared" si="40"/>
        <v>1</v>
      </c>
      <c r="BB60" s="103">
        <f t="shared" si="41"/>
        <v>0</v>
      </c>
      <c r="BC60" s="103" t="str">
        <f>IF(BA60=1,VLOOKUP($AP60,Usinas!$B$3:$H$244,7,0),"")</f>
        <v>PARANA</v>
      </c>
      <c r="BE60" s="103"/>
      <c r="BF60" s="103"/>
      <c r="BG60" s="103"/>
      <c r="BH60" s="103"/>
      <c r="BI60" s="103"/>
      <c r="BJ60" s="103"/>
      <c r="BK60" s="103"/>
      <c r="BM60" s="105">
        <f t="shared" si="102"/>
        <v>42</v>
      </c>
      <c r="BN60" s="105">
        <f t="shared" si="103"/>
        <v>78</v>
      </c>
      <c r="BO60" s="151">
        <f>IF($BP$15=1,IFERROR(VLOOKUP(BN60,$BZ$20:CA223,2,0),0),VALUE(RIGHT(LEFT($B69,21),10)))</f>
        <v>803</v>
      </c>
      <c r="BP60" s="105">
        <f t="shared" si="104"/>
        <v>871</v>
      </c>
      <c r="BQ60" s="105">
        <f t="shared" si="105"/>
        <v>924</v>
      </c>
      <c r="BR60" s="105">
        <f t="shared" si="106"/>
        <v>925</v>
      </c>
      <c r="BS60" s="105">
        <f t="shared" si="107"/>
        <v>877</v>
      </c>
      <c r="BT60" s="105">
        <f t="shared" si="108"/>
        <v>821</v>
      </c>
      <c r="BU60" s="85"/>
      <c r="BV60" s="97" t="s">
        <v>331</v>
      </c>
      <c r="BW60" s="98">
        <f t="shared" si="113"/>
        <v>2</v>
      </c>
      <c r="BX60" s="97" t="str">
        <f t="shared" si="63"/>
        <v>PST 1</v>
      </c>
      <c r="BZ60" s="147">
        <v>161</v>
      </c>
      <c r="CA60" s="148">
        <v>128</v>
      </c>
      <c r="CB60" s="87"/>
      <c r="CC60" s="87"/>
      <c r="CF60" s="110"/>
      <c r="CG60" s="111"/>
      <c r="CH60" s="87"/>
      <c r="CI60" s="87"/>
      <c r="CJ60" s="87"/>
      <c r="CK60" s="87"/>
      <c r="CL60" s="87"/>
      <c r="CM60" s="87"/>
    </row>
    <row r="61" spans="2:91" ht="15.6" x14ac:dyDescent="0.3">
      <c r="B61" s="99" t="s">
        <v>730</v>
      </c>
      <c r="C61" s="99"/>
      <c r="D61" s="99"/>
      <c r="E61" s="99"/>
      <c r="F61" s="99"/>
      <c r="G61" s="99"/>
      <c r="H61" s="99"/>
      <c r="I61" s="43"/>
      <c r="J61" s="99" t="str">
        <f t="shared" si="60"/>
        <v xml:space="preserve">    34   62      1302      1493      1920      1998      2002      2048</v>
      </c>
      <c r="L61" s="59" t="s">
        <v>261</v>
      </c>
      <c r="M61" s="60">
        <f t="shared" si="67"/>
        <v>980.70499999999993</v>
      </c>
      <c r="N61" s="60">
        <f t="shared" si="68"/>
        <v>1346.5802000000001</v>
      </c>
      <c r="O61" s="60">
        <f t="shared" si="69"/>
        <v>1555.3927999999999</v>
      </c>
      <c r="P61" s="60">
        <f t="shared" si="70"/>
        <v>1755.3671000000002</v>
      </c>
      <c r="Q61" s="60">
        <f t="shared" si="71"/>
        <v>1746.0404000000001</v>
      </c>
      <c r="R61" s="60">
        <f t="shared" si="72"/>
        <v>1819.2339000000002</v>
      </c>
      <c r="S61" s="61">
        <f t="shared" si="74"/>
        <v>1540.8315645161292</v>
      </c>
      <c r="T61" s="42"/>
      <c r="U61" s="134"/>
      <c r="V61" s="191"/>
      <c r="W61" s="187">
        <v>63</v>
      </c>
      <c r="X61" s="187">
        <v>0.18410000000000001</v>
      </c>
      <c r="Z61" s="101">
        <v>41</v>
      </c>
      <c r="AA61" s="101">
        <v>0</v>
      </c>
      <c r="AB61" s="101">
        <v>0</v>
      </c>
      <c r="AD61" s="102">
        <f t="shared" si="28"/>
        <v>43</v>
      </c>
      <c r="AE61" s="102">
        <f t="shared" si="29"/>
        <v>81</v>
      </c>
      <c r="AF61" s="102">
        <f t="shared" si="95"/>
        <v>1295</v>
      </c>
      <c r="AG61" s="102">
        <f t="shared" si="96"/>
        <v>1377</v>
      </c>
      <c r="AH61" s="102">
        <f t="shared" si="97"/>
        <v>1461</v>
      </c>
      <c r="AI61" s="102">
        <f t="shared" si="98"/>
        <v>1435</v>
      </c>
      <c r="AJ61" s="102">
        <f t="shared" si="99"/>
        <v>1361</v>
      </c>
      <c r="AK61" s="102">
        <f t="shared" si="100"/>
        <v>1308</v>
      </c>
      <c r="AL61" s="102">
        <f>VLOOKUP($AE61,Usinas!$B$3:$F$241,5,FALSE)</f>
        <v>2</v>
      </c>
      <c r="AM61" s="102" t="str">
        <f>VLOOKUP($AE61,Usinas!$B$3:$H$241,7,FALSE)</f>
        <v>IGUACU</v>
      </c>
      <c r="AN61" s="102" t="str">
        <f>VLOOKUP($AE61,Usinas!$B$3:$D$241,3,FALSE)</f>
        <v>IGUAÇU</v>
      </c>
      <c r="AP61" s="103">
        <v>41</v>
      </c>
      <c r="AQ61" s="103" t="str">
        <f>IF(BA61=1,VLOOKUP($AP61,Usinas!$B$3:$F$244,2,0),"")</f>
        <v/>
      </c>
      <c r="AR61" s="103" t="str">
        <f>IF(BA61=1,VLOOKUP($AP61,Usinas!$B$3:$F$241,3,0),"")</f>
        <v/>
      </c>
      <c r="AS61" s="103" t="str">
        <f>IF(BA61,VLOOKUP($AP61,Usinas!$B$3:$F$244,4,0),"")</f>
        <v/>
      </c>
      <c r="AT61" s="103" t="str">
        <f t="shared" si="39"/>
        <v/>
      </c>
      <c r="AU61" s="104" t="str">
        <f t="shared" ref="AU61:AZ70" si="114">IF($BA61=1,IFERROR(VLOOKUP($AP61,$AE$21:$AK$211,AU$19,0),VLOOKUP($AP61,$BE$21:$BK$65,AU$19,0))*$AT61,"")</f>
        <v/>
      </c>
      <c r="AV61" s="104" t="str">
        <f t="shared" si="114"/>
        <v/>
      </c>
      <c r="AW61" s="104" t="str">
        <f t="shared" si="114"/>
        <v/>
      </c>
      <c r="AX61" s="104" t="str">
        <f t="shared" si="114"/>
        <v/>
      </c>
      <c r="AY61" s="104" t="str">
        <f t="shared" si="114"/>
        <v/>
      </c>
      <c r="AZ61" s="104" t="str">
        <f t="shared" si="114"/>
        <v/>
      </c>
      <c r="BA61" s="103">
        <f t="shared" si="40"/>
        <v>0</v>
      </c>
      <c r="BB61" s="103">
        <f t="shared" si="41"/>
        <v>0</v>
      </c>
      <c r="BC61" s="103" t="str">
        <f>IF(BA61=1,VLOOKUP($AP61,Usinas!$B$3:$H$244,7,0),"")</f>
        <v/>
      </c>
      <c r="BE61" s="103"/>
      <c r="BF61" s="103"/>
      <c r="BG61" s="103"/>
      <c r="BH61" s="103"/>
      <c r="BI61" s="103"/>
      <c r="BJ61" s="103"/>
      <c r="BK61" s="103"/>
      <c r="BM61" s="105">
        <f t="shared" si="102"/>
        <v>43</v>
      </c>
      <c r="BN61" s="105">
        <f t="shared" si="103"/>
        <v>81</v>
      </c>
      <c r="BO61" s="151">
        <f>IF($BP$15=1,IFERROR(VLOOKUP(BN61,$BZ$20:CA224,2,0),0),VALUE(RIGHT(LEFT($B70,21),10)))</f>
        <v>1092</v>
      </c>
      <c r="BP61" s="105">
        <f t="shared" si="104"/>
        <v>1161</v>
      </c>
      <c r="BQ61" s="105">
        <f t="shared" si="105"/>
        <v>1232</v>
      </c>
      <c r="BR61" s="105">
        <f t="shared" si="106"/>
        <v>1210</v>
      </c>
      <c r="BS61" s="105">
        <f t="shared" si="107"/>
        <v>1148</v>
      </c>
      <c r="BT61" s="105">
        <f t="shared" si="108"/>
        <v>1103</v>
      </c>
      <c r="BU61" s="85"/>
      <c r="BV61" s="97" t="s">
        <v>331</v>
      </c>
      <c r="BW61" s="98">
        <f t="shared" si="113"/>
        <v>6</v>
      </c>
      <c r="BX61" s="97" t="str">
        <f t="shared" si="63"/>
        <v>PST 2</v>
      </c>
      <c r="BZ61" s="147">
        <v>164</v>
      </c>
      <c r="CA61" s="148">
        <v>100</v>
      </c>
      <c r="CB61" s="87"/>
      <c r="CC61" s="87"/>
      <c r="CF61" s="110"/>
      <c r="CG61" s="111"/>
      <c r="CH61" s="87"/>
      <c r="CI61" s="87"/>
      <c r="CJ61" s="87"/>
      <c r="CK61" s="87"/>
      <c r="CL61" s="87"/>
      <c r="CM61" s="87"/>
    </row>
    <row r="62" spans="2:91" ht="15.6" x14ac:dyDescent="0.3">
      <c r="B62" s="99" t="s">
        <v>731</v>
      </c>
      <c r="C62" s="99"/>
      <c r="D62" s="99"/>
      <c r="E62" s="99"/>
      <c r="F62" s="99"/>
      <c r="G62" s="99"/>
      <c r="H62" s="99"/>
      <c r="I62" s="43"/>
      <c r="J62" s="99" t="str">
        <f t="shared" ref="J62:J93" si="115">IF(B62&lt;&gt;0,RIGHT("      "&amp;ROUND(AD53,0),6)&amp;(RIGHT("     "&amp;ROUND(AE53,0),5))&amp;RIGHT("          "&amp;ROUND(AF53,0),10)&amp;RIGHT("          "&amp;ROUND(AG53,),10)&amp;RIGHT("         "&amp;ROUND(AH53,0),10)&amp;RIGHT("          "&amp;ROUND(AI53,0),10)&amp;RIGHT("          "&amp;ROUND(AJ53,0),10)&amp;RIGHT("          "&amp;ROUND(AK53,0),10),"")</f>
        <v xml:space="preserve">    35   63      1417      1634      2065      2175      2163      2216</v>
      </c>
      <c r="L62" s="59" t="s">
        <v>284</v>
      </c>
      <c r="M62" s="60">
        <f t="shared" si="67"/>
        <v>5191.1016</v>
      </c>
      <c r="N62" s="60">
        <f t="shared" si="68"/>
        <v>5940.9295999999995</v>
      </c>
      <c r="O62" s="60">
        <f t="shared" si="69"/>
        <v>6684.8454000000002</v>
      </c>
      <c r="P62" s="60">
        <f t="shared" si="70"/>
        <v>7262.8327999999992</v>
      </c>
      <c r="Q62" s="60">
        <f t="shared" si="71"/>
        <v>8079.7611999999999</v>
      </c>
      <c r="R62" s="60">
        <f t="shared" si="72"/>
        <v>8806.5933999999997</v>
      </c>
      <c r="S62" s="61">
        <f t="shared" si="74"/>
        <v>6817.8028322580649</v>
      </c>
      <c r="T62" s="42"/>
      <c r="U62" s="134"/>
      <c r="V62" s="191"/>
      <c r="W62" s="187">
        <v>66</v>
      </c>
      <c r="X62" s="187">
        <v>1.0244</v>
      </c>
      <c r="Z62" s="101">
        <v>42</v>
      </c>
      <c r="AA62" s="101">
        <v>1</v>
      </c>
      <c r="AB62" s="101">
        <v>0.27839999999999998</v>
      </c>
      <c r="AD62" s="102">
        <f t="shared" si="28"/>
        <v>44</v>
      </c>
      <c r="AE62" s="102">
        <f t="shared" si="29"/>
        <v>88</v>
      </c>
      <c r="AF62" s="102">
        <f t="shared" si="95"/>
        <v>208</v>
      </c>
      <c r="AG62" s="102">
        <f t="shared" si="96"/>
        <v>203</v>
      </c>
      <c r="AH62" s="102">
        <f t="shared" si="97"/>
        <v>234</v>
      </c>
      <c r="AI62" s="102">
        <f t="shared" si="98"/>
        <v>257</v>
      </c>
      <c r="AJ62" s="102">
        <f t="shared" si="99"/>
        <v>250</v>
      </c>
      <c r="AK62" s="102">
        <f t="shared" si="100"/>
        <v>218</v>
      </c>
      <c r="AL62" s="102">
        <f>VLOOKUP($AE62,Usinas!$B$3:$F$241,5,FALSE)</f>
        <v>2</v>
      </c>
      <c r="AM62" s="102" t="str">
        <f>VLOOKUP($AE62,Usinas!$B$3:$H$241,7,FALSE)</f>
        <v>SUL</v>
      </c>
      <c r="AN62" s="102" t="str">
        <f>VLOOKUP($AE62,Usinas!$B$3:$D$241,3,FALSE)</f>
        <v>URUGUAI</v>
      </c>
      <c r="AP62" s="103">
        <v>42</v>
      </c>
      <c r="AQ62" s="103" t="str">
        <f>IF(BA62=1,VLOOKUP($AP62,Usinas!$B$3:$F$244,2,0),"")</f>
        <v>N.AVANHANDAVA</v>
      </c>
      <c r="AR62" s="103" t="str">
        <f>IF(BA62=1,VLOOKUP($AP62,Usinas!$B$3:$F$241,3,0),"")</f>
        <v>TIETÊ</v>
      </c>
      <c r="AS62" s="103" t="str">
        <f>IF(BA62,VLOOKUP($AP62,Usinas!$B$3:$F$244,4,0),"")</f>
        <v>SUDESTE</v>
      </c>
      <c r="AT62" s="103">
        <f t="shared" si="39"/>
        <v>0.27839999999999998</v>
      </c>
      <c r="AU62" s="104">
        <f t="shared" si="114"/>
        <v>206.82335999999998</v>
      </c>
      <c r="AV62" s="104">
        <f t="shared" si="114"/>
        <v>287.00256000000002</v>
      </c>
      <c r="AW62" s="104">
        <f t="shared" si="114"/>
        <v>330.82271999999995</v>
      </c>
      <c r="AX62" s="104">
        <f t="shared" si="114"/>
        <v>370.55039999999997</v>
      </c>
      <c r="AY62" s="104">
        <f t="shared" si="114"/>
        <v>373.27871999999996</v>
      </c>
      <c r="AZ62" s="104">
        <f t="shared" si="114"/>
        <v>391.93151999999998</v>
      </c>
      <c r="BA62" s="103">
        <f t="shared" si="40"/>
        <v>1</v>
      </c>
      <c r="BB62" s="103">
        <f t="shared" si="41"/>
        <v>0</v>
      </c>
      <c r="BC62" s="103" t="str">
        <f>IF(BA62=1,VLOOKUP($AP62,Usinas!$B$3:$H$244,7,0),"")</f>
        <v>PARANA</v>
      </c>
      <c r="BE62" s="103"/>
      <c r="BF62" s="103"/>
      <c r="BG62" s="103"/>
      <c r="BH62" s="103"/>
      <c r="BI62" s="103"/>
      <c r="BJ62" s="103"/>
      <c r="BK62" s="103"/>
      <c r="BM62" s="105">
        <f t="shared" si="102"/>
        <v>44</v>
      </c>
      <c r="BN62" s="105">
        <f t="shared" si="103"/>
        <v>88</v>
      </c>
      <c r="BO62" s="151">
        <f>IF($BP$15=1,IFERROR(VLOOKUP(BN62,$BZ$20:CA225,2,0),0),VALUE(RIGHT(LEFT($B71,21),10)))</f>
        <v>175</v>
      </c>
      <c r="BP62" s="105">
        <f t="shared" si="104"/>
        <v>171</v>
      </c>
      <c r="BQ62" s="105">
        <f t="shared" si="105"/>
        <v>197</v>
      </c>
      <c r="BR62" s="105">
        <f t="shared" si="106"/>
        <v>217</v>
      </c>
      <c r="BS62" s="105">
        <f t="shared" si="107"/>
        <v>211</v>
      </c>
      <c r="BT62" s="105">
        <f t="shared" si="108"/>
        <v>184</v>
      </c>
      <c r="BU62" s="85"/>
      <c r="BV62" s="97" t="s">
        <v>331</v>
      </c>
      <c r="BW62" s="98">
        <f t="shared" si="113"/>
        <v>7</v>
      </c>
      <c r="BX62" s="97" t="str">
        <f t="shared" si="63"/>
        <v>PST 6</v>
      </c>
      <c r="BZ62" s="147">
        <v>237</v>
      </c>
      <c r="CA62" s="148">
        <v>471</v>
      </c>
      <c r="CB62" s="87"/>
      <c r="CC62" s="87"/>
      <c r="CF62" s="110"/>
      <c r="CG62" s="111"/>
      <c r="CH62" s="87"/>
      <c r="CI62" s="87"/>
      <c r="CJ62" s="87"/>
      <c r="CK62" s="87"/>
      <c r="CL62" s="87"/>
      <c r="CM62" s="87"/>
    </row>
    <row r="63" spans="2:91" ht="15.6" x14ac:dyDescent="0.3">
      <c r="B63" s="99" t="s">
        <v>732</v>
      </c>
      <c r="C63" s="99"/>
      <c r="D63" s="99"/>
      <c r="E63" s="99"/>
      <c r="F63" s="99"/>
      <c r="G63" s="99"/>
      <c r="H63" s="99"/>
      <c r="I63" s="43"/>
      <c r="J63" s="99" t="str">
        <f t="shared" si="115"/>
        <v xml:space="preserve">    36   71        94       102       107       100        92       101</v>
      </c>
      <c r="L63" s="59" t="s">
        <v>283</v>
      </c>
      <c r="M63" s="60">
        <f t="shared" si="67"/>
        <v>3393.8851999999997</v>
      </c>
      <c r="N63" s="60">
        <f t="shared" si="68"/>
        <v>3935.2460000000001</v>
      </c>
      <c r="O63" s="60">
        <f t="shared" si="69"/>
        <v>3816.1502999999998</v>
      </c>
      <c r="P63" s="60">
        <f t="shared" si="70"/>
        <v>3698.3306999999995</v>
      </c>
      <c r="Q63" s="60">
        <f t="shared" si="71"/>
        <v>4250.2011000000002</v>
      </c>
      <c r="R63" s="60">
        <f t="shared" si="72"/>
        <v>3806.8451</v>
      </c>
      <c r="S63" s="61">
        <f t="shared" si="74"/>
        <v>3873.5855580645166</v>
      </c>
      <c r="T63" s="42"/>
      <c r="U63" s="134"/>
      <c r="V63" s="191"/>
      <c r="W63" s="187">
        <v>71</v>
      </c>
      <c r="X63" s="187">
        <v>0.81259999999999999</v>
      </c>
      <c r="Z63" s="101">
        <v>43</v>
      </c>
      <c r="AA63" s="101">
        <v>1</v>
      </c>
      <c r="AB63" s="101">
        <v>0.40250000000000002</v>
      </c>
      <c r="AD63" s="102">
        <f t="shared" si="28"/>
        <v>45</v>
      </c>
      <c r="AE63" s="102">
        <f t="shared" si="29"/>
        <v>89</v>
      </c>
      <c r="AF63" s="102">
        <f t="shared" si="95"/>
        <v>251</v>
      </c>
      <c r="AG63" s="102">
        <f t="shared" si="96"/>
        <v>248</v>
      </c>
      <c r="AH63" s="102">
        <f t="shared" si="97"/>
        <v>285</v>
      </c>
      <c r="AI63" s="102">
        <f t="shared" si="98"/>
        <v>307</v>
      </c>
      <c r="AJ63" s="102">
        <f t="shared" si="99"/>
        <v>311</v>
      </c>
      <c r="AK63" s="102">
        <f t="shared" si="100"/>
        <v>269</v>
      </c>
      <c r="AL63" s="102">
        <f>VLOOKUP($AE63,Usinas!$B$3:$F$241,5,FALSE)</f>
        <v>2</v>
      </c>
      <c r="AM63" s="102" t="str">
        <f>VLOOKUP($AE63,Usinas!$B$3:$H$241,7,FALSE)</f>
        <v>SUL</v>
      </c>
      <c r="AN63" s="102" t="str">
        <f>VLOOKUP($AE63,Usinas!$B$3:$D$241,3,FALSE)</f>
        <v>URUGUAI</v>
      </c>
      <c r="AP63" s="103">
        <v>43</v>
      </c>
      <c r="AQ63" s="103" t="str">
        <f>IF(BA63=1,VLOOKUP($AP63,Usinas!$B$3:$F$244,2,0),"")</f>
        <v>TRES IRMAOS</v>
      </c>
      <c r="AR63" s="103" t="str">
        <f>IF(BA63=1,VLOOKUP($AP63,Usinas!$B$3:$F$241,3,0),"")</f>
        <v>TIETÊ</v>
      </c>
      <c r="AS63" s="103" t="str">
        <f>IF(BA63,VLOOKUP($AP63,Usinas!$B$3:$F$244,4,0),"")</f>
        <v>SUDESTE</v>
      </c>
      <c r="AT63" s="103">
        <f t="shared" si="39"/>
        <v>0.40250000000000002</v>
      </c>
      <c r="AU63" s="104">
        <f t="shared" si="114"/>
        <v>300.22475000000003</v>
      </c>
      <c r="AV63" s="104">
        <f t="shared" si="114"/>
        <v>400.44725000000005</v>
      </c>
      <c r="AW63" s="104">
        <f t="shared" si="114"/>
        <v>470.24074999999999</v>
      </c>
      <c r="AX63" s="104">
        <f t="shared" si="114"/>
        <v>566.72</v>
      </c>
      <c r="AY63" s="104">
        <f t="shared" si="114"/>
        <v>538.46450000000004</v>
      </c>
      <c r="AZ63" s="104">
        <f t="shared" si="114"/>
        <v>616.54949999999997</v>
      </c>
      <c r="BA63" s="103">
        <f t="shared" si="40"/>
        <v>1</v>
      </c>
      <c r="BB63" s="103">
        <f t="shared" si="41"/>
        <v>0</v>
      </c>
      <c r="BC63" s="103" t="str">
        <f>IF(BA63=1,VLOOKUP($AP63,Usinas!$B$3:$H$244,7,0),"")</f>
        <v>PARANA</v>
      </c>
      <c r="BE63" s="124">
        <v>907</v>
      </c>
      <c r="BF63" s="124">
        <f>VLOOKUP(61,$AE$21:$AK$211,BF$18,FALSE)</f>
        <v>1256</v>
      </c>
      <c r="BG63" s="124">
        <f t="shared" ref="BG63:BK63" si="116">VLOOKUP(61,$AE$21:$AK$211,BG$18,FALSE)</f>
        <v>1435</v>
      </c>
      <c r="BH63" s="124">
        <f t="shared" si="116"/>
        <v>1867</v>
      </c>
      <c r="BI63" s="124">
        <f t="shared" si="116"/>
        <v>1921</v>
      </c>
      <c r="BJ63" s="124">
        <f t="shared" si="116"/>
        <v>1938</v>
      </c>
      <c r="BK63" s="124">
        <f t="shared" si="116"/>
        <v>1972</v>
      </c>
      <c r="BM63" s="105">
        <f t="shared" si="102"/>
        <v>45</v>
      </c>
      <c r="BN63" s="105">
        <f t="shared" si="103"/>
        <v>89</v>
      </c>
      <c r="BO63" s="151">
        <f>IF($BP$15=1,IFERROR(VLOOKUP(BN63,$BZ$20:CA226,2,0),0),VALUE(RIGHT(LEFT($B72,21),10)))</f>
        <v>212</v>
      </c>
      <c r="BP63" s="105">
        <f t="shared" si="104"/>
        <v>209</v>
      </c>
      <c r="BQ63" s="105">
        <f t="shared" si="105"/>
        <v>240</v>
      </c>
      <c r="BR63" s="105">
        <f t="shared" si="106"/>
        <v>259</v>
      </c>
      <c r="BS63" s="105">
        <f t="shared" si="107"/>
        <v>262</v>
      </c>
      <c r="BT63" s="105">
        <f t="shared" si="108"/>
        <v>227</v>
      </c>
      <c r="BU63" s="85"/>
      <c r="BV63" s="97" t="s">
        <v>331</v>
      </c>
      <c r="BW63" s="98">
        <f t="shared" si="113"/>
        <v>8</v>
      </c>
      <c r="BX63" s="97" t="str">
        <f t="shared" si="63"/>
        <v>PST 7</v>
      </c>
      <c r="BZ63" s="147">
        <v>238</v>
      </c>
      <c r="CA63" s="148">
        <v>468</v>
      </c>
      <c r="CB63" s="87"/>
      <c r="CC63" s="87"/>
      <c r="CF63" s="110"/>
      <c r="CG63" s="111"/>
      <c r="CH63" s="87"/>
      <c r="CI63" s="87"/>
      <c r="CJ63" s="87"/>
      <c r="CK63" s="87"/>
      <c r="CL63" s="87"/>
      <c r="CM63" s="87"/>
    </row>
    <row r="64" spans="2:91" ht="15.6" x14ac:dyDescent="0.3">
      <c r="B64" s="99" t="s">
        <v>733</v>
      </c>
      <c r="C64" s="99"/>
      <c r="D64" s="99"/>
      <c r="E64" s="99"/>
      <c r="F64" s="99"/>
      <c r="G64" s="99"/>
      <c r="H64" s="99"/>
      <c r="I64" s="43"/>
      <c r="J64" s="99" t="str">
        <f t="shared" si="115"/>
        <v xml:space="preserve">    37   72       100       109       114       107       100       107</v>
      </c>
      <c r="L64" s="59" t="s">
        <v>274</v>
      </c>
      <c r="M64" s="60">
        <f t="shared" si="67"/>
        <v>3072.1154999999999</v>
      </c>
      <c r="N64" s="60">
        <f t="shared" si="68"/>
        <v>3147.4852999999998</v>
      </c>
      <c r="O64" s="60">
        <f t="shared" si="69"/>
        <v>3390.6239</v>
      </c>
      <c r="P64" s="60">
        <f t="shared" si="70"/>
        <v>3473.5896000000002</v>
      </c>
      <c r="Q64" s="60">
        <f t="shared" si="71"/>
        <v>3474.3821999999996</v>
      </c>
      <c r="R64" s="60">
        <f t="shared" si="72"/>
        <v>3119.5728999999997</v>
      </c>
      <c r="S64" s="61">
        <f t="shared" si="74"/>
        <v>3342.5455967741937</v>
      </c>
      <c r="T64" s="42"/>
      <c r="U64" s="134"/>
      <c r="V64" s="191"/>
      <c r="W64" s="187">
        <v>72</v>
      </c>
      <c r="X64" s="187">
        <v>0.83069999999999999</v>
      </c>
      <c r="Z64" s="101">
        <v>44</v>
      </c>
      <c r="AA64" s="101">
        <v>0</v>
      </c>
      <c r="AB64" s="101">
        <v>0</v>
      </c>
      <c r="AD64" s="102">
        <f t="shared" si="28"/>
        <v>46</v>
      </c>
      <c r="AE64" s="102">
        <f t="shared" si="29"/>
        <v>92</v>
      </c>
      <c r="AF64" s="102">
        <f t="shared" si="95"/>
        <v>835</v>
      </c>
      <c r="AG64" s="102">
        <f t="shared" si="96"/>
        <v>849</v>
      </c>
      <c r="AH64" s="102">
        <f t="shared" si="97"/>
        <v>918</v>
      </c>
      <c r="AI64" s="102">
        <f t="shared" si="98"/>
        <v>927</v>
      </c>
      <c r="AJ64" s="102">
        <f t="shared" si="99"/>
        <v>927</v>
      </c>
      <c r="AK64" s="102">
        <f t="shared" si="100"/>
        <v>838</v>
      </c>
      <c r="AL64" s="102">
        <f>VLOOKUP($AE64,Usinas!$B$3:$F$241,5,FALSE)</f>
        <v>2</v>
      </c>
      <c r="AM64" s="102" t="str">
        <f>VLOOKUP($AE64,Usinas!$B$3:$H$241,7,FALSE)</f>
        <v>SUL</v>
      </c>
      <c r="AN64" s="102" t="str">
        <f>VLOOKUP($AE64,Usinas!$B$3:$D$241,3,FALSE)</f>
        <v>URUGUAI</v>
      </c>
      <c r="AP64" s="103">
        <v>44</v>
      </c>
      <c r="AQ64" s="103" t="str">
        <f>IF(BA64=1,VLOOKUP($AP64,Usinas!$B$3:$F$244,2,0),"")</f>
        <v/>
      </c>
      <c r="AR64" s="103" t="str">
        <f>IF(BA64=1,VLOOKUP($AP64,Usinas!$B$3:$F$241,3,0),"")</f>
        <v/>
      </c>
      <c r="AS64" s="103" t="str">
        <f>IF(BA64,VLOOKUP($AP64,Usinas!$B$3:$F$244,4,0),"")</f>
        <v/>
      </c>
      <c r="AT64" s="103" t="str">
        <f t="shared" si="39"/>
        <v/>
      </c>
      <c r="AU64" s="104" t="str">
        <f t="shared" si="114"/>
        <v/>
      </c>
      <c r="AV64" s="104" t="str">
        <f t="shared" si="114"/>
        <v/>
      </c>
      <c r="AW64" s="104" t="str">
        <f t="shared" si="114"/>
        <v/>
      </c>
      <c r="AX64" s="104" t="str">
        <f t="shared" si="114"/>
        <v/>
      </c>
      <c r="AY64" s="104" t="str">
        <f t="shared" si="114"/>
        <v/>
      </c>
      <c r="AZ64" s="104" t="str">
        <f t="shared" si="114"/>
        <v/>
      </c>
      <c r="BA64" s="103">
        <f t="shared" si="40"/>
        <v>0</v>
      </c>
      <c r="BB64" s="103">
        <f t="shared" si="41"/>
        <v>0</v>
      </c>
      <c r="BC64" s="103" t="str">
        <f>IF(BA64=1,VLOOKUP($AP64,Usinas!$B$3:$H$244,7,0),"")</f>
        <v/>
      </c>
      <c r="BE64" s="124">
        <v>908</v>
      </c>
      <c r="BF64" s="133">
        <f t="shared" ref="BF64:BK64" si="117">VLOOKUP(34,$AE$21:$AK$211,BF$18,FALSE)+VLOOKUP(243,$AE$21:$AK$211,BF$18,FALSE)-VLOOKUP(319,$BE$21:$BK$65,BF$18,FALSE)</f>
        <v>7883.9</v>
      </c>
      <c r="BG64" s="133">
        <f t="shared" si="117"/>
        <v>9673.9</v>
      </c>
      <c r="BH64" s="133">
        <f t="shared" si="117"/>
        <v>11046.3</v>
      </c>
      <c r="BI64" s="133">
        <f t="shared" si="117"/>
        <v>11680</v>
      </c>
      <c r="BJ64" s="133">
        <f t="shared" si="117"/>
        <v>11657.8</v>
      </c>
      <c r="BK64" s="133">
        <f t="shared" si="117"/>
        <v>11944.8</v>
      </c>
      <c r="BM64" s="105">
        <f t="shared" si="102"/>
        <v>46</v>
      </c>
      <c r="BN64" s="105">
        <f t="shared" si="103"/>
        <v>92</v>
      </c>
      <c r="BO64" s="151">
        <f>IF($BP$15=1,IFERROR(VLOOKUP(BN64,$BZ$20:CA227,2,0),0),VALUE(RIGHT(LEFT($B73,21),10)))</f>
        <v>704</v>
      </c>
      <c r="BP64" s="105">
        <f t="shared" si="104"/>
        <v>716</v>
      </c>
      <c r="BQ64" s="105">
        <f t="shared" si="105"/>
        <v>774</v>
      </c>
      <c r="BR64" s="105">
        <f t="shared" si="106"/>
        <v>782</v>
      </c>
      <c r="BS64" s="105">
        <f t="shared" si="107"/>
        <v>782</v>
      </c>
      <c r="BT64" s="105">
        <f t="shared" si="108"/>
        <v>707</v>
      </c>
      <c r="BU64" s="85"/>
      <c r="BV64" s="97" t="s">
        <v>331</v>
      </c>
      <c r="BW64" s="98">
        <f t="shared" si="113"/>
        <v>9</v>
      </c>
      <c r="BX64" s="97" t="str">
        <f t="shared" si="63"/>
        <v>PST 8</v>
      </c>
      <c r="BZ64" s="147">
        <v>239</v>
      </c>
      <c r="CA64" s="148">
        <v>532</v>
      </c>
      <c r="CB64" s="87"/>
      <c r="CC64" s="87"/>
      <c r="CF64" s="110"/>
      <c r="CG64" s="111"/>
      <c r="CH64" s="87"/>
      <c r="CI64" s="87"/>
      <c r="CJ64" s="87"/>
      <c r="CK64" s="87"/>
      <c r="CL64" s="87"/>
      <c r="CM64" s="87"/>
    </row>
    <row r="65" spans="2:91" ht="15.6" x14ac:dyDescent="0.3">
      <c r="B65" s="99" t="s">
        <v>734</v>
      </c>
      <c r="C65" s="99"/>
      <c r="D65" s="99"/>
      <c r="E65" s="99"/>
      <c r="F65" s="99"/>
      <c r="G65" s="99"/>
      <c r="H65" s="99"/>
      <c r="I65" s="43"/>
      <c r="J65" s="99" t="str">
        <f t="shared" si="115"/>
        <v xml:space="preserve">    38   73       127       136       143       133       125       130</v>
      </c>
      <c r="L65" s="127" t="s">
        <v>361</v>
      </c>
      <c r="M65" s="60">
        <f t="shared" si="67"/>
        <v>2962.2120571428572</v>
      </c>
      <c r="N65" s="60">
        <f t="shared" si="68"/>
        <v>3840.3204000000001</v>
      </c>
      <c r="O65" s="60">
        <f t="shared" si="69"/>
        <v>4812.1924000000008</v>
      </c>
      <c r="P65" s="60">
        <f t="shared" si="70"/>
        <v>5836.2724000000007</v>
      </c>
      <c r="Q65" s="60">
        <f t="shared" si="71"/>
        <v>6859.5492000000004</v>
      </c>
      <c r="R65" s="60">
        <f t="shared" si="72"/>
        <v>7569.8976000000002</v>
      </c>
      <c r="S65" s="61">
        <f t="shared" si="74"/>
        <v>5107.2573216589863</v>
      </c>
      <c r="T65" s="42"/>
      <c r="U65" s="134"/>
      <c r="V65" s="191"/>
      <c r="W65" s="187">
        <v>73</v>
      </c>
      <c r="X65" s="187">
        <v>0</v>
      </c>
      <c r="Z65" s="101">
        <v>45</v>
      </c>
      <c r="AA65" s="101">
        <v>1</v>
      </c>
      <c r="AB65" s="101">
        <v>0.18</v>
      </c>
      <c r="AD65" s="102">
        <f t="shared" si="28"/>
        <v>47</v>
      </c>
      <c r="AE65" s="102">
        <f t="shared" si="29"/>
        <v>93</v>
      </c>
      <c r="AF65" s="102">
        <f t="shared" si="95"/>
        <v>51</v>
      </c>
      <c r="AG65" s="102">
        <f t="shared" si="96"/>
        <v>52</v>
      </c>
      <c r="AH65" s="102">
        <f t="shared" si="97"/>
        <v>49</v>
      </c>
      <c r="AI65" s="102">
        <f t="shared" si="98"/>
        <v>42</v>
      </c>
      <c r="AJ65" s="102">
        <f t="shared" si="99"/>
        <v>40</v>
      </c>
      <c r="AK65" s="102">
        <f t="shared" si="100"/>
        <v>39</v>
      </c>
      <c r="AL65" s="102">
        <f>VLOOKUP($AE65,Usinas!$B$3:$F$241,5,FALSE)</f>
        <v>2</v>
      </c>
      <c r="AM65" s="102" t="str">
        <f>VLOOKUP($AE65,Usinas!$B$3:$H$241,7,FALSE)</f>
        <v>SUL</v>
      </c>
      <c r="AN65" s="102" t="str">
        <f>VLOOKUP($AE65,Usinas!$B$3:$D$241,3,FALSE)</f>
        <v>URUGUAI</v>
      </c>
      <c r="AP65" s="103">
        <v>45</v>
      </c>
      <c r="AQ65" s="103" t="str">
        <f>IF(BA65=1,VLOOKUP($AP65,Usinas!$B$3:$F$244,2,0),"")</f>
        <v>JUPIA</v>
      </c>
      <c r="AR65" s="103" t="str">
        <f>IF(BA65=1,VLOOKUP($AP65,Usinas!$B$3:$F$241,3,0),"")</f>
        <v>ALTO PARANÁ</v>
      </c>
      <c r="AS65" s="103" t="str">
        <f>IF(BA65,VLOOKUP($AP65,Usinas!$B$3:$F$244,4,0),"")</f>
        <v>SUDESTE</v>
      </c>
      <c r="AT65" s="103">
        <f t="shared" si="39"/>
        <v>0.18</v>
      </c>
      <c r="AU65" s="104">
        <f t="shared" si="114"/>
        <v>1402.002</v>
      </c>
      <c r="AV65" s="104">
        <f t="shared" si="114"/>
        <v>1698.8219999999999</v>
      </c>
      <c r="AW65" s="104">
        <f t="shared" si="114"/>
        <v>1945.4939999999997</v>
      </c>
      <c r="AX65" s="104">
        <f t="shared" si="114"/>
        <v>2063.88</v>
      </c>
      <c r="AY65" s="104">
        <f t="shared" si="114"/>
        <v>2058.0839999999998</v>
      </c>
      <c r="AZ65" s="104">
        <f t="shared" si="114"/>
        <v>2113.5239999999999</v>
      </c>
      <c r="BA65" s="103">
        <f t="shared" si="40"/>
        <v>1</v>
      </c>
      <c r="BB65" s="103">
        <f t="shared" si="41"/>
        <v>0</v>
      </c>
      <c r="BC65" s="103" t="str">
        <f>IF(BA65=1,VLOOKUP($AP65,Usinas!$B$3:$H$244,7,0),"")</f>
        <v>PARANA</v>
      </c>
      <c r="BE65" s="124">
        <v>909</v>
      </c>
      <c r="BF65" s="133">
        <f>VLOOKUP(266,$AE$21:$AK$211,BF$18,FALSE)-VLOOKUP(61,$AE$21:$AK$211,BF$18,FALSE)-VLOOKUP(34,$AE$21:$AK$211,BF$18,FALSE)-VLOOKUP(243,$AE$21:$AK$211,BF$18,FALSE)</f>
        <v>4030</v>
      </c>
      <c r="BG65" s="133">
        <f t="shared" ref="BG65:BK65" si="118">VLOOKUP(266,$AE$21:$AK$211,BG$18,FALSE)-VLOOKUP(61,$AE$21:$AK$211,BG$18,FALSE)-VLOOKUP(34,$AE$21:$AK$211,BG$18,FALSE)-VLOOKUP(243,$AE$21:$AK$211,BG$18,FALSE)</f>
        <v>2982</v>
      </c>
      <c r="BH65" s="133">
        <f t="shared" si="118"/>
        <v>3651</v>
      </c>
      <c r="BI65" s="133">
        <f t="shared" si="118"/>
        <v>4580</v>
      </c>
      <c r="BJ65" s="133">
        <f t="shared" si="118"/>
        <v>4481</v>
      </c>
      <c r="BK65" s="133">
        <f t="shared" si="118"/>
        <v>4671</v>
      </c>
      <c r="BM65" s="105">
        <f t="shared" si="102"/>
        <v>47</v>
      </c>
      <c r="BN65" s="105">
        <f t="shared" si="103"/>
        <v>93</v>
      </c>
      <c r="BO65" s="151">
        <f>IF($BP$15=1,IFERROR(VLOOKUP(BN65,$BZ$20:CA228,2,0),0),VALUE(RIGHT(LEFT($B74,21),10)))</f>
        <v>43</v>
      </c>
      <c r="BP65" s="105">
        <f t="shared" si="104"/>
        <v>44</v>
      </c>
      <c r="BQ65" s="105">
        <f t="shared" si="105"/>
        <v>41</v>
      </c>
      <c r="BR65" s="105">
        <f t="shared" si="106"/>
        <v>35</v>
      </c>
      <c r="BS65" s="105">
        <f t="shared" si="107"/>
        <v>34</v>
      </c>
      <c r="BT65" s="105">
        <f t="shared" si="108"/>
        <v>33</v>
      </c>
      <c r="BU65" s="85"/>
      <c r="BV65" s="97" t="s">
        <v>331</v>
      </c>
      <c r="BW65" s="98">
        <f t="shared" si="113"/>
        <v>10</v>
      </c>
      <c r="BX65" s="97" t="str">
        <f t="shared" si="63"/>
        <v>PST 9</v>
      </c>
      <c r="BZ65" s="147">
        <v>240</v>
      </c>
      <c r="CA65" s="148">
        <v>613</v>
      </c>
      <c r="CB65" s="87"/>
      <c r="CC65" s="87"/>
      <c r="CF65" s="110"/>
      <c r="CG65" s="111"/>
      <c r="CH65" s="87"/>
      <c r="CI65" s="87"/>
      <c r="CJ65" s="87"/>
      <c r="CK65" s="87"/>
      <c r="CL65" s="87"/>
      <c r="CM65" s="87"/>
    </row>
    <row r="66" spans="2:91" ht="15.6" x14ac:dyDescent="0.3">
      <c r="B66" s="99" t="s">
        <v>735</v>
      </c>
      <c r="C66" s="99"/>
      <c r="D66" s="99"/>
      <c r="E66" s="99"/>
      <c r="F66" s="99"/>
      <c r="G66" s="99"/>
      <c r="H66" s="99"/>
      <c r="I66" s="43"/>
      <c r="J66" s="99" t="str">
        <f t="shared" si="115"/>
        <v xml:space="preserve">    39   74       567       618       671       692       650       569</v>
      </c>
      <c r="L66" s="66" t="s">
        <v>168</v>
      </c>
      <c r="M66" s="67">
        <f t="shared" ref="M66:R66" si="119">SUM(M36:M65)</f>
        <v>83131.692057142849</v>
      </c>
      <c r="N66" s="67">
        <f t="shared" si="119"/>
        <v>94183.121100000018</v>
      </c>
      <c r="O66" s="67">
        <f t="shared" si="119"/>
        <v>103500.72060000002</v>
      </c>
      <c r="P66" s="67">
        <f t="shared" si="119"/>
        <v>109771.15530000003</v>
      </c>
      <c r="Q66" s="67">
        <f t="shared" si="119"/>
        <v>112792.0382</v>
      </c>
      <c r="R66" s="67">
        <f t="shared" si="119"/>
        <v>113305.30080000003</v>
      </c>
      <c r="S66" s="68">
        <f>SUM(S36:S65)</f>
        <v>102939.49427649769</v>
      </c>
      <c r="T66" s="42"/>
      <c r="U66" s="134"/>
      <c r="V66" s="191"/>
      <c r="W66" s="187">
        <v>74</v>
      </c>
      <c r="X66" s="187">
        <v>1.0938000000000001</v>
      </c>
      <c r="Z66" s="101">
        <v>46</v>
      </c>
      <c r="AA66" s="101">
        <v>1</v>
      </c>
      <c r="AB66" s="101">
        <v>0.1754</v>
      </c>
      <c r="AD66" s="102">
        <f t="shared" si="28"/>
        <v>48</v>
      </c>
      <c r="AE66" s="102">
        <f t="shared" si="29"/>
        <v>94</v>
      </c>
      <c r="AF66" s="102">
        <f t="shared" si="95"/>
        <v>1027</v>
      </c>
      <c r="AG66" s="102">
        <f t="shared" si="96"/>
        <v>1062</v>
      </c>
      <c r="AH66" s="102">
        <f t="shared" si="97"/>
        <v>1089</v>
      </c>
      <c r="AI66" s="102">
        <f t="shared" si="98"/>
        <v>1072</v>
      </c>
      <c r="AJ66" s="102">
        <f t="shared" si="99"/>
        <v>1099</v>
      </c>
      <c r="AK66" s="102">
        <f t="shared" si="100"/>
        <v>1005</v>
      </c>
      <c r="AL66" s="102">
        <f>VLOOKUP($AE66,Usinas!$B$3:$F$241,5,FALSE)</f>
        <v>2</v>
      </c>
      <c r="AM66" s="102" t="str">
        <f>VLOOKUP($AE66,Usinas!$B$3:$H$241,7,FALSE)</f>
        <v>SUL</v>
      </c>
      <c r="AN66" s="102" t="str">
        <f>VLOOKUP($AE66,Usinas!$B$3:$D$241,3,FALSE)</f>
        <v>URUGUAI</v>
      </c>
      <c r="AP66" s="103">
        <v>46</v>
      </c>
      <c r="AQ66" s="103" t="str">
        <f>IF(BA66=1,VLOOKUP($AP66,Usinas!$B$3:$F$244,2,0),"")</f>
        <v>P.PRIMAVERA</v>
      </c>
      <c r="AR66" s="103" t="str">
        <f>IF(BA66=1,VLOOKUP($AP66,Usinas!$B$3:$F$241,3,0),"")</f>
        <v>BAIXO PARANÁ</v>
      </c>
      <c r="AS66" s="103" t="str">
        <f>IF(BA66,VLOOKUP($AP66,Usinas!$B$3:$F$244,4,0),"")</f>
        <v>SUDESTE</v>
      </c>
      <c r="AT66" s="103">
        <f t="shared" si="39"/>
        <v>0.1754</v>
      </c>
      <c r="AU66" s="104">
        <f t="shared" si="114"/>
        <v>1522.8052599999999</v>
      </c>
      <c r="AV66" s="104">
        <f t="shared" si="114"/>
        <v>1743.4584599999998</v>
      </c>
      <c r="AW66" s="104">
        <f t="shared" si="114"/>
        <v>2061.52882</v>
      </c>
      <c r="AX66" s="104">
        <f t="shared" si="114"/>
        <v>2206.3566000000001</v>
      </c>
      <c r="AY66" s="104">
        <f t="shared" si="114"/>
        <v>2225.6155199999998</v>
      </c>
      <c r="AZ66" s="104">
        <f t="shared" si="114"/>
        <v>2311.7369199999998</v>
      </c>
      <c r="BA66" s="103">
        <f t="shared" si="40"/>
        <v>1</v>
      </c>
      <c r="BB66" s="103">
        <f t="shared" si="41"/>
        <v>0</v>
      </c>
      <c r="BC66" s="103" t="str">
        <f>IF(BA66=1,VLOOKUP($AP66,Usinas!$B$3:$H$244,7,0),"")</f>
        <v>PARANA</v>
      </c>
      <c r="BM66" s="105">
        <f t="shared" si="102"/>
        <v>48</v>
      </c>
      <c r="BN66" s="105">
        <f t="shared" si="103"/>
        <v>94</v>
      </c>
      <c r="BO66" s="151">
        <f>IF($BP$15=1,IFERROR(VLOOKUP(BN66,$BZ$20:CA229,2,0),0),VALUE(RIGHT(LEFT($B75,21),10)))</f>
        <v>866</v>
      </c>
      <c r="BP66" s="105">
        <f t="shared" si="104"/>
        <v>896</v>
      </c>
      <c r="BQ66" s="105">
        <f t="shared" si="105"/>
        <v>918</v>
      </c>
      <c r="BR66" s="105">
        <f t="shared" si="106"/>
        <v>904</v>
      </c>
      <c r="BS66" s="105">
        <f t="shared" si="107"/>
        <v>927</v>
      </c>
      <c r="BT66" s="105">
        <f t="shared" si="108"/>
        <v>848</v>
      </c>
      <c r="BU66" s="85"/>
      <c r="BV66" s="97" t="s">
        <v>331</v>
      </c>
      <c r="BW66" s="98">
        <f t="shared" si="113"/>
        <v>11</v>
      </c>
      <c r="BX66" s="97" t="str">
        <f t="shared" si="63"/>
        <v>PST 10</v>
      </c>
      <c r="BZ66" s="147">
        <v>242</v>
      </c>
      <c r="CA66" s="148">
        <v>647</v>
      </c>
      <c r="CB66" s="87"/>
      <c r="CC66" s="87"/>
      <c r="CF66" s="110"/>
      <c r="CG66" s="111"/>
      <c r="CH66" s="87"/>
      <c r="CI66" s="87"/>
      <c r="CJ66" s="87"/>
      <c r="CK66" s="87"/>
      <c r="CL66" s="87"/>
      <c r="CM66" s="87"/>
    </row>
    <row r="67" spans="2:91" ht="15.6" x14ac:dyDescent="0.3">
      <c r="B67" s="99" t="s">
        <v>736</v>
      </c>
      <c r="C67" s="99"/>
      <c r="D67" s="99"/>
      <c r="E67" s="99"/>
      <c r="F67" s="99"/>
      <c r="G67" s="99"/>
      <c r="H67" s="99"/>
      <c r="I67" s="43"/>
      <c r="J67" s="99" t="str">
        <f t="shared" si="115"/>
        <v xml:space="preserve">    40   76       698       761       812       828       781       698</v>
      </c>
      <c r="T67" s="42"/>
      <c r="U67" s="135"/>
      <c r="V67" s="191"/>
      <c r="W67" s="187">
        <v>75</v>
      </c>
      <c r="X67" s="187">
        <v>0.90400000000000003</v>
      </c>
      <c r="Z67" s="101">
        <v>47</v>
      </c>
      <c r="AA67" s="101">
        <v>1</v>
      </c>
      <c r="AB67" s="101">
        <v>0.29070000000000001</v>
      </c>
      <c r="AD67" s="102">
        <f t="shared" si="28"/>
        <v>49</v>
      </c>
      <c r="AE67" s="102">
        <f t="shared" si="29"/>
        <v>97</v>
      </c>
      <c r="AF67" s="102">
        <f t="shared" si="95"/>
        <v>203</v>
      </c>
      <c r="AG67" s="102">
        <f t="shared" si="96"/>
        <v>221</v>
      </c>
      <c r="AH67" s="102">
        <f t="shared" si="97"/>
        <v>197</v>
      </c>
      <c r="AI67" s="102">
        <f t="shared" si="98"/>
        <v>157</v>
      </c>
      <c r="AJ67" s="102">
        <f t="shared" si="99"/>
        <v>162</v>
      </c>
      <c r="AK67" s="102">
        <f t="shared" si="100"/>
        <v>165</v>
      </c>
      <c r="AL67" s="102">
        <f>VLOOKUP($AE67,Usinas!$B$3:$F$241,5,FALSE)</f>
        <v>2</v>
      </c>
      <c r="AM67" s="102" t="str">
        <f>VLOOKUP($AE67,Usinas!$B$3:$H$241,7,FALSE)</f>
        <v>SUL</v>
      </c>
      <c r="AN67" s="102" t="str">
        <f>VLOOKUP($AE67,Usinas!$B$3:$D$241,3,FALSE)</f>
        <v>JACUÍ</v>
      </c>
      <c r="AP67" s="103">
        <v>47</v>
      </c>
      <c r="AQ67" s="103" t="str">
        <f>IF(BA67=1,VLOOKUP($AP67,Usinas!$B$3:$F$244,2,0),"")</f>
        <v>JURUMIRIM</v>
      </c>
      <c r="AR67" s="103" t="str">
        <f>IF(BA67=1,VLOOKUP($AP67,Usinas!$B$3:$F$241,3,0),"")</f>
        <v>PARANAPANEMA (SE)</v>
      </c>
      <c r="AS67" s="103" t="str">
        <f>IF(BA67,VLOOKUP($AP67,Usinas!$B$3:$F$244,4,0),"")</f>
        <v>SUDESTE</v>
      </c>
      <c r="AT67" s="103">
        <f t="shared" si="39"/>
        <v>0.29070000000000001</v>
      </c>
      <c r="AU67" s="104">
        <f t="shared" si="114"/>
        <v>101.745</v>
      </c>
      <c r="AV67" s="104">
        <f t="shared" si="114"/>
        <v>118.02420000000001</v>
      </c>
      <c r="AW67" s="104">
        <f t="shared" si="114"/>
        <v>129.36150000000001</v>
      </c>
      <c r="AX67" s="104">
        <f t="shared" si="114"/>
        <v>151.4547</v>
      </c>
      <c r="AY67" s="104">
        <f t="shared" si="114"/>
        <v>168.02460000000002</v>
      </c>
      <c r="AZ67" s="104">
        <f t="shared" si="114"/>
        <v>199.12950000000001</v>
      </c>
      <c r="BA67" s="103">
        <f t="shared" si="40"/>
        <v>1</v>
      </c>
      <c r="BB67" s="103">
        <f t="shared" si="41"/>
        <v>0</v>
      </c>
      <c r="BC67" s="103" t="str">
        <f>IF(BA67=1,VLOOKUP($AP67,Usinas!$B$3:$H$244,7,0),"")</f>
        <v>PRNPANEMA</v>
      </c>
      <c r="BE67" s="221" t="s">
        <v>337</v>
      </c>
      <c r="BF67" s="222"/>
      <c r="BG67" s="222"/>
      <c r="BH67" s="222"/>
      <c r="BI67" s="222"/>
      <c r="BJ67" s="222"/>
      <c r="BK67" s="223"/>
      <c r="BM67" s="105">
        <f t="shared" si="102"/>
        <v>49</v>
      </c>
      <c r="BN67" s="105">
        <f t="shared" si="103"/>
        <v>97</v>
      </c>
      <c r="BO67" s="151">
        <f>IF($BP$15=1,IFERROR(VLOOKUP(BN67,$BZ$20:CA230,2,0),0),VALUE(RIGHT(LEFT($B76,21),10)))</f>
        <v>171</v>
      </c>
      <c r="BP67" s="105">
        <f t="shared" si="104"/>
        <v>186</v>
      </c>
      <c r="BQ67" s="105">
        <f t="shared" si="105"/>
        <v>166</v>
      </c>
      <c r="BR67" s="105">
        <f t="shared" si="106"/>
        <v>132</v>
      </c>
      <c r="BS67" s="105">
        <f t="shared" si="107"/>
        <v>137</v>
      </c>
      <c r="BT67" s="105">
        <f t="shared" si="108"/>
        <v>139</v>
      </c>
      <c r="BU67" s="85"/>
      <c r="BV67" s="97" t="s">
        <v>331</v>
      </c>
      <c r="BW67" s="98">
        <f t="shared" si="113"/>
        <v>12</v>
      </c>
      <c r="BX67" s="97" t="str">
        <f t="shared" si="63"/>
        <v>PST 11</v>
      </c>
      <c r="BZ67" s="147">
        <v>243</v>
      </c>
      <c r="CA67" s="148">
        <v>666</v>
      </c>
      <c r="CB67" s="87"/>
      <c r="CC67" s="87"/>
      <c r="CF67" s="110"/>
      <c r="CG67" s="111"/>
      <c r="CH67" s="87"/>
      <c r="CI67" s="87"/>
      <c r="CJ67" s="87"/>
      <c r="CK67" s="87"/>
      <c r="CL67" s="87"/>
      <c r="CM67" s="87"/>
    </row>
    <row r="68" spans="2:91" ht="15.6" x14ac:dyDescent="0.3">
      <c r="B68" s="99" t="s">
        <v>737</v>
      </c>
      <c r="C68" s="99"/>
      <c r="D68" s="99"/>
      <c r="E68" s="99"/>
      <c r="F68" s="99"/>
      <c r="G68" s="99"/>
      <c r="H68" s="99"/>
      <c r="I68" s="43"/>
      <c r="J68" s="99" t="str">
        <f t="shared" si="115"/>
        <v xml:space="preserve">    41   77       920       994      1059      1058      1001       928</v>
      </c>
      <c r="T68" s="42"/>
      <c r="U68" s="135"/>
      <c r="V68" s="191"/>
      <c r="W68" s="187">
        <v>77</v>
      </c>
      <c r="X68" s="187">
        <v>0.8921</v>
      </c>
      <c r="Z68" s="101">
        <v>48</v>
      </c>
      <c r="AA68" s="101">
        <v>1</v>
      </c>
      <c r="AB68" s="101">
        <v>0.2306</v>
      </c>
      <c r="AD68" s="102">
        <f t="shared" si="28"/>
        <v>50</v>
      </c>
      <c r="AE68" s="102">
        <f t="shared" si="29"/>
        <v>98</v>
      </c>
      <c r="AF68" s="102">
        <f t="shared" si="95"/>
        <v>136</v>
      </c>
      <c r="AG68" s="102">
        <f t="shared" si="96"/>
        <v>140</v>
      </c>
      <c r="AH68" s="102">
        <f t="shared" si="97"/>
        <v>127</v>
      </c>
      <c r="AI68" s="102">
        <f t="shared" si="98"/>
        <v>92</v>
      </c>
      <c r="AJ68" s="102">
        <f t="shared" si="99"/>
        <v>104</v>
      </c>
      <c r="AK68" s="102">
        <f t="shared" si="100"/>
        <v>102</v>
      </c>
      <c r="AL68" s="102">
        <f>VLOOKUP($AE68,Usinas!$B$3:$F$241,5,FALSE)</f>
        <v>2</v>
      </c>
      <c r="AM68" s="102" t="str">
        <f>VLOOKUP($AE68,Usinas!$B$3:$H$241,7,FALSE)</f>
        <v>SUL</v>
      </c>
      <c r="AN68" s="102" t="str">
        <f>VLOOKUP($AE68,Usinas!$B$3:$D$241,3,FALSE)</f>
        <v>JACUÍ</v>
      </c>
      <c r="AP68" s="103">
        <v>48</v>
      </c>
      <c r="AQ68" s="103" t="str">
        <f>IF(BA68=1,VLOOKUP($AP68,Usinas!$B$3:$F$244,2,0),"")</f>
        <v>PIRAJU</v>
      </c>
      <c r="AR68" s="103" t="str">
        <f>IF(BA68=1,VLOOKUP($AP68,Usinas!$B$3:$F$241,3,0),"")</f>
        <v>PARANAPANEMA (SE)</v>
      </c>
      <c r="AS68" s="103" t="str">
        <f>IF(BA68,VLOOKUP($AP68,Usinas!$B$3:$F$244,4,0),"")</f>
        <v>SUDESTE</v>
      </c>
      <c r="AT68" s="103">
        <f t="shared" si="39"/>
        <v>0.2306</v>
      </c>
      <c r="AU68" s="104">
        <f t="shared" si="114"/>
        <v>82.324200000000005</v>
      </c>
      <c r="AV68" s="104">
        <f t="shared" si="114"/>
        <v>95.237799999999993</v>
      </c>
      <c r="AW68" s="104">
        <f t="shared" si="114"/>
        <v>104.4618</v>
      </c>
      <c r="AX68" s="104">
        <f t="shared" si="114"/>
        <v>122.67919999999999</v>
      </c>
      <c r="AY68" s="104">
        <f t="shared" si="114"/>
        <v>135.59280000000001</v>
      </c>
      <c r="AZ68" s="104">
        <f t="shared" si="114"/>
        <v>160.72819999999999</v>
      </c>
      <c r="BA68" s="103">
        <f t="shared" si="40"/>
        <v>1</v>
      </c>
      <c r="BB68" s="103">
        <f t="shared" si="41"/>
        <v>0</v>
      </c>
      <c r="BC68" s="103" t="str">
        <f>IF(BA68=1,VLOOKUP($AP68,Usinas!$B$3:$H$244,7,0),"")</f>
        <v>PRNPANEMA</v>
      </c>
      <c r="BE68" s="113">
        <v>288</v>
      </c>
      <c r="BF68" s="42">
        <f>VLOOKUP(288,$AE$21:$AK$211,BF$18,0)</f>
        <v>4531</v>
      </c>
      <c r="BG68" s="42">
        <f t="shared" ref="BG68:BK68" si="120">VLOOKUP(288,$AE$21:$AK$211,BG$18,0)</f>
        <v>5722</v>
      </c>
      <c r="BH68" s="42">
        <f t="shared" si="120"/>
        <v>6932</v>
      </c>
      <c r="BI68" s="42">
        <f t="shared" si="120"/>
        <v>8207</v>
      </c>
      <c r="BJ68" s="42">
        <f t="shared" si="120"/>
        <v>9481</v>
      </c>
      <c r="BK68" s="114">
        <f t="shared" si="120"/>
        <v>10793</v>
      </c>
      <c r="BM68" s="105">
        <f t="shared" si="102"/>
        <v>50</v>
      </c>
      <c r="BN68" s="105">
        <f t="shared" si="103"/>
        <v>98</v>
      </c>
      <c r="BO68" s="151">
        <f>IF($BP$15=1,IFERROR(VLOOKUP(BN68,$BZ$20:CA231,2,0),0),VALUE(RIGHT(LEFT($B77,21),10)))</f>
        <v>115</v>
      </c>
      <c r="BP68" s="105">
        <f t="shared" si="104"/>
        <v>118</v>
      </c>
      <c r="BQ68" s="105">
        <f t="shared" si="105"/>
        <v>107</v>
      </c>
      <c r="BR68" s="105">
        <f t="shared" si="106"/>
        <v>78</v>
      </c>
      <c r="BS68" s="105">
        <f t="shared" si="107"/>
        <v>88</v>
      </c>
      <c r="BT68" s="105">
        <f t="shared" si="108"/>
        <v>86</v>
      </c>
      <c r="BU68" s="85"/>
      <c r="BV68" s="97" t="s">
        <v>331</v>
      </c>
      <c r="BW68" s="98">
        <f t="shared" si="113"/>
        <v>14</v>
      </c>
      <c r="BX68" s="97" t="str">
        <f t="shared" si="63"/>
        <v>PST 12</v>
      </c>
      <c r="BZ68" s="147">
        <v>245</v>
      </c>
      <c r="CA68" s="148">
        <v>4747</v>
      </c>
      <c r="CB68" s="87"/>
      <c r="CC68" s="87"/>
      <c r="CF68" s="110"/>
      <c r="CG68" s="111"/>
      <c r="CH68" s="87"/>
      <c r="CI68" s="87"/>
      <c r="CJ68" s="87"/>
      <c r="CK68" s="87"/>
      <c r="CL68" s="87"/>
      <c r="CM68" s="87"/>
    </row>
    <row r="69" spans="2:91" ht="15.6" x14ac:dyDescent="0.3">
      <c r="B69" s="99" t="s">
        <v>738</v>
      </c>
      <c r="C69" s="99"/>
      <c r="D69" s="99"/>
      <c r="E69" s="99"/>
      <c r="F69" s="99"/>
      <c r="G69" s="99"/>
      <c r="H69" s="99"/>
      <c r="I69" s="43"/>
      <c r="J69" s="99" t="str">
        <f t="shared" si="115"/>
        <v xml:space="preserve">    42   78       952      1033      1096      1097      1040       973</v>
      </c>
      <c r="T69" s="42"/>
      <c r="U69" s="135"/>
      <c r="V69" s="191"/>
      <c r="W69" s="187">
        <v>78</v>
      </c>
      <c r="X69" s="187">
        <v>0.57469999999999999</v>
      </c>
      <c r="Z69" s="101">
        <v>49</v>
      </c>
      <c r="AA69" s="101">
        <v>1</v>
      </c>
      <c r="AB69" s="101">
        <v>0.61770000000000003</v>
      </c>
      <c r="AD69" s="102">
        <f t="shared" si="28"/>
        <v>51</v>
      </c>
      <c r="AE69" s="102">
        <f t="shared" si="29"/>
        <v>99</v>
      </c>
      <c r="AF69" s="102">
        <f t="shared" si="95"/>
        <v>93</v>
      </c>
      <c r="AG69" s="102">
        <f t="shared" si="96"/>
        <v>94</v>
      </c>
      <c r="AH69" s="102">
        <f t="shared" si="97"/>
        <v>98</v>
      </c>
      <c r="AI69" s="102">
        <f t="shared" si="98"/>
        <v>98</v>
      </c>
      <c r="AJ69" s="102">
        <f t="shared" si="99"/>
        <v>101</v>
      </c>
      <c r="AK69" s="102">
        <f t="shared" si="100"/>
        <v>102</v>
      </c>
      <c r="AL69" s="102">
        <f>VLOOKUP($AE69,Usinas!$B$3:$F$241,5,FALSE)</f>
        <v>1</v>
      </c>
      <c r="AM69" s="102" t="str">
        <f>VLOOKUP($AE69,Usinas!$B$3:$H$241,7,FALSE)</f>
        <v>PARANA</v>
      </c>
      <c r="AN69" s="102" t="str">
        <f>VLOOKUP($AE69,Usinas!$B$3:$D$241,3,FALSE)</f>
        <v>PARANAÍBA</v>
      </c>
      <c r="AP69" s="103">
        <v>49</v>
      </c>
      <c r="AQ69" s="103" t="str">
        <f>IF(BA69=1,VLOOKUP($AP69,Usinas!$B$3:$F$244,2,0),"")</f>
        <v>CHAVANTES</v>
      </c>
      <c r="AR69" s="103" t="str">
        <f>IF(BA69=1,VLOOKUP($AP69,Usinas!$B$3:$F$241,3,0),"")</f>
        <v>PARANAPANEMA (SE)</v>
      </c>
      <c r="AS69" s="103" t="str">
        <f>IF(BA69,VLOOKUP($AP69,Usinas!$B$3:$F$244,4,0),"")</f>
        <v>SUDESTE</v>
      </c>
      <c r="AT69" s="103">
        <f t="shared" si="39"/>
        <v>0.61770000000000003</v>
      </c>
      <c r="AU69" s="104">
        <f t="shared" si="114"/>
        <v>308.85000000000002</v>
      </c>
      <c r="AV69" s="104">
        <f t="shared" si="114"/>
        <v>349.00049999999999</v>
      </c>
      <c r="AW69" s="104">
        <f t="shared" si="114"/>
        <v>423.74220000000003</v>
      </c>
      <c r="AX69" s="104">
        <f t="shared" si="114"/>
        <v>475.01130000000001</v>
      </c>
      <c r="AY69" s="104">
        <f t="shared" si="114"/>
        <v>530.60429999999997</v>
      </c>
      <c r="AZ69" s="104">
        <f t="shared" si="114"/>
        <v>584.3442</v>
      </c>
      <c r="BA69" s="103">
        <f t="shared" si="40"/>
        <v>1</v>
      </c>
      <c r="BB69" s="103">
        <f t="shared" si="41"/>
        <v>0</v>
      </c>
      <c r="BC69" s="103" t="str">
        <f>IF(BA69=1,VLOOKUP($AP69,Usinas!$B$3:$H$244,7,0),"")</f>
        <v>PRNPANEMA</v>
      </c>
      <c r="BE69" s="113" t="s">
        <v>333</v>
      </c>
      <c r="BF69" s="42">
        <f>IF($J$14="HIDROGRAMA A",IF(BF$71=1,IF(BF$68&lt;$BE$82,0,IF(BF$68&lt;($BE$82+13900),BF$68-$BE$82,13900)),IF(BF$71=2,IF(BF$68&lt;$BE$83,0,IF(BF$68&lt;($BE$83+13900),BF$68-$BE$83,13900)),IF(BF$71=3,IF(BF$68&lt;$BE$84,0,IF(BF$68&lt;($BE$84+13900),BF$68-$BE$84,13900)),IF(BF$71=4,IF(BF$68&lt;$BE$85,0,IF(BF$68&lt;($BE$85+13900),BF$68-$BE$85,13900)),IF(BF$71=5,IF(BF$68&lt;$BE$86,0,IF(BF$68&lt;($BE$86+13900),BF$68-$BE$86,13900)),IF(BF$71=6,IF(BF$68&lt;$BE$87,0,IF(BF$68&lt;($BE$87+13900),BF$68-$BE$87,13900)),IF(BF$71=7,IF(BF$68&lt;$BE$88,0,IF(BF$68&lt;($BE$88+13900),BF$68-$BE$88,13900)),IF(BF$71=8,IF(BF$68&lt;$BE$89,0,IF(BF$68&lt;($BE$89+13900),BF$68-$BE$89,13900)),IF(BF$71=9,IF(BF$68&lt;$BE$90,0,IF(BF$68&lt;($BE$90+13900),BF$68-$BE$90,13900)),IF(BF$71=10,IF($BE$91&lt;700,0,IF(BF$68&lt;($BE$91+13900),BF$68-$BE$91,13900)),IF(BF$71=11,IF(BF$68&lt;$BE$92,0,IF(BF$68&lt;($BE$92+13900),BF$68-$BE$92,13900)),IF(BF$71=12,IF(BF$68&lt;$BE$93,0,IF(BF$68&lt;($BE$93+13900),BF$68-$BE$93,13900)),"ERRO")))))))))))),
IF(BF$71=1,IF(BF$68&lt;$BF$82,0,IF(BF$68&lt;($BF$82+13900),BF$68-$BF$82,13900)),IF(BF$71=2,IF(BF$68&lt;$BF$83,0,IF(BF$68&lt;($BF$83+13900),BF$68-$BF$83,13900)),IF(BF$71=3,IF(BF$68&lt;$BF$84,0,IF(BF$68&lt;($BF$84+13900),BF$68-$BF$84,13900)),IF(BF$71=4,IF(BF$68&lt;$BF$85,0,IF(BF$68&lt;($BF$85+13900),BF$68-$BF$85,13900)),IF(BF$71=5,IF(BF$68&lt;$BF$86,0,IF(BF$68&lt;($BF$86+13900),BF$68-$BF$86,13900)),IF(BF$71=6,IF(BF$68&lt;$BF$87,0,IF(BF$68&lt;($BF$87+13900),BF$68-$BF$87,13900)),IF(BF$71=7,IF(BF$68&lt;$BF$88,0,IF(BF$68&lt;($BF$88+13900),BF$68-$BF$88,13900)),IF(BF$71=8,IF(BF$68&lt;$BF$89,0,IF(BF$68&lt;($BF$89+13900),BF$68-$BF$89,13900)),IF(BF$71=9,IF(BF$68&lt;$BF$90,0,IF(BF$68&lt;($BF$90+13900),BF$68-$BF$90,13900)),IF(BF$71=10,IF($BF$91&lt;700,0,IF(BF$68&lt;($BF$91+13900),BF$68-$BF$91,13900)),IF(BF$71=11,IF(BF$68&lt;$BF$92,0,IF(BF$68&lt;($BF$92+13900),BF$68-$BF$92,13900)),IF(BF$71=12,IF(BF$68&lt;$BF$93,0,IF(BF$68&lt;($BF$93+13900),BF$68-$BF$93,13900)),"ERRO")))))))))))))</f>
        <v>3631</v>
      </c>
      <c r="BG69" s="42">
        <f t="shared" ref="BG69:BK69" si="121">IF($J$14="HIDROGRAMA A",IF(BG$71=1,IF(BG$68&lt;$BE$82,0,IF(BG$68&lt;($BE$82+13900),BG$68-$BE$82,13900)),IF(BG$71=2,IF(BG$68&lt;$BE$83,0,IF(BG$68&lt;($BE$83+13900),BG$68-$BE$83,13900)),IF(BG$71=3,IF(BG$68&lt;$BE$84,0,IF(BG$68&lt;($BE$84+13900),BG$68-$BE$84,13900)),IF(BG$71=4,IF(BG$68&lt;$BE$85,0,IF(BG$68&lt;($BE$85+13900),BG$68-$BE$85,13900)),IF(BG$71=5,IF(BG$68&lt;$BE$86,0,IF(BG$68&lt;($BE$86+13900),BG$68-$BE$86,13900)),IF(BG$71=6,IF(BG$68&lt;$BE$87,0,IF(BG$68&lt;($BE$87+13900),BG$68-$BE$87,13900)),IF(BG$71=7,IF(BG$68&lt;$BE$88,0,IF(BG$68&lt;($BE$88+13900),BG$68-$BE$88,13900)),IF(BG$71=8,IF(BG$68&lt;$BE$89,0,IF(BG$68&lt;($BE$89+13900),BG$68-$BE$89,13900)),IF(BG$71=9,IF(BG$68&lt;$BE$90,0,IF(BG$68&lt;($BE$90+13900),BG$68-$BE$90,13900)),IF(BG$71=10,IF($BE$91&lt;700,0,IF(BG$68&lt;($BE$91+13900),BG$68-$BE$91,13900)),IF(BG$71=11,IF(BG$68&lt;$BE$92,0,IF(BG$68&lt;($BE$92+13900),BG$68-$BE$92,13900)),IF(BG$71=12,IF(BG$68&lt;$BE$93,0,IF(BG$68&lt;($BE$93+13900),BG$68-$BE$93,13900)),"ERRO")))))))))))),
IF(BG$71=1,IF(BG$68&lt;$BF$82,0,IF(BG$68&lt;($BF$82+13900),BG$68-$BF$82,13900)),IF(BG$71=2,IF(BG$68&lt;$BF$83,0,IF(BG$68&lt;($BF$83+13900),BG$68-$BF$83,13900)),IF(BG$71=3,IF(BG$68&lt;$BF$84,0,IF(BG$68&lt;($BF$84+13900),BG$68-$BF$84,13900)),IF(BG$71=4,IF(BG$68&lt;$BF$85,0,IF(BG$68&lt;($BF$85+13900),BG$68-$BF$85,13900)),IF(BG$71=5,IF(BG$68&lt;$BF$86,0,IF(BG$68&lt;($BF$86+13900),BG$68-$BF$86,13900)),IF(BG$71=6,IF(BG$68&lt;$BF$87,0,IF(BG$68&lt;($BF$87+13900),BG$68-$BF$87,13900)),IF(BG$71=7,IF(BG$68&lt;$BF$88,0,IF(BG$68&lt;($BF$88+13900),BG$68-$BF$88,13900)),IF(BG$71=8,IF(BG$68&lt;$BF$89,0,IF(BG$68&lt;($BF$89+13900),BG$68-$BF$89,13900)),IF(BG$71=9,IF(BG$68&lt;$BF$90,0,IF(BG$68&lt;($BF$90+13900),BG$68-$BF$90,13900)),IF(BG$71=10,IF($BF$91&lt;700,0,IF(BG$68&lt;($BF$91+13900),BG$68-$BF$91,13900)),IF(BG$71=11,IF(BG$68&lt;$BF$92,0,IF(BG$68&lt;($BF$92+13900),BG$68-$BF$92,13900)),IF(BG$71=12,IF(BG$68&lt;$BF$93,0,IF(BG$68&lt;($BF$93+13900),BG$68-$BF$93,13900)),"ERRO")))))))))))))</f>
        <v>4622</v>
      </c>
      <c r="BH69" s="42">
        <f t="shared" si="121"/>
        <v>5832</v>
      </c>
      <c r="BI69" s="42">
        <f t="shared" si="121"/>
        <v>7107</v>
      </c>
      <c r="BJ69" s="42">
        <f t="shared" si="121"/>
        <v>8381</v>
      </c>
      <c r="BK69" s="42">
        <f t="shared" si="121"/>
        <v>9193</v>
      </c>
      <c r="BM69" s="105">
        <f t="shared" si="102"/>
        <v>51</v>
      </c>
      <c r="BN69" s="105">
        <f t="shared" si="103"/>
        <v>99</v>
      </c>
      <c r="BO69" s="151">
        <f>IF($BP$15=1,IFERROR(VLOOKUP(BN69,$BZ$20:CA232,2,0),0),VALUE(RIGHT(LEFT($B78,21),10)))</f>
        <v>68</v>
      </c>
      <c r="BP69" s="105">
        <f t="shared" si="104"/>
        <v>69</v>
      </c>
      <c r="BQ69" s="105">
        <f t="shared" si="105"/>
        <v>72</v>
      </c>
      <c r="BR69" s="105">
        <f t="shared" si="106"/>
        <v>72</v>
      </c>
      <c r="BS69" s="105">
        <f t="shared" si="107"/>
        <v>74</v>
      </c>
      <c r="BT69" s="105">
        <f t="shared" si="108"/>
        <v>75</v>
      </c>
      <c r="BU69" s="85"/>
      <c r="BV69" s="97" t="s">
        <v>331</v>
      </c>
      <c r="BW69" s="98">
        <f t="shared" si="113"/>
        <v>15</v>
      </c>
      <c r="BX69" s="97" t="str">
        <f t="shared" si="63"/>
        <v>PST 14</v>
      </c>
      <c r="BZ69" s="147">
        <v>154</v>
      </c>
      <c r="CA69" s="148">
        <v>128</v>
      </c>
      <c r="CB69" s="87"/>
      <c r="CC69" s="87"/>
      <c r="CF69" s="110"/>
      <c r="CG69" s="111"/>
      <c r="CH69" s="87"/>
      <c r="CI69" s="87"/>
      <c r="CJ69" s="87"/>
      <c r="CK69" s="87"/>
      <c r="CL69" s="87"/>
      <c r="CM69" s="87"/>
    </row>
    <row r="70" spans="2:91" ht="15.6" x14ac:dyDescent="0.3">
      <c r="B70" s="99" t="s">
        <v>739</v>
      </c>
      <c r="C70" s="99"/>
      <c r="D70" s="99"/>
      <c r="E70" s="99"/>
      <c r="F70" s="99"/>
      <c r="G70" s="99"/>
      <c r="H70" s="99"/>
      <c r="I70" s="43"/>
      <c r="J70" s="99" t="str">
        <f t="shared" si="115"/>
        <v xml:space="preserve">    43   81      1295      1377      1461      1435      1361      1308</v>
      </c>
      <c r="T70" s="42"/>
      <c r="U70" s="135"/>
      <c r="V70" s="191"/>
      <c r="W70" s="187">
        <v>89</v>
      </c>
      <c r="X70" s="187">
        <v>0.36909999999999998</v>
      </c>
      <c r="Z70" s="101">
        <v>50</v>
      </c>
      <c r="AA70" s="101">
        <v>1</v>
      </c>
      <c r="AB70" s="101">
        <v>0.14829999999999999</v>
      </c>
      <c r="AD70" s="102">
        <f t="shared" si="28"/>
        <v>52</v>
      </c>
      <c r="AE70" s="102">
        <f t="shared" si="29"/>
        <v>101</v>
      </c>
      <c r="AF70" s="102">
        <f t="shared" si="95"/>
        <v>140</v>
      </c>
      <c r="AG70" s="102">
        <f t="shared" si="96"/>
        <v>145</v>
      </c>
      <c r="AH70" s="102">
        <f t="shared" si="97"/>
        <v>202</v>
      </c>
      <c r="AI70" s="102">
        <f t="shared" si="98"/>
        <v>184</v>
      </c>
      <c r="AJ70" s="102">
        <f t="shared" si="99"/>
        <v>162</v>
      </c>
      <c r="AK70" s="102">
        <f t="shared" si="100"/>
        <v>130</v>
      </c>
      <c r="AL70" s="102">
        <f>VLOOKUP($AE70,Usinas!$B$3:$F$241,5,FALSE)</f>
        <v>2</v>
      </c>
      <c r="AM70" s="102" t="str">
        <f>VLOOKUP($AE70,Usinas!$B$3:$H$241,7,FALSE)</f>
        <v>SUL</v>
      </c>
      <c r="AN70" s="102" t="str">
        <f>VLOOKUP($AE70,Usinas!$B$3:$D$241,3,FALSE)</f>
        <v>ITAJAÍ-AÇU</v>
      </c>
      <c r="AP70" s="103">
        <v>50</v>
      </c>
      <c r="AQ70" s="103" t="str">
        <f>IF(BA70=1,VLOOKUP($AP70,Usinas!$B$3:$F$244,2,0),"")</f>
        <v>LUCAS GARCEZ</v>
      </c>
      <c r="AR70" s="103" t="str">
        <f>IF(BA70=1,VLOOKUP($AP70,Usinas!$B$3:$F$241,3,0),"")</f>
        <v>PARANAPANEMA (SE)</v>
      </c>
      <c r="AS70" s="103" t="str">
        <f>IF(BA70,VLOOKUP($AP70,Usinas!$B$3:$F$244,4,0),"")</f>
        <v>SUDESTE</v>
      </c>
      <c r="AT70" s="103">
        <f t="shared" si="39"/>
        <v>0.14829999999999999</v>
      </c>
      <c r="AU70" s="104">
        <f t="shared" si="114"/>
        <v>88.386799999999994</v>
      </c>
      <c r="AV70" s="104">
        <f t="shared" si="114"/>
        <v>98.619499999999988</v>
      </c>
      <c r="AW70" s="104">
        <f t="shared" si="114"/>
        <v>121.16109999999999</v>
      </c>
      <c r="AX70" s="104">
        <f t="shared" si="114"/>
        <v>136.43599999999998</v>
      </c>
      <c r="AY70" s="104">
        <f t="shared" si="114"/>
        <v>151.85919999999999</v>
      </c>
      <c r="AZ70" s="104">
        <f t="shared" si="114"/>
        <v>166.39259999999999</v>
      </c>
      <c r="BA70" s="103">
        <f t="shared" si="40"/>
        <v>1</v>
      </c>
      <c r="BB70" s="103">
        <f t="shared" si="41"/>
        <v>0</v>
      </c>
      <c r="BC70" s="103" t="str">
        <f>IF(BA70=1,VLOOKUP($AP70,Usinas!$B$3:$H$244,7,0),"")</f>
        <v>PRNPANEMA</v>
      </c>
      <c r="BE70" s="113" t="s">
        <v>334</v>
      </c>
      <c r="BF70" s="42">
        <f>IF($J$14="HIDROGRAMA A",IF(BF$72=1,IF(BF$68&lt;$BE$82,0,IF(BF$68&lt;($BE$82+13900),BF$68-$BE$82,13900)),IF(BF$72=2,IF(BF$68&lt;$BE$83,0,IF(BF$68&lt;($BE$83+13900),BF$68-$BE$83,13900)),IF(BF$72=3,IF(BF$68&lt;$BE$84,0,IF(BF$68&lt;($BE$84+13900),BF$68-$BE$84,13900)),IF(BF$72=4,IF(BF$68&lt;$BE$85,0,IF(BF$68&lt;($BE$85+13900),BF$68-$BE$85,13900)),IF(BF$72=5,IF(BF$68&lt;$BE$86,0,IF(BF$68&lt;($BE$86+13900),BF$68-$BE$86,13900)),IF(BF$72=6,IF(BF$68&lt;$BE$87,0,IF(BF$68&lt;($BE$87+13900),BF$68-$BE$87,13900)),IF(BF$72=7,IF(BF$68&lt;$BE$88,0,IF(BF$68&lt;($BE$88+13900),BF$68-$BE$88,13900)),IF(BF$72=8,IF(BF$68&lt;$BE$89,0,IF(BF$68&lt;($BE$89+13900),BF$68-$BE$89,13900)),IF(BF$72=9,IF(BF$68&lt;$BE$90,0,IF(BF$68&lt;($BE$90+13900),BF$68-$BE$90,13900)),IF(BF$72=10,IF($BE$91&lt;700,0,IF(BF$68&lt;($BE$91+13900),BF$68-$BE$91,13900)),IF(BF$72=11,IF(BF$68&lt;$BE$92,0,IF(BF$68&lt;($BE$92+13900),BF$68-$BE$92,13900)),IF(BF$72=12,IF(BF$68&lt;$BE$93,0,IF(BF$68&lt;($BE$93+13900),BF$68-$BE$93,13900)),"ERRO")))))))))))),
IF(BF$72=1,IF(BF$68&lt;$BF$82,0,IF(BF$68&lt;($BF$82+13900),BF$68-$BF$82,13900)),IF(BF$72=2,IF(BF$68&lt;$BF$83,0,IF(BF$68&lt;($BF$83+13900),BF$68-$BF$83,13900)),IF(BF$72=3,IF(BF$68&lt;$BF$84,0,IF(BF$68&lt;($BF$84+13900),BF$68-$BF$84,13900)),IF(BF$72=4,IF(BF$68&lt;$BF$85,0,IF(BF$68&lt;($BF$85+13900),BF$68-$BF$85,13900)),IF(BF$72=5,IF(BF$68&lt;$BF$86,0,IF(BF$68&lt;($BF$86+13900),BF$68-$BF$86,13900)),IF(BF$72=6,IF(BF$68&lt;$BF$87,0,IF(BF$68&lt;($BF$87+13900),BF$68-$BF$87,13900)),IF(BF$72=7,IF(BF$68&lt;$BF$88,0,IF(BF$68&lt;($BF$88+13900),BF$68-$BF$88,13900)),IF(BF$72=8,IF(BF$68&lt;$BF$89,0,IF(BF$68&lt;($BF$89+13900),BF$68-$BF$89,13900)),IF(BF$72=9,IF(BF$68&lt;$BF$90,0,IF(BF$68&lt;($BF$90+13900),BF$68-$BF$90,13900)),IF(BF$72=10,IF($BF$91&lt;700,0,IF(BF$68&lt;($BF$91+13900),BF$68-$BF$91,13900)),IF(BF$72=11,IF(BF$68&lt;$BF$92,0,IF(BF$68&lt;($BF$92+13900),BF$68-$BF$92,13900)),IF(BF$72=12,IF(BF$68&lt;$BF$93,0,IF(BF$68&lt;($BF$93+13900),BF$68-$BF$93,13900)),"ERRO")))))))))))))</f>
        <v>3431</v>
      </c>
      <c r="BG70" s="42">
        <f t="shared" ref="BG70:BK70" si="122">IF($J$14="HIDROGRAMA A",IF(BG$72=1,IF(BG$68&lt;$BE$82,0,IF(BG$68&lt;($BE$82+13900),BG$68-$BE$82,13900)),IF(BG$72=2,IF(BG$68&lt;$BE$83,0,IF(BG$68&lt;($BE$83+13900),BG$68-$BE$83,13900)),IF(BG$72=3,IF(BG$68&lt;$BE$84,0,IF(BG$68&lt;($BE$84+13900),BG$68-$BE$84,13900)),IF(BG$72=4,IF(BG$68&lt;$BE$85,0,IF(BG$68&lt;($BE$85+13900),BG$68-$BE$85,13900)),IF(BG$72=5,IF(BG$68&lt;$BE$86,0,IF(BG$68&lt;($BE$86+13900),BG$68-$BE$86,13900)),IF(BG$72=6,IF(BG$68&lt;$BE$87,0,IF(BG$68&lt;($BE$87+13900),BG$68-$BE$87,13900)),IF(BG$72=7,IF(BG$68&lt;$BE$88,0,IF(BG$68&lt;($BE$88+13900),BG$68-$BE$88,13900)),IF(BG$72=8,IF(BG$68&lt;$BE$89,0,IF(BG$68&lt;($BE$89+13900),BG$68-$BE$89,13900)),IF(BG$72=9,IF(BG$68&lt;$BE$90,0,IF(BG$68&lt;($BE$90+13900),BG$68-$BE$90,13900)),IF(BG$72=10,IF($BE$91&lt;700,0,IF(BG$68&lt;($BE$91+13900),BG$68-$BE$91,13900)),IF(BG$72=11,IF(BG$68&lt;$BE$92,0,IF(BG$68&lt;($BE$92+13900),BG$68-$BE$92,13900)),IF(BG$72=12,IF(BG$68&lt;$BE$93,0,IF(BG$68&lt;($BE$93+13900),BG$68-$BE$93,13900)),"ERRO")))))))))))),
IF(BG$72=1,IF(BG$68&lt;$BF$82,0,IF(BG$68&lt;($BF$82+13900),BG$68-$BF$82,13900)),IF(BG$72=2,IF(BG$68&lt;$BF$83,0,IF(BG$68&lt;($BF$83+13900),BG$68-$BF$83,13900)),IF(BG$72=3,IF(BG$68&lt;$BF$84,0,IF(BG$68&lt;($BF$84+13900),BG$68-$BF$84,13900)),IF(BG$72=4,IF(BG$68&lt;$BF$85,0,IF(BG$68&lt;($BF$85+13900),BG$68-$BF$85,13900)),IF(BG$72=5,IF(BG$68&lt;$BF$86,0,IF(BG$68&lt;($BF$86+13900),BG$68-$BF$86,13900)),IF(BG$72=6,IF(BG$68&lt;$BF$87,0,IF(BG$68&lt;($BF$87+13900),BG$68-$BF$87,13900)),IF(BG$72=7,IF(BG$68&lt;$BF$88,0,IF(BG$68&lt;($BF$88+13900),BG$68-$BF$88,13900)),IF(BG$72=8,IF(BG$68&lt;$BF$89,0,IF(BG$68&lt;($BF$89+13900),BG$68-$BF$89,13900)),IF(BG$72=9,IF(BG$68&lt;$BF$90,0,IF(BG$68&lt;($BF$90+13900),BG$68-$BF$90,13900)),IF(BG$72=10,IF($BF$91&lt;700,0,IF(BG$68&lt;($BF$91+13900),BG$68-$BF$91,13900)),IF(BG$72=11,IF(BG$68&lt;$BF$92,0,IF(BG$68&lt;($BF$92+13900),BG$68-$BF$92,13900)),IF(BG$72=12,IF(BG$68&lt;$BF$93,0,IF(BG$68&lt;($BF$93+13900),BG$68-$BF$93,13900)),"ERRO")))))))))))))</f>
        <v>4622</v>
      </c>
      <c r="BH70" s="42">
        <f t="shared" si="122"/>
        <v>5832</v>
      </c>
      <c r="BI70" s="42">
        <f t="shared" si="122"/>
        <v>7107</v>
      </c>
      <c r="BJ70" s="42">
        <f t="shared" si="122"/>
        <v>8381</v>
      </c>
      <c r="BK70" s="42">
        <f t="shared" si="122"/>
        <v>9193</v>
      </c>
      <c r="BM70" s="105">
        <f t="shared" si="102"/>
        <v>52</v>
      </c>
      <c r="BN70" s="105">
        <f t="shared" si="103"/>
        <v>101</v>
      </c>
      <c r="BO70" s="151">
        <f>IF($BP$15=1,IFERROR(VLOOKUP(BN70,$BZ$20:CA233,2,0),0),VALUE(RIGHT(LEFT($B79,21),10)))</f>
        <v>118</v>
      </c>
      <c r="BP70" s="105">
        <f t="shared" si="104"/>
        <v>122</v>
      </c>
      <c r="BQ70" s="105">
        <f t="shared" si="105"/>
        <v>170</v>
      </c>
      <c r="BR70" s="105">
        <f t="shared" si="106"/>
        <v>155</v>
      </c>
      <c r="BS70" s="105">
        <f t="shared" si="107"/>
        <v>137</v>
      </c>
      <c r="BT70" s="105">
        <f t="shared" si="108"/>
        <v>110</v>
      </c>
      <c r="BU70" s="85"/>
      <c r="BV70" s="97" t="s">
        <v>331</v>
      </c>
      <c r="BW70" s="98">
        <f t="shared" si="113"/>
        <v>16</v>
      </c>
      <c r="BX70" s="97" t="str">
        <f t="shared" si="63"/>
        <v>PST 15</v>
      </c>
      <c r="BZ70" s="147">
        <v>246</v>
      </c>
      <c r="CA70" s="148">
        <v>5873</v>
      </c>
      <c r="CB70" s="87"/>
      <c r="CC70" s="87"/>
      <c r="CF70" s="110"/>
      <c r="CG70" s="111"/>
      <c r="CH70" s="87"/>
      <c r="CI70" s="87"/>
      <c r="CJ70" s="87"/>
      <c r="CK70" s="87"/>
      <c r="CL70" s="87"/>
      <c r="CM70" s="87"/>
    </row>
    <row r="71" spans="2:91" ht="15.6" x14ac:dyDescent="0.3">
      <c r="B71" s="99" t="s">
        <v>740</v>
      </c>
      <c r="C71" s="99"/>
      <c r="D71" s="99"/>
      <c r="E71" s="99"/>
      <c r="F71" s="99"/>
      <c r="G71" s="99"/>
      <c r="H71" s="99"/>
      <c r="I71" s="43"/>
      <c r="J71" s="99" t="str">
        <f t="shared" si="115"/>
        <v xml:space="preserve">    44   88       208       203       234       257       250       218</v>
      </c>
      <c r="T71" s="42"/>
      <c r="U71" s="135"/>
      <c r="V71" s="191"/>
      <c r="W71" s="187">
        <v>92</v>
      </c>
      <c r="X71" s="187">
        <v>0.90969999999999995</v>
      </c>
      <c r="Z71" s="101">
        <v>51</v>
      </c>
      <c r="AA71" s="101">
        <v>1</v>
      </c>
      <c r="AB71" s="101">
        <v>0.1288</v>
      </c>
      <c r="AD71" s="102">
        <f t="shared" si="28"/>
        <v>53</v>
      </c>
      <c r="AE71" s="102">
        <f t="shared" si="29"/>
        <v>102</v>
      </c>
      <c r="AF71" s="102">
        <f t="shared" si="95"/>
        <v>321</v>
      </c>
      <c r="AG71" s="102">
        <f t="shared" si="96"/>
        <v>311</v>
      </c>
      <c r="AH71" s="102">
        <f t="shared" si="97"/>
        <v>311</v>
      </c>
      <c r="AI71" s="102">
        <f t="shared" si="98"/>
        <v>323</v>
      </c>
      <c r="AJ71" s="102">
        <f t="shared" si="99"/>
        <v>306</v>
      </c>
      <c r="AK71" s="102">
        <f t="shared" si="100"/>
        <v>234</v>
      </c>
      <c r="AL71" s="102">
        <f>VLOOKUP($AE71,Usinas!$B$3:$F$241,5,FALSE)</f>
        <v>2</v>
      </c>
      <c r="AM71" s="102" t="str">
        <f>VLOOKUP($AE71,Usinas!$B$3:$H$241,7,FALSE)</f>
        <v>SUL</v>
      </c>
      <c r="AN71" s="102" t="str">
        <f>VLOOKUP($AE71,Usinas!$B$3:$D$241,3,FALSE)</f>
        <v>URUGUAI</v>
      </c>
      <c r="AP71" s="103">
        <v>51</v>
      </c>
      <c r="AQ71" s="103" t="str">
        <f>IF(BA71=1,VLOOKUP($AP71,Usinas!$B$3:$F$244,2,0),"")</f>
        <v>CANOAS II</v>
      </c>
      <c r="AR71" s="103" t="str">
        <f>IF(BA71=1,VLOOKUP($AP71,Usinas!$B$3:$F$241,3,0),"")</f>
        <v>PARANAPANEMA (SE)</v>
      </c>
      <c r="AS71" s="103" t="str">
        <f>IF(BA71,VLOOKUP($AP71,Usinas!$B$3:$F$244,4,0),"")</f>
        <v>SUDESTE</v>
      </c>
      <c r="AT71" s="103">
        <f t="shared" si="39"/>
        <v>0.1288</v>
      </c>
      <c r="AU71" s="104">
        <f t="shared" ref="AU71:AZ80" si="123">IF($BA71=1,IFERROR(VLOOKUP($AP71,$AE$21:$AK$211,AU$19,0),VLOOKUP($AP71,$BE$21:$BK$65,AU$19,0))*$AT71,"")</f>
        <v>77.666399999999996</v>
      </c>
      <c r="AV71" s="104">
        <f t="shared" si="123"/>
        <v>86.811199999999999</v>
      </c>
      <c r="AW71" s="104">
        <f t="shared" si="123"/>
        <v>106.26</v>
      </c>
      <c r="AX71" s="104">
        <f t="shared" si="123"/>
        <v>119.78399999999999</v>
      </c>
      <c r="AY71" s="104">
        <f t="shared" si="123"/>
        <v>132.92159999999998</v>
      </c>
      <c r="AZ71" s="104">
        <f t="shared" si="123"/>
        <v>146.44559999999998</v>
      </c>
      <c r="BA71" s="103">
        <f t="shared" si="40"/>
        <v>1</v>
      </c>
      <c r="BB71" s="103">
        <f t="shared" si="41"/>
        <v>0</v>
      </c>
      <c r="BC71" s="103" t="str">
        <f>IF(BA71=1,VLOOKUP($AP71,Usinas!$B$3:$H$244,7,0),"")</f>
        <v>PRNPANEMA</v>
      </c>
      <c r="BE71" s="113" t="s">
        <v>335</v>
      </c>
      <c r="BF71" s="42">
        <f t="shared" ref="BF71:BK72" si="124">MONTH(BF74)</f>
        <v>12</v>
      </c>
      <c r="BG71" s="42">
        <f t="shared" si="124"/>
        <v>1</v>
      </c>
      <c r="BH71" s="42">
        <f t="shared" si="124"/>
        <v>1</v>
      </c>
      <c r="BI71" s="42">
        <f t="shared" si="124"/>
        <v>1</v>
      </c>
      <c r="BJ71" s="42">
        <f t="shared" si="124"/>
        <v>1</v>
      </c>
      <c r="BK71" s="114">
        <f t="shared" si="124"/>
        <v>2</v>
      </c>
      <c r="BM71" s="105">
        <f t="shared" si="102"/>
        <v>53</v>
      </c>
      <c r="BN71" s="105">
        <f t="shared" si="103"/>
        <v>102</v>
      </c>
      <c r="BO71" s="151">
        <f>IF($BP$15=1,IFERROR(VLOOKUP(BN71,$BZ$20:CA234,2,0),0),VALUE(RIGHT(LEFT($B80,21),10)))</f>
        <v>271</v>
      </c>
      <c r="BP71" s="105">
        <f t="shared" si="104"/>
        <v>262</v>
      </c>
      <c r="BQ71" s="105">
        <f t="shared" si="105"/>
        <v>262</v>
      </c>
      <c r="BR71" s="105">
        <f t="shared" si="106"/>
        <v>272</v>
      </c>
      <c r="BS71" s="105">
        <f t="shared" si="107"/>
        <v>258</v>
      </c>
      <c r="BT71" s="105">
        <f t="shared" si="108"/>
        <v>197</v>
      </c>
      <c r="BU71" s="85"/>
      <c r="BV71" s="97" t="s">
        <v>331</v>
      </c>
      <c r="BW71" s="98">
        <f t="shared" si="113"/>
        <v>17</v>
      </c>
      <c r="BX71" s="97" t="str">
        <f t="shared" si="63"/>
        <v>PST 16</v>
      </c>
      <c r="BZ71" s="147">
        <v>47</v>
      </c>
      <c r="CA71" s="148">
        <v>199</v>
      </c>
      <c r="CB71" s="87"/>
      <c r="CC71" s="87"/>
      <c r="CF71" s="110"/>
      <c r="CG71" s="111"/>
      <c r="CH71" s="87"/>
      <c r="CI71" s="87"/>
      <c r="CJ71" s="87"/>
      <c r="CK71" s="87"/>
      <c r="CL71" s="87"/>
      <c r="CM71" s="87"/>
    </row>
    <row r="72" spans="2:91" ht="15.6" x14ac:dyDescent="0.3">
      <c r="B72" s="99" t="s">
        <v>741</v>
      </c>
      <c r="C72" s="99"/>
      <c r="D72" s="99"/>
      <c r="E72" s="99"/>
      <c r="F72" s="99"/>
      <c r="G72" s="99"/>
      <c r="H72" s="99"/>
      <c r="I72" s="43"/>
      <c r="J72" s="99" t="str">
        <f t="shared" si="115"/>
        <v xml:space="preserve">    45   89       251       248       285       307       311       269</v>
      </c>
      <c r="T72" s="42"/>
      <c r="U72" s="135"/>
      <c r="V72" s="191"/>
      <c r="W72" s="187">
        <v>93</v>
      </c>
      <c r="X72" s="187">
        <v>2.2252000000000001</v>
      </c>
      <c r="Z72" s="101">
        <v>52</v>
      </c>
      <c r="AA72" s="101">
        <v>1</v>
      </c>
      <c r="AB72" s="101">
        <v>0.1489</v>
      </c>
      <c r="AD72" s="102">
        <f t="shared" si="28"/>
        <v>54</v>
      </c>
      <c r="AE72" s="102">
        <f t="shared" si="29"/>
        <v>103</v>
      </c>
      <c r="AF72" s="102">
        <f t="shared" si="95"/>
        <v>336</v>
      </c>
      <c r="AG72" s="102">
        <f t="shared" si="96"/>
        <v>324</v>
      </c>
      <c r="AH72" s="102">
        <f t="shared" si="97"/>
        <v>324</v>
      </c>
      <c r="AI72" s="102">
        <f t="shared" si="98"/>
        <v>332</v>
      </c>
      <c r="AJ72" s="102">
        <f t="shared" si="99"/>
        <v>319</v>
      </c>
      <c r="AK72" s="102">
        <f t="shared" si="100"/>
        <v>247</v>
      </c>
      <c r="AL72" s="102">
        <f>VLOOKUP($AE72,Usinas!$B$3:$F$241,5,FALSE)</f>
        <v>2</v>
      </c>
      <c r="AM72" s="102" t="str">
        <f>VLOOKUP($AE72,Usinas!$B$3:$H$241,7,FALSE)</f>
        <v>SUL</v>
      </c>
      <c r="AN72" s="102" t="str">
        <f>VLOOKUP($AE72,Usinas!$B$3:$D$241,3,FALSE)</f>
        <v>URUGUAI</v>
      </c>
      <c r="AP72" s="103">
        <v>52</v>
      </c>
      <c r="AQ72" s="103" t="str">
        <f>IF(BA72=1,VLOOKUP($AP72,Usinas!$B$3:$F$244,2,0),"")</f>
        <v>CANOAS I</v>
      </c>
      <c r="AR72" s="103" t="str">
        <f>IF(BA72=1,VLOOKUP($AP72,Usinas!$B$3:$F$241,3,0),"")</f>
        <v>PARANAPANEMA (SE)</v>
      </c>
      <c r="AS72" s="103" t="str">
        <f>IF(BA72,VLOOKUP($AP72,Usinas!$B$3:$F$244,4,0),"")</f>
        <v>SUDESTE</v>
      </c>
      <c r="AT72" s="103">
        <f t="shared" si="39"/>
        <v>0.1489</v>
      </c>
      <c r="AU72" s="104">
        <f t="shared" si="123"/>
        <v>91.722400000000007</v>
      </c>
      <c r="AV72" s="104">
        <f t="shared" si="123"/>
        <v>102.5921</v>
      </c>
      <c r="AW72" s="104">
        <f t="shared" si="123"/>
        <v>125.5227</v>
      </c>
      <c r="AX72" s="104">
        <f t="shared" si="123"/>
        <v>142.1995</v>
      </c>
      <c r="AY72" s="104">
        <f t="shared" si="123"/>
        <v>157.38730000000001</v>
      </c>
      <c r="AZ72" s="104">
        <f t="shared" si="123"/>
        <v>173.7663</v>
      </c>
      <c r="BA72" s="103">
        <f t="shared" si="40"/>
        <v>1</v>
      </c>
      <c r="BB72" s="103">
        <f t="shared" si="41"/>
        <v>0</v>
      </c>
      <c r="BC72" s="103" t="str">
        <f>IF(BA72=1,VLOOKUP($AP72,Usinas!$B$3:$H$244,7,0),"")</f>
        <v>PRNPANEMA</v>
      </c>
      <c r="BE72" s="113" t="s">
        <v>336</v>
      </c>
      <c r="BF72" s="42">
        <f t="shared" si="124"/>
        <v>1</v>
      </c>
      <c r="BG72" s="42">
        <f t="shared" si="124"/>
        <v>1</v>
      </c>
      <c r="BH72" s="42">
        <f t="shared" si="124"/>
        <v>1</v>
      </c>
      <c r="BI72" s="42">
        <f t="shared" si="124"/>
        <v>1</v>
      </c>
      <c r="BJ72" s="42">
        <f t="shared" si="124"/>
        <v>1</v>
      </c>
      <c r="BK72" s="114">
        <f t="shared" si="124"/>
        <v>2</v>
      </c>
      <c r="BM72" s="105">
        <f t="shared" si="102"/>
        <v>54</v>
      </c>
      <c r="BN72" s="105">
        <f t="shared" si="103"/>
        <v>103</v>
      </c>
      <c r="BO72" s="151">
        <f>IF($BP$15=1,IFERROR(VLOOKUP(BN72,$BZ$20:CA235,2,0),0),VALUE(RIGHT(LEFT($B81,21),10)))</f>
        <v>283</v>
      </c>
      <c r="BP72" s="105">
        <f t="shared" si="104"/>
        <v>273</v>
      </c>
      <c r="BQ72" s="105">
        <f t="shared" si="105"/>
        <v>273</v>
      </c>
      <c r="BR72" s="105">
        <f t="shared" si="106"/>
        <v>280</v>
      </c>
      <c r="BS72" s="105">
        <f t="shared" si="107"/>
        <v>269</v>
      </c>
      <c r="BT72" s="105">
        <f t="shared" si="108"/>
        <v>208</v>
      </c>
      <c r="BU72" s="85"/>
      <c r="BV72" s="97" t="s">
        <v>331</v>
      </c>
      <c r="BW72" s="98">
        <f t="shared" si="113"/>
        <v>18</v>
      </c>
      <c r="BX72" s="97" t="str">
        <f t="shared" si="63"/>
        <v>PST 17</v>
      </c>
      <c r="BZ72" s="147">
        <v>48</v>
      </c>
      <c r="CA72" s="148">
        <v>196</v>
      </c>
      <c r="CB72" s="87"/>
      <c r="CC72" s="87"/>
      <c r="CF72" s="110"/>
      <c r="CG72" s="111"/>
      <c r="CH72" s="87"/>
      <c r="CI72" s="87"/>
      <c r="CJ72" s="87"/>
      <c r="CK72" s="87"/>
      <c r="CL72" s="87"/>
      <c r="CM72" s="87"/>
    </row>
    <row r="73" spans="2:91" ht="15.6" x14ac:dyDescent="0.3">
      <c r="B73" s="99" t="s">
        <v>742</v>
      </c>
      <c r="C73" s="99"/>
      <c r="D73" s="99"/>
      <c r="E73" s="99"/>
      <c r="F73" s="99"/>
      <c r="G73" s="99"/>
      <c r="H73" s="99"/>
      <c r="I73" s="43"/>
      <c r="J73" s="99" t="str">
        <f t="shared" si="115"/>
        <v xml:space="preserve">    46   92       835       849       918       927       927       838</v>
      </c>
      <c r="T73" s="42"/>
      <c r="U73" s="135"/>
      <c r="V73" s="191"/>
      <c r="W73" s="187">
        <v>94</v>
      </c>
      <c r="X73" s="187">
        <v>0.4506</v>
      </c>
      <c r="Z73" s="101">
        <v>53</v>
      </c>
      <c r="AA73" s="101">
        <v>0</v>
      </c>
      <c r="AB73" s="101">
        <v>0</v>
      </c>
      <c r="AD73" s="102">
        <f t="shared" si="28"/>
        <v>55</v>
      </c>
      <c r="AE73" s="102">
        <f t="shared" si="29"/>
        <v>104</v>
      </c>
      <c r="AF73" s="102">
        <f t="shared" si="95"/>
        <v>59</v>
      </c>
      <c r="AG73" s="102">
        <f t="shared" si="96"/>
        <v>78</v>
      </c>
      <c r="AH73" s="102">
        <f t="shared" si="97"/>
        <v>87</v>
      </c>
      <c r="AI73" s="102">
        <f t="shared" si="98"/>
        <v>78</v>
      </c>
      <c r="AJ73" s="102">
        <f t="shared" si="99"/>
        <v>93</v>
      </c>
      <c r="AK73" s="102">
        <f t="shared" si="100"/>
        <v>82</v>
      </c>
      <c r="AL73" s="102">
        <f>VLOOKUP($AE73,Usinas!$B$3:$F$241,5,FALSE)</f>
        <v>1</v>
      </c>
      <c r="AM73" s="102" t="str">
        <f>VLOOKUP($AE73,Usinas!$B$3:$H$241,7,FALSE)</f>
        <v>SUDESTE</v>
      </c>
      <c r="AN73" s="102" t="str">
        <f>VLOOKUP($AE73,Usinas!$B$3:$D$241,3,FALSE)</f>
        <v>ALTO TIETÊ</v>
      </c>
      <c r="AP73" s="103">
        <v>53</v>
      </c>
      <c r="AQ73" s="103" t="str">
        <f>IF(BA73=1,VLOOKUP($AP73,Usinas!$B$3:$F$244,2,0),"")</f>
        <v/>
      </c>
      <c r="AR73" s="103" t="str">
        <f>IF(BA73=1,VLOOKUP($AP73,Usinas!$B$3:$F$241,3,0),"")</f>
        <v/>
      </c>
      <c r="AS73" s="103" t="str">
        <f>IF(BA73,VLOOKUP($AP73,Usinas!$B$3:$F$244,4,0),"")</f>
        <v/>
      </c>
      <c r="AT73" s="103" t="str">
        <f t="shared" si="39"/>
        <v/>
      </c>
      <c r="AU73" s="104" t="str">
        <f t="shared" si="123"/>
        <v/>
      </c>
      <c r="AV73" s="104" t="str">
        <f t="shared" si="123"/>
        <v/>
      </c>
      <c r="AW73" s="104" t="str">
        <f t="shared" si="123"/>
        <v/>
      </c>
      <c r="AX73" s="104" t="str">
        <f t="shared" si="123"/>
        <v/>
      </c>
      <c r="AY73" s="104" t="str">
        <f t="shared" si="123"/>
        <v/>
      </c>
      <c r="AZ73" s="104" t="str">
        <f t="shared" si="123"/>
        <v/>
      </c>
      <c r="BA73" s="103">
        <f t="shared" si="40"/>
        <v>0</v>
      </c>
      <c r="BB73" s="103">
        <f t="shared" si="41"/>
        <v>0</v>
      </c>
      <c r="BC73" s="103" t="str">
        <f>IF(BA73=1,VLOOKUP($AP73,Usinas!$B$3:$H$244,7,0),"")</f>
        <v/>
      </c>
      <c r="BE73" s="115">
        <v>292</v>
      </c>
      <c r="BF73" s="116">
        <f t="shared" ref="BF73:BK73" si="125">(BF69*BF77+BF70*BF78)/7</f>
        <v>3545.2857142857142</v>
      </c>
      <c r="BG73" s="116">
        <f t="shared" si="125"/>
        <v>4622</v>
      </c>
      <c r="BH73" s="116">
        <f t="shared" si="125"/>
        <v>5832</v>
      </c>
      <c r="BI73" s="116">
        <f t="shared" si="125"/>
        <v>7107</v>
      </c>
      <c r="BJ73" s="116">
        <f t="shared" si="125"/>
        <v>8381</v>
      </c>
      <c r="BK73" s="117">
        <f t="shared" si="125"/>
        <v>9193</v>
      </c>
      <c r="BM73" s="105">
        <f t="shared" si="102"/>
        <v>55</v>
      </c>
      <c r="BN73" s="105">
        <f t="shared" si="103"/>
        <v>104</v>
      </c>
      <c r="BO73" s="151">
        <f>IF($BP$15=1,IFERROR(VLOOKUP(BN73,$BZ$20:CA236,2,0),0),VALUE(RIGHT(LEFT($B82,21),10)))</f>
        <v>43</v>
      </c>
      <c r="BP73" s="105">
        <f t="shared" si="104"/>
        <v>57</v>
      </c>
      <c r="BQ73" s="105">
        <f t="shared" si="105"/>
        <v>64</v>
      </c>
      <c r="BR73" s="105">
        <f t="shared" si="106"/>
        <v>57</v>
      </c>
      <c r="BS73" s="105">
        <f t="shared" si="107"/>
        <v>68</v>
      </c>
      <c r="BT73" s="105">
        <f t="shared" si="108"/>
        <v>60</v>
      </c>
      <c r="BU73" s="85"/>
      <c r="BV73" s="97" t="s">
        <v>331</v>
      </c>
      <c r="BW73" s="98">
        <f t="shared" si="113"/>
        <v>22</v>
      </c>
      <c r="BX73" s="97" t="str">
        <f t="shared" si="63"/>
        <v>PST 18</v>
      </c>
      <c r="BZ73" s="147">
        <v>49</v>
      </c>
      <c r="CA73" s="148">
        <v>252</v>
      </c>
      <c r="CB73" s="87"/>
      <c r="CC73" s="87"/>
      <c r="CF73" s="110"/>
      <c r="CG73" s="111"/>
      <c r="CH73" s="87"/>
      <c r="CI73" s="87"/>
      <c r="CJ73" s="87"/>
      <c r="CK73" s="87"/>
      <c r="CL73" s="87"/>
      <c r="CM73" s="87"/>
    </row>
    <row r="74" spans="2:91" ht="15.6" x14ac:dyDescent="0.3">
      <c r="B74" s="99" t="s">
        <v>743</v>
      </c>
      <c r="C74" s="99"/>
      <c r="D74" s="99"/>
      <c r="E74" s="99"/>
      <c r="F74" s="99"/>
      <c r="G74" s="99"/>
      <c r="H74" s="99"/>
      <c r="I74" s="43"/>
      <c r="J74" s="99" t="str">
        <f t="shared" si="115"/>
        <v xml:space="preserve">    47   93        51        52        49        42        40        39</v>
      </c>
      <c r="T74" s="42"/>
      <c r="U74" s="135"/>
      <c r="V74" s="191"/>
      <c r="W74" s="187">
        <v>97</v>
      </c>
      <c r="X74" s="187">
        <v>0.35410000000000003</v>
      </c>
      <c r="Z74" s="101">
        <v>54</v>
      </c>
      <c r="AA74" s="101">
        <v>0</v>
      </c>
      <c r="AB74" s="101">
        <v>0</v>
      </c>
      <c r="AD74" s="102">
        <f t="shared" si="28"/>
        <v>56</v>
      </c>
      <c r="AE74" s="102">
        <f t="shared" si="29"/>
        <v>109</v>
      </c>
      <c r="AF74" s="102">
        <f t="shared" si="95"/>
        <v>33</v>
      </c>
      <c r="AG74" s="102">
        <f t="shared" si="96"/>
        <v>44</v>
      </c>
      <c r="AH74" s="102">
        <f t="shared" si="97"/>
        <v>48</v>
      </c>
      <c r="AI74" s="102">
        <f t="shared" si="98"/>
        <v>42</v>
      </c>
      <c r="AJ74" s="102">
        <f t="shared" si="99"/>
        <v>52</v>
      </c>
      <c r="AK74" s="102">
        <f t="shared" si="100"/>
        <v>45</v>
      </c>
      <c r="AL74" s="102">
        <f>VLOOKUP($AE74,Usinas!$B$3:$F$241,5,FALSE)</f>
        <v>1</v>
      </c>
      <c r="AM74" s="102" t="str">
        <f>VLOOKUP($AE74,Usinas!$B$3:$H$241,7,FALSE)</f>
        <v>SUDESTE</v>
      </c>
      <c r="AN74" s="102" t="str">
        <f>VLOOKUP($AE74,Usinas!$B$3:$D$241,3,FALSE)</f>
        <v>ALTO TIETÊ</v>
      </c>
      <c r="AP74" s="103">
        <v>54</v>
      </c>
      <c r="AQ74" s="103" t="str">
        <f>IF(BA74=1,VLOOKUP($AP74,Usinas!$B$3:$F$244,2,0),"")</f>
        <v/>
      </c>
      <c r="AR74" s="103" t="str">
        <f>IF(BA74=1,VLOOKUP($AP74,Usinas!$B$3:$F$241,3,0),"")</f>
        <v/>
      </c>
      <c r="AS74" s="103" t="str">
        <f>IF(BA74,VLOOKUP($AP74,Usinas!$B$3:$F$244,4,0),"")</f>
        <v/>
      </c>
      <c r="AT74" s="103" t="str">
        <f t="shared" si="39"/>
        <v/>
      </c>
      <c r="AU74" s="104" t="str">
        <f t="shared" si="123"/>
        <v/>
      </c>
      <c r="AV74" s="104" t="str">
        <f t="shared" si="123"/>
        <v/>
      </c>
      <c r="AW74" s="104" t="str">
        <f t="shared" si="123"/>
        <v/>
      </c>
      <c r="AX74" s="104" t="str">
        <f t="shared" si="123"/>
        <v/>
      </c>
      <c r="AY74" s="104" t="str">
        <f t="shared" si="123"/>
        <v/>
      </c>
      <c r="AZ74" s="104" t="str">
        <f t="shared" si="123"/>
        <v/>
      </c>
      <c r="BA74" s="103">
        <f t="shared" si="40"/>
        <v>0</v>
      </c>
      <c r="BB74" s="103">
        <f t="shared" si="41"/>
        <v>0</v>
      </c>
      <c r="BC74" s="103" t="str">
        <f>IF(BA74=1,VLOOKUP($AP74,Usinas!$B$3:$H$244,7,0),"")</f>
        <v/>
      </c>
      <c r="BE74" s="113"/>
      <c r="BF74" s="118">
        <f>R2</f>
        <v>45654</v>
      </c>
      <c r="BG74" s="118">
        <f>DATE(YEAR(BF74),MONTH(BF74),DAY(BF74)+7)</f>
        <v>45661</v>
      </c>
      <c r="BH74" s="118">
        <f t="shared" ref="BH74:BK74" si="126">DATE(YEAR(BG74),MONTH(BG74),DAY(BG74)+7)</f>
        <v>45668</v>
      </c>
      <c r="BI74" s="118">
        <f t="shared" si="126"/>
        <v>45675</v>
      </c>
      <c r="BJ74" s="118">
        <f t="shared" si="126"/>
        <v>45682</v>
      </c>
      <c r="BK74" s="119">
        <f t="shared" si="126"/>
        <v>45689</v>
      </c>
      <c r="BM74" s="105">
        <f t="shared" si="102"/>
        <v>56</v>
      </c>
      <c r="BN74" s="105">
        <f t="shared" si="103"/>
        <v>109</v>
      </c>
      <c r="BO74" s="151">
        <f>IF($BP$15=1,IFERROR(VLOOKUP(BN74,$BZ$20:CA237,2,0),0),VALUE(RIGHT(LEFT($B83,21),10)))</f>
        <v>24</v>
      </c>
      <c r="BP74" s="105">
        <f t="shared" si="104"/>
        <v>32</v>
      </c>
      <c r="BQ74" s="105">
        <f t="shared" si="105"/>
        <v>35</v>
      </c>
      <c r="BR74" s="105">
        <f t="shared" si="106"/>
        <v>31</v>
      </c>
      <c r="BS74" s="105">
        <f t="shared" si="107"/>
        <v>38</v>
      </c>
      <c r="BT74" s="105">
        <f t="shared" si="108"/>
        <v>33</v>
      </c>
      <c r="BU74" s="85"/>
      <c r="BV74" s="97" t="s">
        <v>331</v>
      </c>
      <c r="BW74" s="98">
        <f t="shared" si="113"/>
        <v>23</v>
      </c>
      <c r="BX74" s="97" t="str">
        <f t="shared" si="63"/>
        <v>PST 22</v>
      </c>
      <c r="BZ74" s="147">
        <v>249</v>
      </c>
      <c r="CA74" s="148">
        <v>253</v>
      </c>
      <c r="CB74" s="87"/>
      <c r="CC74" s="87"/>
      <c r="CF74" s="110"/>
      <c r="CG74" s="111"/>
      <c r="CH74" s="87"/>
      <c r="CI74" s="87"/>
      <c r="CJ74" s="87"/>
      <c r="CK74" s="87"/>
      <c r="CL74" s="87"/>
      <c r="CM74" s="87"/>
    </row>
    <row r="75" spans="2:91" ht="15.6" x14ac:dyDescent="0.3">
      <c r="B75" s="99" t="s">
        <v>744</v>
      </c>
      <c r="C75" s="99"/>
      <c r="D75" s="99"/>
      <c r="E75" s="99"/>
      <c r="F75" s="99"/>
      <c r="G75" s="99"/>
      <c r="H75" s="99"/>
      <c r="I75" s="43"/>
      <c r="J75" s="99" t="str">
        <f t="shared" si="115"/>
        <v xml:space="preserve">    48   94      1027      1062      1089      1072      1099      1005</v>
      </c>
      <c r="T75" s="42"/>
      <c r="U75" s="135"/>
      <c r="V75" s="191"/>
      <c r="W75" s="187">
        <v>98</v>
      </c>
      <c r="X75" s="187">
        <v>0.76759999999999995</v>
      </c>
      <c r="Z75" s="101">
        <v>55</v>
      </c>
      <c r="AA75" s="101">
        <v>0</v>
      </c>
      <c r="AB75" s="101">
        <v>0</v>
      </c>
      <c r="AD75" s="102">
        <f t="shared" si="28"/>
        <v>57</v>
      </c>
      <c r="AE75" s="102">
        <f t="shared" si="29"/>
        <v>110</v>
      </c>
      <c r="AF75" s="102">
        <f t="shared" si="95"/>
        <v>37</v>
      </c>
      <c r="AG75" s="102">
        <f t="shared" si="96"/>
        <v>38</v>
      </c>
      <c r="AH75" s="102">
        <f t="shared" si="97"/>
        <v>37</v>
      </c>
      <c r="AI75" s="102">
        <f t="shared" si="98"/>
        <v>37</v>
      </c>
      <c r="AJ75" s="102">
        <f t="shared" si="99"/>
        <v>34</v>
      </c>
      <c r="AK75" s="102">
        <f t="shared" si="100"/>
        <v>30</v>
      </c>
      <c r="AL75" s="102">
        <f>VLOOKUP($AE75,Usinas!$B$3:$F$241,5,FALSE)</f>
        <v>2</v>
      </c>
      <c r="AM75" s="102" t="str">
        <f>VLOOKUP($AE75,Usinas!$B$3:$H$241,7,FALSE)</f>
        <v>SUL</v>
      </c>
      <c r="AN75" s="102" t="str">
        <f>VLOOKUP($AE75,Usinas!$B$3:$D$241,3,FALSE)</f>
        <v>JACUÍ</v>
      </c>
      <c r="AP75" s="103">
        <v>55</v>
      </c>
      <c r="AQ75" s="103" t="str">
        <f>IF(BA75=1,VLOOKUP($AP75,Usinas!$B$3:$F$244,2,0),"")</f>
        <v/>
      </c>
      <c r="AR75" s="103" t="str">
        <f>IF(BA75=1,VLOOKUP($AP75,Usinas!$B$3:$F$241,3,0),"")</f>
        <v/>
      </c>
      <c r="AS75" s="103" t="str">
        <f>IF(BA75,VLOOKUP($AP75,Usinas!$B$3:$F$244,4,0),"")</f>
        <v/>
      </c>
      <c r="AT75" s="103" t="str">
        <f t="shared" si="39"/>
        <v/>
      </c>
      <c r="AU75" s="104" t="str">
        <f t="shared" si="123"/>
        <v/>
      </c>
      <c r="AV75" s="104" t="str">
        <f t="shared" si="123"/>
        <v/>
      </c>
      <c r="AW75" s="104" t="str">
        <f t="shared" si="123"/>
        <v/>
      </c>
      <c r="AX75" s="104" t="str">
        <f t="shared" si="123"/>
        <v/>
      </c>
      <c r="AY75" s="104" t="str">
        <f t="shared" si="123"/>
        <v/>
      </c>
      <c r="AZ75" s="104" t="str">
        <f t="shared" si="123"/>
        <v/>
      </c>
      <c r="BA75" s="103">
        <v>0</v>
      </c>
      <c r="BB75" s="103">
        <f t="shared" si="41"/>
        <v>0</v>
      </c>
      <c r="BC75" s="103" t="str">
        <f>IF(BA75=1,VLOOKUP($AP75,Usinas!$B$3:$H$244,7,0),"")</f>
        <v/>
      </c>
      <c r="BE75" s="113"/>
      <c r="BF75" s="118">
        <f>DATE(YEAR(BF74),MONTH(BF74),DAY(BF74)+6)</f>
        <v>45660</v>
      </c>
      <c r="BG75" s="118">
        <f t="shared" ref="BG75:BK75" si="127">DATE(YEAR(BG74),MONTH(BG74),DAY(BG74)+6)</f>
        <v>45667</v>
      </c>
      <c r="BH75" s="118">
        <f t="shared" si="127"/>
        <v>45674</v>
      </c>
      <c r="BI75" s="118">
        <f t="shared" si="127"/>
        <v>45681</v>
      </c>
      <c r="BJ75" s="118">
        <f t="shared" si="127"/>
        <v>45688</v>
      </c>
      <c r="BK75" s="119">
        <f t="shared" si="127"/>
        <v>45695</v>
      </c>
      <c r="BM75" s="105">
        <f t="shared" si="102"/>
        <v>57</v>
      </c>
      <c r="BN75" s="105">
        <f t="shared" si="103"/>
        <v>110</v>
      </c>
      <c r="BO75" s="151">
        <f>IF($BP$15=1,IFERROR(VLOOKUP(BN75,$BZ$20:CA238,2,0),0),VALUE(RIGHT(LEFT($B84,21),10)))</f>
        <v>31</v>
      </c>
      <c r="BP75" s="105">
        <f t="shared" si="104"/>
        <v>32</v>
      </c>
      <c r="BQ75" s="105">
        <f t="shared" si="105"/>
        <v>31</v>
      </c>
      <c r="BR75" s="105">
        <f t="shared" si="106"/>
        <v>31</v>
      </c>
      <c r="BS75" s="105">
        <f t="shared" si="107"/>
        <v>29</v>
      </c>
      <c r="BT75" s="105">
        <f t="shared" si="108"/>
        <v>25</v>
      </c>
      <c r="BU75" s="85"/>
      <c r="BV75" s="97" t="s">
        <v>331</v>
      </c>
      <c r="BW75" s="98">
        <f t="shared" si="113"/>
        <v>24</v>
      </c>
      <c r="BX75" s="97" t="str">
        <f t="shared" si="63"/>
        <v>PST 23</v>
      </c>
      <c r="BZ75" s="147">
        <v>50</v>
      </c>
      <c r="CA75" s="148">
        <v>345</v>
      </c>
      <c r="CB75" s="87"/>
      <c r="CC75" s="87"/>
      <c r="CF75" s="110"/>
      <c r="CG75" s="111"/>
      <c r="CH75" s="87"/>
      <c r="CI75" s="87"/>
      <c r="CJ75" s="87"/>
      <c r="CK75" s="87"/>
      <c r="CL75" s="87"/>
      <c r="CM75" s="87"/>
    </row>
    <row r="76" spans="2:91" ht="15.6" x14ac:dyDescent="0.3">
      <c r="B76" s="99" t="s">
        <v>745</v>
      </c>
      <c r="C76" s="99"/>
      <c r="D76" s="99"/>
      <c r="E76" s="99"/>
      <c r="F76" s="99"/>
      <c r="G76" s="99"/>
      <c r="H76" s="99"/>
      <c r="I76" s="43"/>
      <c r="J76" s="99" t="str">
        <f t="shared" si="115"/>
        <v xml:space="preserve">    49   97       203       221       197       157       162       165</v>
      </c>
      <c r="T76" s="42"/>
      <c r="U76" s="135"/>
      <c r="V76" s="191"/>
      <c r="W76" s="187">
        <v>99</v>
      </c>
      <c r="X76" s="187">
        <v>0.40210000000000001</v>
      </c>
      <c r="Z76" s="101">
        <v>56</v>
      </c>
      <c r="AA76" s="101">
        <v>0</v>
      </c>
      <c r="AB76" s="101">
        <v>0</v>
      </c>
      <c r="AD76" s="102">
        <f t="shared" si="28"/>
        <v>58</v>
      </c>
      <c r="AE76" s="102">
        <f t="shared" si="29"/>
        <v>111</v>
      </c>
      <c r="AF76" s="102">
        <f t="shared" si="95"/>
        <v>177</v>
      </c>
      <c r="AG76" s="102">
        <f t="shared" si="96"/>
        <v>179</v>
      </c>
      <c r="AH76" s="102">
        <f t="shared" si="97"/>
        <v>172</v>
      </c>
      <c r="AI76" s="102">
        <f t="shared" si="98"/>
        <v>175</v>
      </c>
      <c r="AJ76" s="102">
        <f t="shared" si="99"/>
        <v>157</v>
      </c>
      <c r="AK76" s="102">
        <f t="shared" si="100"/>
        <v>133</v>
      </c>
      <c r="AL76" s="102">
        <f>VLOOKUP($AE76,Usinas!$B$3:$F$241,5,FALSE)</f>
        <v>2</v>
      </c>
      <c r="AM76" s="102" t="str">
        <f>VLOOKUP($AE76,Usinas!$B$3:$H$241,7,FALSE)</f>
        <v>SUL</v>
      </c>
      <c r="AN76" s="102" t="str">
        <f>VLOOKUP($AE76,Usinas!$B$3:$D$241,3,FALSE)</f>
        <v>JACUÍ</v>
      </c>
      <c r="AP76" s="103">
        <v>56</v>
      </c>
      <c r="AQ76" s="103" t="str">
        <f>IF(BA76=1,VLOOKUP($AP76,Usinas!$B$3:$F$244,2,0),"")</f>
        <v/>
      </c>
      <c r="AR76" s="103" t="str">
        <f>IF(BA76=1,VLOOKUP($AP76,Usinas!$B$3:$F$241,3,0),"")</f>
        <v/>
      </c>
      <c r="AS76" s="103" t="str">
        <f>IF(BA76,VLOOKUP($AP76,Usinas!$B$3:$F$244,4,0),"")</f>
        <v/>
      </c>
      <c r="AT76" s="103" t="str">
        <f t="shared" si="39"/>
        <v/>
      </c>
      <c r="AU76" s="104" t="str">
        <f t="shared" si="123"/>
        <v/>
      </c>
      <c r="AV76" s="104" t="str">
        <f t="shared" si="123"/>
        <v/>
      </c>
      <c r="AW76" s="104" t="str">
        <f t="shared" si="123"/>
        <v/>
      </c>
      <c r="AX76" s="104" t="str">
        <f t="shared" si="123"/>
        <v/>
      </c>
      <c r="AY76" s="104" t="str">
        <f t="shared" si="123"/>
        <v/>
      </c>
      <c r="AZ76" s="104" t="str">
        <f t="shared" si="123"/>
        <v/>
      </c>
      <c r="BA76" s="103">
        <f t="shared" si="40"/>
        <v>0</v>
      </c>
      <c r="BB76" s="103">
        <f t="shared" si="41"/>
        <v>0</v>
      </c>
      <c r="BC76" s="103" t="str">
        <f>IF(BA76=1,VLOOKUP($AP76,Usinas!$B$3:$H$244,7,0),"")</f>
        <v/>
      </c>
      <c r="BE76" s="113"/>
      <c r="BF76" s="118">
        <f>DATE(YEAR(BF75),MONTH(BF75),1)</f>
        <v>45658</v>
      </c>
      <c r="BG76" s="118">
        <f t="shared" ref="BG76:BK76" si="128">DATE(YEAR(BG75),MONTH(BG75),1)</f>
        <v>45658</v>
      </c>
      <c r="BH76" s="118">
        <f t="shared" si="128"/>
        <v>45658</v>
      </c>
      <c r="BI76" s="118">
        <f t="shared" si="128"/>
        <v>45658</v>
      </c>
      <c r="BJ76" s="118">
        <f t="shared" si="128"/>
        <v>45658</v>
      </c>
      <c r="BK76" s="119">
        <f t="shared" si="128"/>
        <v>45689</v>
      </c>
      <c r="BM76" s="105">
        <f t="shared" si="102"/>
        <v>58</v>
      </c>
      <c r="BN76" s="105">
        <f t="shared" si="103"/>
        <v>111</v>
      </c>
      <c r="BO76" s="151">
        <f>IF($BP$15=1,IFERROR(VLOOKUP(BN76,$BZ$20:CA239,2,0),0),VALUE(RIGHT(LEFT($B85,21),10)))</f>
        <v>149</v>
      </c>
      <c r="BP76" s="105">
        <f t="shared" si="104"/>
        <v>151</v>
      </c>
      <c r="BQ76" s="105">
        <f t="shared" si="105"/>
        <v>145</v>
      </c>
      <c r="BR76" s="105">
        <f t="shared" si="106"/>
        <v>148</v>
      </c>
      <c r="BS76" s="105">
        <f t="shared" si="107"/>
        <v>132</v>
      </c>
      <c r="BT76" s="105">
        <f t="shared" si="108"/>
        <v>112</v>
      </c>
      <c r="BU76" s="85"/>
      <c r="BV76" s="97" t="s">
        <v>331</v>
      </c>
      <c r="BW76" s="98">
        <f t="shared" si="113"/>
        <v>25</v>
      </c>
      <c r="BX76" s="97" t="str">
        <f t="shared" si="63"/>
        <v>PST 24</v>
      </c>
      <c r="BZ76" s="147">
        <v>51</v>
      </c>
      <c r="CA76" s="148">
        <v>351</v>
      </c>
      <c r="CB76" s="87"/>
      <c r="CC76" s="87"/>
      <c r="CF76" s="110"/>
      <c r="CG76" s="111"/>
      <c r="CH76" s="87"/>
      <c r="CI76" s="87"/>
      <c r="CJ76" s="87"/>
      <c r="CK76" s="87"/>
      <c r="CL76" s="87"/>
      <c r="CM76" s="87"/>
    </row>
    <row r="77" spans="2:91" ht="15.6" x14ac:dyDescent="0.3">
      <c r="B77" s="99" t="s">
        <v>746</v>
      </c>
      <c r="C77" s="99"/>
      <c r="D77" s="99"/>
      <c r="E77" s="99"/>
      <c r="F77" s="99"/>
      <c r="G77" s="99"/>
      <c r="H77" s="99"/>
      <c r="I77" s="43"/>
      <c r="J77" s="99" t="str">
        <f t="shared" si="115"/>
        <v xml:space="preserve">    50   98       136       140       127        92       104       102</v>
      </c>
      <c r="T77" s="42"/>
      <c r="U77" s="135"/>
      <c r="V77" s="191"/>
      <c r="W77" s="187">
        <v>101</v>
      </c>
      <c r="X77" s="187">
        <v>1.7641</v>
      </c>
      <c r="Z77" s="101">
        <v>57</v>
      </c>
      <c r="AA77" s="101">
        <v>1</v>
      </c>
      <c r="AB77" s="101">
        <v>1.0494000000000001</v>
      </c>
      <c r="AD77" s="102">
        <f t="shared" si="28"/>
        <v>59</v>
      </c>
      <c r="AE77" s="102">
        <f t="shared" si="29"/>
        <v>112</v>
      </c>
      <c r="AF77" s="102">
        <f t="shared" si="95"/>
        <v>178</v>
      </c>
      <c r="AG77" s="102">
        <f t="shared" si="96"/>
        <v>181</v>
      </c>
      <c r="AH77" s="102">
        <f t="shared" si="97"/>
        <v>174</v>
      </c>
      <c r="AI77" s="102">
        <f t="shared" si="98"/>
        <v>178</v>
      </c>
      <c r="AJ77" s="102">
        <f t="shared" si="99"/>
        <v>158</v>
      </c>
      <c r="AK77" s="102">
        <f t="shared" si="100"/>
        <v>134</v>
      </c>
      <c r="AL77" s="102">
        <f>VLOOKUP($AE77,Usinas!$B$3:$F$241,5,FALSE)</f>
        <v>2</v>
      </c>
      <c r="AM77" s="102" t="str">
        <f>VLOOKUP($AE77,Usinas!$B$3:$H$241,7,FALSE)</f>
        <v>SUL</v>
      </c>
      <c r="AN77" s="102" t="str">
        <f>VLOOKUP($AE77,Usinas!$B$3:$D$241,3,FALSE)</f>
        <v>JACUÍ</v>
      </c>
      <c r="AP77" s="103">
        <v>57</v>
      </c>
      <c r="AQ77" s="103" t="str">
        <f>IF(BA77=1,VLOOKUP($AP77,Usinas!$B$3:$F$244,2,0),"")</f>
        <v>MAUÁ</v>
      </c>
      <c r="AR77" s="103" t="str">
        <f>IF(BA77=1,VLOOKUP($AP77,Usinas!$B$3:$F$241,3,0),"")</f>
        <v>PARANAPANEMA (S)</v>
      </c>
      <c r="AS77" s="103" t="str">
        <f>IF(BA77,VLOOKUP($AP77,Usinas!$B$3:$F$244,4,0),"")</f>
        <v>SUL</v>
      </c>
      <c r="AT77" s="103">
        <f t="shared" si="39"/>
        <v>1.0494000000000001</v>
      </c>
      <c r="AU77" s="104">
        <f t="shared" si="123"/>
        <v>314.82000000000005</v>
      </c>
      <c r="AV77" s="104">
        <f t="shared" si="123"/>
        <v>350.49960000000004</v>
      </c>
      <c r="AW77" s="104">
        <f t="shared" si="123"/>
        <v>383.03100000000006</v>
      </c>
      <c r="AX77" s="104">
        <f t="shared" si="123"/>
        <v>404.01900000000006</v>
      </c>
      <c r="AY77" s="104">
        <f t="shared" si="123"/>
        <v>396.67320000000007</v>
      </c>
      <c r="AZ77" s="104">
        <f t="shared" si="123"/>
        <v>353.64780000000002</v>
      </c>
      <c r="BA77" s="103">
        <f t="shared" si="40"/>
        <v>1</v>
      </c>
      <c r="BB77" s="103">
        <f t="shared" si="41"/>
        <v>0</v>
      </c>
      <c r="BC77" s="103" t="str">
        <f>IF(BA77=1,VLOOKUP($AP77,Usinas!$B$3:$H$244,7,0),"")</f>
        <v>IGUACU</v>
      </c>
      <c r="BE77" s="113"/>
      <c r="BF77" s="42">
        <f>IF(BF76-BF74&gt;=0,BF76-BF74,0)</f>
        <v>4</v>
      </c>
      <c r="BG77" s="42">
        <f t="shared" ref="BG77:BK77" si="129">IF(BG76-BG74&gt;=0,BG76-BG74,0)</f>
        <v>0</v>
      </c>
      <c r="BH77" s="42">
        <f t="shared" si="129"/>
        <v>0</v>
      </c>
      <c r="BI77" s="42">
        <f t="shared" si="129"/>
        <v>0</v>
      </c>
      <c r="BJ77" s="42">
        <f t="shared" si="129"/>
        <v>0</v>
      </c>
      <c r="BK77" s="114">
        <f t="shared" si="129"/>
        <v>0</v>
      </c>
      <c r="BM77" s="105">
        <f t="shared" si="102"/>
        <v>59</v>
      </c>
      <c r="BN77" s="105">
        <f t="shared" si="103"/>
        <v>112</v>
      </c>
      <c r="BO77" s="151">
        <f>IF($BP$15=1,IFERROR(VLOOKUP(BN77,$BZ$20:CA240,2,0),0),VALUE(RIGHT(LEFT($B86,21),10)))</f>
        <v>150</v>
      </c>
      <c r="BP77" s="105">
        <f t="shared" si="104"/>
        <v>153</v>
      </c>
      <c r="BQ77" s="105">
        <f t="shared" si="105"/>
        <v>147</v>
      </c>
      <c r="BR77" s="105">
        <f t="shared" si="106"/>
        <v>150</v>
      </c>
      <c r="BS77" s="105">
        <f t="shared" si="107"/>
        <v>133</v>
      </c>
      <c r="BT77" s="105">
        <f t="shared" si="108"/>
        <v>113</v>
      </c>
      <c r="BU77" s="85"/>
      <c r="BV77" s="97" t="s">
        <v>331</v>
      </c>
      <c r="BW77" s="98">
        <f t="shared" si="113"/>
        <v>28</v>
      </c>
      <c r="BX77" s="97" t="str">
        <f t="shared" si="63"/>
        <v>PST 25</v>
      </c>
      <c r="BZ77" s="147">
        <v>52</v>
      </c>
      <c r="CA77" s="148">
        <v>365</v>
      </c>
      <c r="CB77" s="87"/>
      <c r="CC77" s="87"/>
      <c r="CF77" s="110"/>
      <c r="CG77" s="111"/>
      <c r="CH77" s="87"/>
      <c r="CI77" s="87"/>
      <c r="CJ77" s="87"/>
      <c r="CK77" s="87"/>
      <c r="CL77" s="87"/>
      <c r="CM77" s="87"/>
    </row>
    <row r="78" spans="2:91" ht="15.6" x14ac:dyDescent="0.3">
      <c r="B78" s="99" t="s">
        <v>861</v>
      </c>
      <c r="C78" s="99"/>
      <c r="D78" s="99"/>
      <c r="E78" s="99"/>
      <c r="F78" s="99"/>
      <c r="G78" s="99"/>
      <c r="H78" s="99"/>
      <c r="I78" s="43"/>
      <c r="J78" s="99" t="str">
        <f t="shared" si="115"/>
        <v xml:space="preserve">    51   99        93        94        98        98       101       102</v>
      </c>
      <c r="T78" s="42"/>
      <c r="U78" s="135"/>
      <c r="V78" s="191"/>
      <c r="W78" s="187">
        <v>102</v>
      </c>
      <c r="X78" s="187">
        <v>0.18779999999999999</v>
      </c>
      <c r="Z78" s="101">
        <v>58</v>
      </c>
      <c r="AA78" s="101">
        <v>0</v>
      </c>
      <c r="AB78" s="101">
        <v>0</v>
      </c>
      <c r="AD78" s="102">
        <f t="shared" si="28"/>
        <v>60</v>
      </c>
      <c r="AE78" s="102">
        <f t="shared" si="29"/>
        <v>113</v>
      </c>
      <c r="AF78" s="102">
        <f t="shared" si="95"/>
        <v>216</v>
      </c>
      <c r="AG78" s="102">
        <f t="shared" si="96"/>
        <v>236</v>
      </c>
      <c r="AH78" s="102">
        <f t="shared" si="97"/>
        <v>219</v>
      </c>
      <c r="AI78" s="102">
        <f t="shared" si="98"/>
        <v>240</v>
      </c>
      <c r="AJ78" s="102">
        <f t="shared" si="99"/>
        <v>190</v>
      </c>
      <c r="AK78" s="102">
        <f t="shared" si="100"/>
        <v>157</v>
      </c>
      <c r="AL78" s="102">
        <f>VLOOKUP($AE78,Usinas!$B$3:$F$241,5,FALSE)</f>
        <v>2</v>
      </c>
      <c r="AM78" s="102" t="str">
        <f>VLOOKUP($AE78,Usinas!$B$3:$H$241,7,FALSE)</f>
        <v>SUL</v>
      </c>
      <c r="AN78" s="102" t="str">
        <f>VLOOKUP($AE78,Usinas!$B$3:$D$241,3,FALSE)</f>
        <v>JACUÍ</v>
      </c>
      <c r="AP78" s="103">
        <v>58</v>
      </c>
      <c r="AQ78" s="103" t="str">
        <f>IF(BA78=1,VLOOKUP($AP78,Usinas!$B$3:$F$244,2,0),"")</f>
        <v/>
      </c>
      <c r="AR78" s="103" t="str">
        <f>IF(BA78=1,VLOOKUP($AP78,Usinas!$B$3:$F$241,3,0),"")</f>
        <v/>
      </c>
      <c r="AS78" s="103" t="str">
        <f>IF(BA78,VLOOKUP($AP78,Usinas!$B$3:$F$244,4,0),"")</f>
        <v/>
      </c>
      <c r="AT78" s="103" t="str">
        <f t="shared" si="39"/>
        <v/>
      </c>
      <c r="AU78" s="104" t="str">
        <f t="shared" si="123"/>
        <v/>
      </c>
      <c r="AV78" s="104" t="str">
        <f t="shared" si="123"/>
        <v/>
      </c>
      <c r="AW78" s="104" t="str">
        <f t="shared" si="123"/>
        <v/>
      </c>
      <c r="AX78" s="104" t="str">
        <f t="shared" si="123"/>
        <v/>
      </c>
      <c r="AY78" s="104" t="str">
        <f t="shared" si="123"/>
        <v/>
      </c>
      <c r="AZ78" s="104" t="str">
        <f t="shared" si="123"/>
        <v/>
      </c>
      <c r="BA78" s="103">
        <f t="shared" si="40"/>
        <v>0</v>
      </c>
      <c r="BB78" s="103">
        <f t="shared" si="41"/>
        <v>0</v>
      </c>
      <c r="BC78" s="103" t="str">
        <f>IF(BA78=1,VLOOKUP($AP78,Usinas!$B$3:$H$244,7,0),"")</f>
        <v/>
      </c>
      <c r="BE78" s="120"/>
      <c r="BF78" s="121">
        <f>IF(BF75-BF76+1&gt;7,7,BF75-BF76+1)</f>
        <v>3</v>
      </c>
      <c r="BG78" s="121">
        <f t="shared" ref="BG78:BK78" si="130">IF(BG75-BG76+1&gt;7,7,BG75-BG76+1)</f>
        <v>7</v>
      </c>
      <c r="BH78" s="121">
        <f t="shared" si="130"/>
        <v>7</v>
      </c>
      <c r="BI78" s="121">
        <f t="shared" si="130"/>
        <v>7</v>
      </c>
      <c r="BJ78" s="121">
        <f t="shared" si="130"/>
        <v>7</v>
      </c>
      <c r="BK78" s="122">
        <f t="shared" si="130"/>
        <v>7</v>
      </c>
      <c r="BM78" s="105">
        <f t="shared" si="102"/>
        <v>60</v>
      </c>
      <c r="BN78" s="105">
        <f t="shared" si="103"/>
        <v>113</v>
      </c>
      <c r="BO78" s="151">
        <f>IF($BP$15=1,IFERROR(VLOOKUP(BN78,$BZ$20:CA241,2,0),0),VALUE(RIGHT(LEFT($B87,21),10)))</f>
        <v>182</v>
      </c>
      <c r="BP78" s="105">
        <f t="shared" si="104"/>
        <v>199</v>
      </c>
      <c r="BQ78" s="105">
        <f t="shared" si="105"/>
        <v>185</v>
      </c>
      <c r="BR78" s="105">
        <f t="shared" si="106"/>
        <v>202</v>
      </c>
      <c r="BS78" s="105">
        <f t="shared" si="107"/>
        <v>160</v>
      </c>
      <c r="BT78" s="105">
        <f t="shared" si="108"/>
        <v>132</v>
      </c>
      <c r="BU78" s="85"/>
      <c r="BV78" s="97" t="s">
        <v>331</v>
      </c>
      <c r="BW78" s="98">
        <f t="shared" si="113"/>
        <v>31</v>
      </c>
      <c r="BX78" s="97" t="str">
        <f t="shared" si="63"/>
        <v>PST 28</v>
      </c>
      <c r="BZ78" s="147">
        <v>57</v>
      </c>
      <c r="CA78" s="148">
        <v>124</v>
      </c>
      <c r="CB78" s="87"/>
      <c r="CC78" s="87"/>
      <c r="CF78" s="110"/>
      <c r="CG78" s="111"/>
      <c r="CH78" s="87"/>
      <c r="CI78" s="87"/>
      <c r="CJ78" s="87"/>
      <c r="CK78" s="87"/>
      <c r="CL78" s="87"/>
      <c r="CM78" s="87"/>
    </row>
    <row r="79" spans="2:91" ht="15.6" x14ac:dyDescent="0.3">
      <c r="B79" s="99" t="s">
        <v>747</v>
      </c>
      <c r="C79" s="99"/>
      <c r="D79" s="99"/>
      <c r="E79" s="99"/>
      <c r="F79" s="99"/>
      <c r="G79" s="99"/>
      <c r="H79" s="99"/>
      <c r="I79" s="43"/>
      <c r="J79" s="99" t="str">
        <f t="shared" si="115"/>
        <v xml:space="preserve">    52  101       140       145       202       184       162       130</v>
      </c>
      <c r="T79" s="42"/>
      <c r="U79" s="135"/>
      <c r="V79" s="191"/>
      <c r="W79" s="187">
        <v>103</v>
      </c>
      <c r="X79" s="187">
        <v>0.2545</v>
      </c>
      <c r="Z79" s="101">
        <v>59</v>
      </c>
      <c r="AA79" s="101">
        <v>0</v>
      </c>
      <c r="AB79" s="101">
        <v>0</v>
      </c>
      <c r="AD79" s="102">
        <f t="shared" si="28"/>
        <v>61</v>
      </c>
      <c r="AE79" s="102">
        <f t="shared" si="29"/>
        <v>114</v>
      </c>
      <c r="AF79" s="102">
        <f t="shared" si="95"/>
        <v>257</v>
      </c>
      <c r="AG79" s="102">
        <f t="shared" si="96"/>
        <v>296</v>
      </c>
      <c r="AH79" s="102">
        <f t="shared" si="97"/>
        <v>269</v>
      </c>
      <c r="AI79" s="102">
        <f t="shared" si="98"/>
        <v>306</v>
      </c>
      <c r="AJ79" s="102">
        <f t="shared" si="99"/>
        <v>224</v>
      </c>
      <c r="AK79" s="102">
        <f t="shared" si="100"/>
        <v>179</v>
      </c>
      <c r="AL79" s="102">
        <f>VLOOKUP($AE79,Usinas!$B$3:$F$241,5,FALSE)</f>
        <v>2</v>
      </c>
      <c r="AM79" s="102" t="str">
        <f>VLOOKUP($AE79,Usinas!$B$3:$H$241,7,FALSE)</f>
        <v>SUL</v>
      </c>
      <c r="AN79" s="102" t="str">
        <f>VLOOKUP($AE79,Usinas!$B$3:$D$241,3,FALSE)</f>
        <v>JACUÍ</v>
      </c>
      <c r="AP79" s="103">
        <v>59</v>
      </c>
      <c r="AQ79" s="103" t="str">
        <f>IF(BA79=1,VLOOKUP($AP79,Usinas!$B$3:$F$244,2,0),"")</f>
        <v/>
      </c>
      <c r="AR79" s="103" t="str">
        <f>IF(BA79=1,VLOOKUP($AP79,Usinas!$B$3:$F$241,3,0),"")</f>
        <v/>
      </c>
      <c r="AS79" s="103" t="str">
        <f>IF(BA79,VLOOKUP($AP79,Usinas!$B$3:$F$244,4,0),"")</f>
        <v/>
      </c>
      <c r="AT79" s="103" t="str">
        <f t="shared" si="39"/>
        <v/>
      </c>
      <c r="AU79" s="104" t="str">
        <f t="shared" si="123"/>
        <v/>
      </c>
      <c r="AV79" s="104" t="str">
        <f t="shared" si="123"/>
        <v/>
      </c>
      <c r="AW79" s="104" t="str">
        <f t="shared" si="123"/>
        <v/>
      </c>
      <c r="AX79" s="104" t="str">
        <f t="shared" si="123"/>
        <v/>
      </c>
      <c r="AY79" s="104" t="str">
        <f t="shared" si="123"/>
        <v/>
      </c>
      <c r="AZ79" s="104" t="str">
        <f t="shared" si="123"/>
        <v/>
      </c>
      <c r="BA79" s="103">
        <f t="shared" si="40"/>
        <v>0</v>
      </c>
      <c r="BB79" s="103">
        <f t="shared" si="41"/>
        <v>0</v>
      </c>
      <c r="BC79" s="103" t="str">
        <f>IF(BA79=1,VLOOKUP($AP79,Usinas!$B$3:$H$244,7,0),"")</f>
        <v/>
      </c>
      <c r="BM79" s="105">
        <f t="shared" si="102"/>
        <v>61</v>
      </c>
      <c r="BN79" s="105">
        <f t="shared" si="103"/>
        <v>114</v>
      </c>
      <c r="BO79" s="151">
        <f>IF($BP$15=1,BO82-BO81,VALUE(RIGHT(LEFT($B88,21),10)))</f>
        <v>217</v>
      </c>
      <c r="BP79" s="105">
        <f t="shared" si="104"/>
        <v>250</v>
      </c>
      <c r="BQ79" s="105">
        <f t="shared" si="105"/>
        <v>227</v>
      </c>
      <c r="BR79" s="105">
        <f t="shared" si="106"/>
        <v>258</v>
      </c>
      <c r="BS79" s="105">
        <f t="shared" si="107"/>
        <v>189</v>
      </c>
      <c r="BT79" s="105">
        <f t="shared" si="108"/>
        <v>151</v>
      </c>
      <c r="BU79" s="85"/>
      <c r="BV79" s="97" t="s">
        <v>331</v>
      </c>
      <c r="BW79" s="98">
        <f t="shared" si="113"/>
        <v>32</v>
      </c>
      <c r="BX79" s="97" t="str">
        <f t="shared" si="63"/>
        <v>PST 31</v>
      </c>
      <c r="BZ79" s="147">
        <v>61</v>
      </c>
      <c r="CA79" s="148">
        <v>808</v>
      </c>
      <c r="CB79" s="87"/>
      <c r="CC79" s="87"/>
      <c r="CF79" s="110"/>
      <c r="CG79" s="111"/>
      <c r="CH79" s="87"/>
      <c r="CI79" s="87"/>
      <c r="CJ79" s="87"/>
      <c r="CK79" s="87"/>
      <c r="CL79" s="87"/>
      <c r="CM79" s="87"/>
    </row>
    <row r="80" spans="2:91" ht="15.6" x14ac:dyDescent="0.3">
      <c r="B80" s="99" t="s">
        <v>748</v>
      </c>
      <c r="C80" s="99"/>
      <c r="D80" s="99"/>
      <c r="E80" s="99"/>
      <c r="F80" s="99"/>
      <c r="G80" s="99"/>
      <c r="H80" s="99"/>
      <c r="I80" s="43"/>
      <c r="J80" s="99" t="str">
        <f t="shared" si="115"/>
        <v xml:space="preserve">    53  102       321       311       311       323       306       234</v>
      </c>
      <c r="T80" s="42"/>
      <c r="U80" s="135"/>
      <c r="V80" s="191"/>
      <c r="W80" s="187">
        <v>110</v>
      </c>
      <c r="X80" s="187">
        <v>0</v>
      </c>
      <c r="Z80" s="101">
        <v>60</v>
      </c>
      <c r="AA80" s="101">
        <v>0</v>
      </c>
      <c r="AB80" s="101">
        <v>0</v>
      </c>
      <c r="AD80" s="102">
        <f t="shared" si="28"/>
        <v>62</v>
      </c>
      <c r="AE80" s="102">
        <f t="shared" si="29"/>
        <v>115</v>
      </c>
      <c r="AF80" s="102">
        <f t="shared" si="95"/>
        <v>19</v>
      </c>
      <c r="AG80" s="102">
        <f t="shared" si="96"/>
        <v>18</v>
      </c>
      <c r="AH80" s="102">
        <f t="shared" si="97"/>
        <v>21</v>
      </c>
      <c r="AI80" s="102">
        <f t="shared" si="98"/>
        <v>21</v>
      </c>
      <c r="AJ80" s="102">
        <f t="shared" si="99"/>
        <v>23</v>
      </c>
      <c r="AK80" s="102">
        <f t="shared" si="100"/>
        <v>18</v>
      </c>
      <c r="AL80" s="102">
        <f>VLOOKUP($AE80,Usinas!$B$3:$F$241,5,FALSE)</f>
        <v>2</v>
      </c>
      <c r="AM80" s="102" t="str">
        <f>VLOOKUP($AE80,Usinas!$B$3:$H$241,7,FALSE)</f>
        <v>SUL</v>
      </c>
      <c r="AN80" s="102" t="str">
        <f>VLOOKUP($AE80,Usinas!$B$3:$D$241,3,FALSE)</f>
        <v>CAPIVARI</v>
      </c>
      <c r="AP80" s="103">
        <v>60</v>
      </c>
      <c r="AQ80" s="103" t="str">
        <f>IF(BA80=1,VLOOKUP($AP80,Usinas!$B$3:$F$244,2,0),"")</f>
        <v/>
      </c>
      <c r="AR80" s="103" t="str">
        <f>IF(BA80=1,VLOOKUP($AP80,Usinas!$B$3:$F$241,3,0),"")</f>
        <v/>
      </c>
      <c r="AS80" s="103" t="str">
        <f>IF(BA80,VLOOKUP($AP80,Usinas!$B$3:$F$244,4,0),"")</f>
        <v/>
      </c>
      <c r="AT80" s="103" t="str">
        <f t="shared" si="39"/>
        <v/>
      </c>
      <c r="AU80" s="104" t="str">
        <f t="shared" si="123"/>
        <v/>
      </c>
      <c r="AV80" s="104" t="str">
        <f t="shared" si="123"/>
        <v/>
      </c>
      <c r="AW80" s="104" t="str">
        <f t="shared" si="123"/>
        <v/>
      </c>
      <c r="AX80" s="104" t="str">
        <f t="shared" si="123"/>
        <v/>
      </c>
      <c r="AY80" s="104" t="str">
        <f t="shared" si="123"/>
        <v/>
      </c>
      <c r="AZ80" s="104" t="str">
        <f t="shared" si="123"/>
        <v/>
      </c>
      <c r="BA80" s="103">
        <f t="shared" si="40"/>
        <v>0</v>
      </c>
      <c r="BB80" s="103">
        <f t="shared" si="41"/>
        <v>0</v>
      </c>
      <c r="BC80" s="103" t="str">
        <f>IF(BA80=1,VLOOKUP($AP80,Usinas!$B$3:$H$244,7,0),"")</f>
        <v/>
      </c>
      <c r="BE80" s="43"/>
      <c r="BM80" s="105">
        <f t="shared" si="102"/>
        <v>62</v>
      </c>
      <c r="BN80" s="105">
        <f t="shared" si="103"/>
        <v>115</v>
      </c>
      <c r="BO80" s="151">
        <f>IF($BP$15=1,IFERROR(VLOOKUP(BN80,$BZ$20:CA243,2,0),0),VALUE(RIGHT(LEFT($B89,21),10)))</f>
        <v>16</v>
      </c>
      <c r="BP80" s="105">
        <f t="shared" si="104"/>
        <v>15</v>
      </c>
      <c r="BQ80" s="105">
        <f t="shared" si="105"/>
        <v>18</v>
      </c>
      <c r="BR80" s="105">
        <f t="shared" si="106"/>
        <v>18</v>
      </c>
      <c r="BS80" s="105">
        <f t="shared" si="107"/>
        <v>19</v>
      </c>
      <c r="BT80" s="105">
        <f t="shared" si="108"/>
        <v>15</v>
      </c>
      <c r="BU80" s="85"/>
      <c r="BV80" s="97" t="s">
        <v>331</v>
      </c>
      <c r="BW80" s="98">
        <f t="shared" si="113"/>
        <v>33</v>
      </c>
      <c r="BX80" s="97" t="str">
        <f t="shared" si="63"/>
        <v>PST 32</v>
      </c>
      <c r="BZ80" s="147">
        <v>62</v>
      </c>
      <c r="CA80" s="148">
        <v>856</v>
      </c>
      <c r="CB80" s="87"/>
      <c r="CC80" s="87"/>
      <c r="CF80" s="110"/>
      <c r="CG80" s="111"/>
      <c r="CH80" s="87"/>
      <c r="CI80" s="87"/>
      <c r="CJ80" s="87"/>
      <c r="CK80" s="87"/>
      <c r="CL80" s="87"/>
      <c r="CM80" s="87"/>
    </row>
    <row r="81" spans="2:91" ht="15.6" x14ac:dyDescent="0.3">
      <c r="B81" s="99" t="s">
        <v>749</v>
      </c>
      <c r="C81" s="99"/>
      <c r="D81" s="99"/>
      <c r="E81" s="99"/>
      <c r="F81" s="99"/>
      <c r="G81" s="99"/>
      <c r="H81" s="99"/>
      <c r="I81" s="43"/>
      <c r="J81" s="99" t="str">
        <f t="shared" si="115"/>
        <v xml:space="preserve">    54  103       336       324       324       332       319       247</v>
      </c>
      <c r="T81" s="42"/>
      <c r="U81" s="135"/>
      <c r="V81" s="191"/>
      <c r="W81" s="187">
        <v>111</v>
      </c>
      <c r="X81" s="187">
        <v>0.36820000000000003</v>
      </c>
      <c r="Z81" s="101">
        <v>61</v>
      </c>
      <c r="AA81" s="101">
        <v>1</v>
      </c>
      <c r="AB81" s="101">
        <v>0.37440000000000001</v>
      </c>
      <c r="AD81" s="102">
        <f t="shared" si="28"/>
        <v>63</v>
      </c>
      <c r="AE81" s="102">
        <f t="shared" si="29"/>
        <v>116</v>
      </c>
      <c r="AF81" s="102">
        <f t="shared" si="95"/>
        <v>8</v>
      </c>
      <c r="AG81" s="102">
        <f t="shared" si="96"/>
        <v>11</v>
      </c>
      <c r="AH81" s="102">
        <f t="shared" si="97"/>
        <v>12</v>
      </c>
      <c r="AI81" s="102">
        <f t="shared" si="98"/>
        <v>11</v>
      </c>
      <c r="AJ81" s="102">
        <f t="shared" si="99"/>
        <v>12</v>
      </c>
      <c r="AK81" s="102">
        <f t="shared" si="100"/>
        <v>10</v>
      </c>
      <c r="AL81" s="102">
        <f>VLOOKUP($AE81,Usinas!$B$3:$F$241,5,FALSE)</f>
        <v>1</v>
      </c>
      <c r="AM81" s="102" t="str">
        <f>VLOOKUP($AE81,Usinas!$B$3:$H$241,7,FALSE)</f>
        <v>SUDESTE</v>
      </c>
      <c r="AN81" s="102" t="str">
        <f>VLOOKUP($AE81,Usinas!$B$3:$D$241,3,FALSE)</f>
        <v>ALTO TIETÊ</v>
      </c>
      <c r="AP81" s="103">
        <v>61</v>
      </c>
      <c r="AQ81" s="103" t="str">
        <f>IF(BA81=1,VLOOKUP($AP81,Usinas!$B$3:$F$244,2,0),"")</f>
        <v>CAPIVARA</v>
      </c>
      <c r="AR81" s="103" t="str">
        <f>IF(BA81=1,VLOOKUP($AP81,Usinas!$B$3:$F$241,3,0),"")</f>
        <v>PARANAPANEMA (SE)</v>
      </c>
      <c r="AS81" s="103" t="str">
        <f>IF(BA81,VLOOKUP($AP81,Usinas!$B$3:$F$244,4,0),"")</f>
        <v>SUDESTE</v>
      </c>
      <c r="AT81" s="103">
        <f t="shared" si="39"/>
        <v>0.37440000000000001</v>
      </c>
      <c r="AU81" s="104">
        <f t="shared" ref="AU81:AZ90" si="131">IF($BA81=1,IFERROR(VLOOKUP($AP81,$AE$21:$AK$211,AU$19,0),VLOOKUP($AP81,$BE$21:$BK$65,AU$19,0))*$AT81,"")</f>
        <v>470.24639999999999</v>
      </c>
      <c r="AV81" s="104">
        <f t="shared" si="131"/>
        <v>537.26400000000001</v>
      </c>
      <c r="AW81" s="104">
        <f t="shared" si="131"/>
        <v>699.00480000000005</v>
      </c>
      <c r="AX81" s="104">
        <f t="shared" si="131"/>
        <v>719.22239999999999</v>
      </c>
      <c r="AY81" s="104">
        <f t="shared" si="131"/>
        <v>725.58720000000005</v>
      </c>
      <c r="AZ81" s="104">
        <f t="shared" si="131"/>
        <v>738.31680000000006</v>
      </c>
      <c r="BA81" s="103">
        <f t="shared" si="40"/>
        <v>1</v>
      </c>
      <c r="BB81" s="103">
        <f t="shared" si="41"/>
        <v>0</v>
      </c>
      <c r="BC81" s="103" t="str">
        <f>IF(BA81=1,VLOOKUP($AP81,Usinas!$B$3:$H$244,7,0),"")</f>
        <v>PRNPANEMA</v>
      </c>
      <c r="BE81" s="136" t="s">
        <v>713</v>
      </c>
      <c r="BF81" s="125" t="s">
        <v>714</v>
      </c>
      <c r="BM81" s="105">
        <f t="shared" si="102"/>
        <v>63</v>
      </c>
      <c r="BN81" s="105">
        <f t="shared" si="103"/>
        <v>116</v>
      </c>
      <c r="BO81" s="151">
        <f>IF($BP$15=1,IFERROR(VLOOKUP(BN81,$BZ$20:CA244,2,0),0),VALUE(RIGHT(LEFT($B90,21),10)))</f>
        <v>6</v>
      </c>
      <c r="BP81" s="105">
        <f t="shared" si="104"/>
        <v>8</v>
      </c>
      <c r="BQ81" s="105">
        <f t="shared" si="105"/>
        <v>9</v>
      </c>
      <c r="BR81" s="105">
        <f t="shared" si="106"/>
        <v>8</v>
      </c>
      <c r="BS81" s="105">
        <f t="shared" si="107"/>
        <v>9</v>
      </c>
      <c r="BT81" s="105">
        <f t="shared" si="108"/>
        <v>7</v>
      </c>
      <c r="BU81" s="85"/>
      <c r="BV81" s="97" t="s">
        <v>331</v>
      </c>
      <c r="BW81" s="98">
        <f t="shared" si="113"/>
        <v>34</v>
      </c>
      <c r="BX81" s="97" t="str">
        <f t="shared" si="63"/>
        <v>PST 33</v>
      </c>
      <c r="BZ81" s="147">
        <v>63</v>
      </c>
      <c r="CA81" s="148">
        <v>988</v>
      </c>
      <c r="CB81" s="87"/>
      <c r="CC81" s="87"/>
      <c r="CF81" s="110"/>
      <c r="CG81" s="111"/>
      <c r="CH81" s="87"/>
      <c r="CI81" s="87"/>
      <c r="CJ81" s="87"/>
      <c r="CK81" s="87"/>
      <c r="CL81" s="87"/>
      <c r="CM81" s="87"/>
    </row>
    <row r="82" spans="2:91" ht="15.6" x14ac:dyDescent="0.3">
      <c r="B82" s="99" t="s">
        <v>750</v>
      </c>
      <c r="C82" s="99"/>
      <c r="D82" s="99"/>
      <c r="E82" s="99"/>
      <c r="F82" s="99"/>
      <c r="G82" s="99"/>
      <c r="H82" s="99"/>
      <c r="I82" s="43"/>
      <c r="J82" s="99" t="str">
        <f t="shared" si="115"/>
        <v xml:space="preserve">    55  104        59        78        87        78        93        82</v>
      </c>
      <c r="T82" s="42"/>
      <c r="U82" s="135"/>
      <c r="V82" s="191"/>
      <c r="W82" s="187">
        <v>112</v>
      </c>
      <c r="X82" s="187">
        <v>0.79510000000000003</v>
      </c>
      <c r="Z82" s="101">
        <v>62</v>
      </c>
      <c r="AA82" s="101">
        <v>1</v>
      </c>
      <c r="AB82" s="101">
        <v>0.22209999999999999</v>
      </c>
      <c r="AD82" s="102">
        <f t="shared" si="28"/>
        <v>64</v>
      </c>
      <c r="AE82" s="102">
        <f t="shared" si="29"/>
        <v>117</v>
      </c>
      <c r="AF82" s="102">
        <f t="shared" si="95"/>
        <v>26</v>
      </c>
      <c r="AG82" s="102">
        <f t="shared" si="96"/>
        <v>34</v>
      </c>
      <c r="AH82" s="102">
        <f t="shared" si="97"/>
        <v>38</v>
      </c>
      <c r="AI82" s="102">
        <f t="shared" si="98"/>
        <v>34</v>
      </c>
      <c r="AJ82" s="102">
        <f t="shared" si="99"/>
        <v>41</v>
      </c>
      <c r="AK82" s="102">
        <f t="shared" si="100"/>
        <v>37</v>
      </c>
      <c r="AL82" s="102">
        <f>VLOOKUP($AE82,Usinas!$B$3:$F$241,5,FALSE)</f>
        <v>1</v>
      </c>
      <c r="AM82" s="102" t="str">
        <f>VLOOKUP($AE82,Usinas!$B$3:$H$241,7,FALSE)</f>
        <v>SUDESTE</v>
      </c>
      <c r="AN82" s="102" t="str">
        <f>VLOOKUP($AE82,Usinas!$B$3:$D$241,3,FALSE)</f>
        <v>ALTO TIETÊ</v>
      </c>
      <c r="AP82" s="103">
        <v>62</v>
      </c>
      <c r="AQ82" s="103" t="str">
        <f>IF(BA82=1,VLOOKUP($AP82,Usinas!$B$3:$F$244,2,0),"")</f>
        <v>TAQUARUCU</v>
      </c>
      <c r="AR82" s="103" t="str">
        <f>IF(BA82=1,VLOOKUP($AP82,Usinas!$B$3:$F$241,3,0),"")</f>
        <v>PARANAPANEMA (SE)</v>
      </c>
      <c r="AS82" s="103" t="str">
        <f>IF(BA82,VLOOKUP($AP82,Usinas!$B$3:$F$244,4,0),"")</f>
        <v>SUDESTE</v>
      </c>
      <c r="AT82" s="103">
        <f t="shared" si="39"/>
        <v>0.22209999999999999</v>
      </c>
      <c r="AU82" s="104">
        <f t="shared" si="131"/>
        <v>289.17419999999998</v>
      </c>
      <c r="AV82" s="104">
        <f t="shared" si="131"/>
        <v>331.59530000000001</v>
      </c>
      <c r="AW82" s="104">
        <f t="shared" si="131"/>
        <v>426.43199999999996</v>
      </c>
      <c r="AX82" s="104">
        <f t="shared" si="131"/>
        <v>443.75579999999997</v>
      </c>
      <c r="AY82" s="104">
        <f t="shared" si="131"/>
        <v>444.64420000000001</v>
      </c>
      <c r="AZ82" s="104">
        <f t="shared" si="131"/>
        <v>454.86079999999998</v>
      </c>
      <c r="BA82" s="103">
        <f t="shared" si="40"/>
        <v>1</v>
      </c>
      <c r="BB82" s="103">
        <f t="shared" si="41"/>
        <v>0</v>
      </c>
      <c r="BC82" s="103" t="str">
        <f>IF(BA82=1,VLOOKUP($AP82,Usinas!$B$3:$H$244,7,0),"")</f>
        <v>PRNPANEMA</v>
      </c>
      <c r="BD82" s="42">
        <v>1</v>
      </c>
      <c r="BE82" s="57">
        <v>1100</v>
      </c>
      <c r="BF82" s="42">
        <v>1100</v>
      </c>
      <c r="BH82" s="42">
        <f>VLOOKUP(1,BD81:BE93,2,0)</f>
        <v>1100</v>
      </c>
      <c r="BJ82" s="125" t="s">
        <v>715</v>
      </c>
      <c r="BM82" s="105">
        <f t="shared" si="102"/>
        <v>64</v>
      </c>
      <c r="BN82" s="105">
        <f t="shared" si="103"/>
        <v>117</v>
      </c>
      <c r="BO82" s="151">
        <f>IF($BP$15=1,IFERROR(VLOOKUP(BN82,$BZ$20:CA245,2,0),0),VALUE(RIGHT(LEFT($B91,21),10)))</f>
        <v>19</v>
      </c>
      <c r="BP82" s="105">
        <f t="shared" si="104"/>
        <v>25</v>
      </c>
      <c r="BQ82" s="105">
        <f t="shared" si="105"/>
        <v>28</v>
      </c>
      <c r="BR82" s="105">
        <f t="shared" si="106"/>
        <v>25</v>
      </c>
      <c r="BS82" s="105">
        <f t="shared" si="107"/>
        <v>30</v>
      </c>
      <c r="BT82" s="105">
        <f t="shared" si="108"/>
        <v>27</v>
      </c>
      <c r="BU82" s="85"/>
      <c r="BV82" s="97" t="s">
        <v>331</v>
      </c>
      <c r="BW82" s="98">
        <f t="shared" si="113"/>
        <v>47</v>
      </c>
      <c r="BX82" s="97" t="str">
        <f t="shared" si="63"/>
        <v>PST 34</v>
      </c>
      <c r="BZ82" s="147">
        <v>266</v>
      </c>
      <c r="CA82" s="148">
        <v>9743</v>
      </c>
      <c r="CB82" s="87"/>
      <c r="CC82" s="87"/>
      <c r="CF82" s="110"/>
      <c r="CG82" s="111"/>
      <c r="CH82" s="87"/>
      <c r="CI82" s="87"/>
      <c r="CJ82" s="87"/>
      <c r="CK82" s="87"/>
      <c r="CL82" s="87"/>
      <c r="CM82" s="87"/>
    </row>
    <row r="83" spans="2:91" ht="15.6" x14ac:dyDescent="0.3">
      <c r="B83" s="99" t="s">
        <v>751</v>
      </c>
      <c r="C83" s="99"/>
      <c r="D83" s="99"/>
      <c r="E83" s="99"/>
      <c r="F83" s="99"/>
      <c r="G83" s="99"/>
      <c r="H83" s="99"/>
      <c r="I83" s="43"/>
      <c r="J83" s="99" t="str">
        <f t="shared" si="115"/>
        <v xml:space="preserve">    56  109        33        44        48        42        52        45</v>
      </c>
      <c r="T83" s="42"/>
      <c r="U83" s="135"/>
      <c r="V83" s="191"/>
      <c r="W83" s="187">
        <v>113</v>
      </c>
      <c r="X83" s="187">
        <v>0.75539999999999996</v>
      </c>
      <c r="Z83" s="101">
        <v>63</v>
      </c>
      <c r="AA83" s="101">
        <v>1</v>
      </c>
      <c r="AB83" s="101">
        <v>0.18410000000000001</v>
      </c>
      <c r="AD83" s="102">
        <f t="shared" si="28"/>
        <v>65</v>
      </c>
      <c r="AE83" s="102">
        <f t="shared" si="29"/>
        <v>118</v>
      </c>
      <c r="AF83" s="102">
        <f t="shared" si="95"/>
        <v>33</v>
      </c>
      <c r="AG83" s="102">
        <f t="shared" si="96"/>
        <v>44</v>
      </c>
      <c r="AH83" s="102">
        <f t="shared" si="97"/>
        <v>48</v>
      </c>
      <c r="AI83" s="102">
        <f t="shared" si="98"/>
        <v>42</v>
      </c>
      <c r="AJ83" s="102">
        <f t="shared" si="99"/>
        <v>52</v>
      </c>
      <c r="AK83" s="102">
        <f t="shared" si="100"/>
        <v>45</v>
      </c>
      <c r="AL83" s="102">
        <f>VLOOKUP($AE83,Usinas!$B$3:$F$241,5,FALSE)</f>
        <v>1</v>
      </c>
      <c r="AM83" s="102" t="str">
        <f>VLOOKUP($AE83,Usinas!$B$3:$H$241,7,FALSE)</f>
        <v>SUDESTE</v>
      </c>
      <c r="AN83" s="102" t="str">
        <f>VLOOKUP($AE83,Usinas!$B$3:$D$241,3,FALSE)</f>
        <v>ALTO TIETÊ</v>
      </c>
      <c r="AP83" s="103">
        <v>63</v>
      </c>
      <c r="AQ83" s="103" t="str">
        <f>IF(BA83=1,VLOOKUP($AP83,Usinas!$B$3:$F$244,2,0),"")</f>
        <v>ROSANA</v>
      </c>
      <c r="AR83" s="103" t="str">
        <f>IF(BA83=1,VLOOKUP($AP83,Usinas!$B$3:$F$241,3,0),"")</f>
        <v>PARANAPANEMA (SE)</v>
      </c>
      <c r="AS83" s="103" t="str">
        <f>IF(BA83,VLOOKUP($AP83,Usinas!$B$3:$F$244,4,0),"")</f>
        <v>SUDESTE</v>
      </c>
      <c r="AT83" s="103">
        <f t="shared" si="39"/>
        <v>0.18410000000000001</v>
      </c>
      <c r="AU83" s="104">
        <f t="shared" si="131"/>
        <v>260.86970000000002</v>
      </c>
      <c r="AV83" s="104">
        <f t="shared" si="131"/>
        <v>300.81940000000003</v>
      </c>
      <c r="AW83" s="104">
        <f t="shared" si="131"/>
        <v>380.16650000000004</v>
      </c>
      <c r="AX83" s="104">
        <f t="shared" si="131"/>
        <v>400.41750000000002</v>
      </c>
      <c r="AY83" s="104">
        <f t="shared" si="131"/>
        <v>398.20830000000001</v>
      </c>
      <c r="AZ83" s="104">
        <f t="shared" si="131"/>
        <v>407.96560000000005</v>
      </c>
      <c r="BA83" s="103">
        <f t="shared" si="40"/>
        <v>1</v>
      </c>
      <c r="BB83" s="103">
        <f t="shared" si="41"/>
        <v>0</v>
      </c>
      <c r="BC83" s="103" t="str">
        <f>IF(BA83=1,VLOOKUP($AP83,Usinas!$B$3:$H$244,7,0),"")</f>
        <v>PRNPANEMA</v>
      </c>
      <c r="BD83" s="42">
        <v>2</v>
      </c>
      <c r="BE83" s="57">
        <v>1600</v>
      </c>
      <c r="BF83" s="42">
        <v>1600</v>
      </c>
      <c r="BJ83" s="125" t="s">
        <v>716</v>
      </c>
      <c r="BM83" s="105">
        <f t="shared" si="102"/>
        <v>65</v>
      </c>
      <c r="BN83" s="105">
        <f t="shared" si="103"/>
        <v>118</v>
      </c>
      <c r="BO83" s="151">
        <f>IF($BP$15=1,IFERROR(VLOOKUP(BN83,$BZ$20:CA246,2,0),0),VALUE(RIGHT(LEFT($B92,21),10)))</f>
        <v>24</v>
      </c>
      <c r="BP83" s="105">
        <f t="shared" si="104"/>
        <v>32</v>
      </c>
      <c r="BQ83" s="105">
        <f t="shared" si="105"/>
        <v>35</v>
      </c>
      <c r="BR83" s="105">
        <f t="shared" si="106"/>
        <v>31</v>
      </c>
      <c r="BS83" s="105">
        <f t="shared" si="107"/>
        <v>38</v>
      </c>
      <c r="BT83" s="105">
        <f t="shared" si="108"/>
        <v>33</v>
      </c>
      <c r="BU83" s="85"/>
      <c r="BV83" s="97" t="s">
        <v>331</v>
      </c>
      <c r="BW83" s="98">
        <f t="shared" si="113"/>
        <v>48</v>
      </c>
      <c r="BX83" s="97" t="str">
        <f t="shared" si="63"/>
        <v>PST 47</v>
      </c>
      <c r="BZ83" s="147">
        <v>74</v>
      </c>
      <c r="CA83" s="148">
        <v>542</v>
      </c>
      <c r="CB83" s="87"/>
      <c r="CC83" s="87"/>
      <c r="CF83" s="110"/>
      <c r="CG83" s="111"/>
      <c r="CH83" s="87"/>
      <c r="CI83" s="87"/>
      <c r="CJ83" s="87"/>
      <c r="CK83" s="87"/>
      <c r="CL83" s="87"/>
      <c r="CM83" s="87"/>
    </row>
    <row r="84" spans="2:91" ht="15.6" x14ac:dyDescent="0.3">
      <c r="B84" s="99" t="s">
        <v>752</v>
      </c>
      <c r="C84" s="99"/>
      <c r="D84" s="99"/>
      <c r="E84" s="99"/>
      <c r="F84" s="99"/>
      <c r="G84" s="99"/>
      <c r="H84" s="99"/>
      <c r="I84" s="43"/>
      <c r="J84" s="99" t="str">
        <f t="shared" si="115"/>
        <v xml:space="preserve">    57  110        37        38        37        37        34        30</v>
      </c>
      <c r="T84" s="42"/>
      <c r="U84" s="135"/>
      <c r="V84" s="191"/>
      <c r="W84" s="187">
        <v>114</v>
      </c>
      <c r="X84" s="187">
        <v>0.33560000000000001</v>
      </c>
      <c r="Z84" s="101">
        <v>64</v>
      </c>
      <c r="AA84" s="101">
        <v>0</v>
      </c>
      <c r="AB84" s="101">
        <v>0</v>
      </c>
      <c r="AD84" s="102">
        <f t="shared" si="28"/>
        <v>66</v>
      </c>
      <c r="AE84" s="102">
        <f t="shared" si="29"/>
        <v>119</v>
      </c>
      <c r="AF84" s="102">
        <f t="shared" si="95"/>
        <v>40</v>
      </c>
      <c r="AG84" s="102">
        <f t="shared" si="96"/>
        <v>53</v>
      </c>
      <c r="AH84" s="102">
        <f t="shared" si="97"/>
        <v>59</v>
      </c>
      <c r="AI84" s="102">
        <f t="shared" si="98"/>
        <v>52</v>
      </c>
      <c r="AJ84" s="102">
        <f t="shared" si="99"/>
        <v>63</v>
      </c>
      <c r="AK84" s="102">
        <f t="shared" si="100"/>
        <v>56</v>
      </c>
      <c r="AL84" s="102">
        <f>VLOOKUP($AE84,Usinas!$B$3:$F$241,5,FALSE)</f>
        <v>1</v>
      </c>
      <c r="AM84" s="102" t="str">
        <f>VLOOKUP($AE84,Usinas!$B$3:$H$241,7,FALSE)</f>
        <v>SUDESTE</v>
      </c>
      <c r="AN84" s="102" t="str">
        <f>VLOOKUP($AE84,Usinas!$B$3:$D$241,3,FALSE)</f>
        <v>ALTO TIETÊ</v>
      </c>
      <c r="AP84" s="103">
        <v>64</v>
      </c>
      <c r="AQ84" s="103" t="str">
        <f>IF(BA84=1,VLOOKUP($AP84,Usinas!$B$3:$F$244,2,0),"")</f>
        <v/>
      </c>
      <c r="AR84" s="103" t="str">
        <f>IF(BA84=1,VLOOKUP($AP84,Usinas!$B$3:$F$241,3,0),"")</f>
        <v/>
      </c>
      <c r="AS84" s="103" t="str">
        <f>IF(BA84,VLOOKUP($AP84,Usinas!$B$3:$F$244,4,0),"")</f>
        <v/>
      </c>
      <c r="AT84" s="103" t="str">
        <f t="shared" si="39"/>
        <v/>
      </c>
      <c r="AU84" s="104" t="str">
        <f t="shared" si="131"/>
        <v/>
      </c>
      <c r="AV84" s="104" t="str">
        <f t="shared" si="131"/>
        <v/>
      </c>
      <c r="AW84" s="104" t="str">
        <f t="shared" si="131"/>
        <v/>
      </c>
      <c r="AX84" s="104" t="str">
        <f t="shared" si="131"/>
        <v/>
      </c>
      <c r="AY84" s="104" t="str">
        <f t="shared" si="131"/>
        <v/>
      </c>
      <c r="AZ84" s="104" t="str">
        <f t="shared" si="131"/>
        <v/>
      </c>
      <c r="BA84" s="103">
        <f t="shared" si="40"/>
        <v>0</v>
      </c>
      <c r="BB84" s="103">
        <f t="shared" si="41"/>
        <v>0</v>
      </c>
      <c r="BC84" s="103" t="str">
        <f>IF(BA84=1,VLOOKUP($AP84,Usinas!$B$3:$H$244,7,0),"")</f>
        <v/>
      </c>
      <c r="BD84" s="42">
        <v>3</v>
      </c>
      <c r="BE84" s="57">
        <v>2500</v>
      </c>
      <c r="BF84" s="136">
        <v>4000</v>
      </c>
      <c r="BG84" s="136"/>
      <c r="BH84" s="136"/>
      <c r="BI84" s="136"/>
      <c r="BJ84" s="136"/>
      <c r="BK84" s="136"/>
      <c r="BM84" s="105">
        <f t="shared" si="102"/>
        <v>66</v>
      </c>
      <c r="BN84" s="105">
        <f t="shared" si="103"/>
        <v>119</v>
      </c>
      <c r="BO84" s="151">
        <f>IF($BP$15=1,IFERROR(VLOOKUP(BN84,$BZ$20:CA247,2,0),0),VALUE(RIGHT(LEFT($B93,21),10)))</f>
        <v>29</v>
      </c>
      <c r="BP84" s="105">
        <f t="shared" si="104"/>
        <v>39</v>
      </c>
      <c r="BQ84" s="105">
        <f t="shared" si="105"/>
        <v>43</v>
      </c>
      <c r="BR84" s="105">
        <f t="shared" si="106"/>
        <v>38</v>
      </c>
      <c r="BS84" s="105">
        <f t="shared" si="107"/>
        <v>46</v>
      </c>
      <c r="BT84" s="105">
        <f t="shared" si="108"/>
        <v>41</v>
      </c>
      <c r="BU84" s="85"/>
      <c r="BV84" s="97" t="s">
        <v>331</v>
      </c>
      <c r="BW84" s="98">
        <f t="shared" si="113"/>
        <v>49</v>
      </c>
      <c r="BX84" s="97" t="str">
        <f t="shared" si="63"/>
        <v>PST 48</v>
      </c>
      <c r="BZ84" s="147">
        <v>76</v>
      </c>
      <c r="CA84" s="148">
        <v>675</v>
      </c>
      <c r="CB84" s="87"/>
      <c r="CC84" s="87"/>
      <c r="CF84" s="110"/>
      <c r="CG84" s="111"/>
      <c r="CH84" s="87"/>
      <c r="CI84" s="87"/>
      <c r="CJ84" s="87"/>
      <c r="CK84" s="87"/>
      <c r="CL84" s="87"/>
      <c r="CM84" s="87"/>
    </row>
    <row r="85" spans="2:91" ht="15.6" x14ac:dyDescent="0.3">
      <c r="B85" s="99" t="s">
        <v>753</v>
      </c>
      <c r="C85" s="99"/>
      <c r="D85" s="99"/>
      <c r="E85" s="99"/>
      <c r="F85" s="99"/>
      <c r="G85" s="99"/>
      <c r="H85" s="99"/>
      <c r="I85" s="43"/>
      <c r="J85" s="99" t="str">
        <f t="shared" si="115"/>
        <v xml:space="preserve">    58  111       177       179       172       175       157       133</v>
      </c>
      <c r="T85" s="42"/>
      <c r="U85" s="135"/>
      <c r="V85" s="191"/>
      <c r="W85" s="187">
        <v>115</v>
      </c>
      <c r="X85" s="187">
        <v>6.3541999999999996</v>
      </c>
      <c r="Z85" s="101">
        <v>65</v>
      </c>
      <c r="AA85" s="101">
        <v>0</v>
      </c>
      <c r="AB85" s="101">
        <v>0</v>
      </c>
      <c r="AD85" s="102">
        <f t="shared" ref="AD85:AE148" si="132">BM85</f>
        <v>67</v>
      </c>
      <c r="AE85" s="102">
        <f t="shared" si="132"/>
        <v>120</v>
      </c>
      <c r="AF85" s="102">
        <f t="shared" ref="AF85:AF116" si="133">ROUND(BO85*(1+VLOOKUP($AL85,$B$3:$H$6,AF$19,FALSE)+_xlfn.IFNA(VLOOKUP("REE "&amp;$AM85,$B$11:$H$23,AF$19,FALSE),0)+_xlfn.IFNA(VLOOKUP("BCA "&amp;$AN85,$B$11:$H$23,AF$19,0),0)+_xlfn.IFNA(VLOOKUP("PST "&amp;$AE85,$B$11:$H$23,AF$19,0),0)),0)</f>
        <v>38</v>
      </c>
      <c r="AG85" s="102">
        <f t="shared" ref="AG85:AG116" si="134">ROUND(BP85*(1+VLOOKUP($AL85,$B$3:$H$6,AG$19,FALSE)+_xlfn.IFNA(VLOOKUP("REE "&amp;$AM85,$B$11:$H$23,AG$19,FALSE),0)+_xlfn.IFNA(VLOOKUP("BCA "&amp;$AN85,$B$11:$H$23,AG$19,0),0)+_xlfn.IFNA(VLOOKUP("PST "&amp;$AE85,$B$11:$H$23,AG$19,0),0)),0)</f>
        <v>42</v>
      </c>
      <c r="AH85" s="102">
        <f t="shared" ref="AH85:AH116" si="135">ROUND(BQ85*(1+VLOOKUP($AL85,$B$3:$H$6,AH$19,FALSE)+_xlfn.IFNA(VLOOKUP("REE "&amp;$AM85,$B$11:$H$23,AH$19,FALSE),0)+_xlfn.IFNA(VLOOKUP("BCA "&amp;$AN85,$B$11:$H$23,AH$19,0),0)+_xlfn.IFNA(VLOOKUP("PST "&amp;$AE85,$B$11:$H$23,AH$19,0),0)),0)</f>
        <v>46</v>
      </c>
      <c r="AI85" s="102">
        <f t="shared" ref="AI85:AI116" si="136">ROUND(BR85*(1+VLOOKUP($AL85,$B$3:$H$6,AI$19,FALSE)+_xlfn.IFNA(VLOOKUP("REE "&amp;$AM85,$B$11:$H$23,AI$19,FALSE),0)+_xlfn.IFNA(VLOOKUP("BCA "&amp;$AN85,$B$11:$H$23,AI$19,0),0)+_xlfn.IFNA(VLOOKUP("PST "&amp;$AE85,$B$11:$H$23,AI$19,0),0)),0)</f>
        <v>46</v>
      </c>
      <c r="AJ85" s="102">
        <f t="shared" ref="AJ85:AJ116" si="137">ROUND(BS85*(1+VLOOKUP($AL85,$B$3:$H$6,AJ$19,FALSE)+_xlfn.IFNA(VLOOKUP("REE "&amp;$AM85,$B$11:$H$23,AJ$19,FALSE),0)+_xlfn.IFNA(VLOOKUP("BCA "&amp;$AN85,$B$11:$H$23,AJ$19,0),0)+_xlfn.IFNA(VLOOKUP("PST "&amp;$AE85,$B$11:$H$23,AJ$19,0),0)),0)</f>
        <v>50</v>
      </c>
      <c r="AK85" s="102">
        <f t="shared" ref="AK85:AK116" si="138">ROUND(BT85*(1+VLOOKUP($AL85,$B$3:$H$6,AK$19,FALSE)+_xlfn.IFNA(VLOOKUP("REE "&amp;$AM85,$B$11:$H$23,AK$19,FALSE),0)+_xlfn.IFNA(VLOOKUP("BCA "&amp;$AN85,$B$11:$H$23,AK$19,0),0)+_xlfn.IFNA(VLOOKUP("PST "&amp;$AE85,$B$11:$H$23,AK$19,0),0)),0)</f>
        <v>46</v>
      </c>
      <c r="AL85" s="102">
        <f>VLOOKUP($AE85,Usinas!$B$3:$F$241,5,FALSE)</f>
        <v>1</v>
      </c>
      <c r="AM85" s="102" t="str">
        <f>VLOOKUP($AE85,Usinas!$B$3:$H$241,7,FALSE)</f>
        <v>SUDESTE</v>
      </c>
      <c r="AN85" s="102" t="str">
        <f>VLOOKUP($AE85,Usinas!$B$3:$D$241,3,FALSE)</f>
        <v>PARAÍBA DO SUL</v>
      </c>
      <c r="AP85" s="103">
        <v>65</v>
      </c>
      <c r="AQ85" s="103" t="str">
        <f>IF(BA85=1,VLOOKUP($AP85,Usinas!$B$3:$F$244,2,0),"")</f>
        <v/>
      </c>
      <c r="AR85" s="103" t="str">
        <f>IF(BA85=1,VLOOKUP($AP85,Usinas!$B$3:$F$241,3,0),"")</f>
        <v/>
      </c>
      <c r="AS85" s="103" t="str">
        <f>IF(BA85,VLOOKUP($AP85,Usinas!$B$3:$F$244,4,0),"")</f>
        <v/>
      </c>
      <c r="AT85" s="103" t="str">
        <f t="shared" si="39"/>
        <v/>
      </c>
      <c r="AU85" s="104" t="str">
        <f t="shared" si="131"/>
        <v/>
      </c>
      <c r="AV85" s="104" t="str">
        <f t="shared" si="131"/>
        <v/>
      </c>
      <c r="AW85" s="104" t="str">
        <f t="shared" si="131"/>
        <v/>
      </c>
      <c r="AX85" s="104" t="str">
        <f t="shared" si="131"/>
        <v/>
      </c>
      <c r="AY85" s="104" t="str">
        <f t="shared" si="131"/>
        <v/>
      </c>
      <c r="AZ85" s="104" t="str">
        <f t="shared" si="131"/>
        <v/>
      </c>
      <c r="BA85" s="103">
        <f t="shared" si="40"/>
        <v>0</v>
      </c>
      <c r="BB85" s="103">
        <f t="shared" si="41"/>
        <v>0</v>
      </c>
      <c r="BC85" s="103" t="str">
        <f>IF(BA85=1,VLOOKUP($AP85,Usinas!$B$3:$H$244,7,0),"")</f>
        <v/>
      </c>
      <c r="BD85" s="42">
        <v>4</v>
      </c>
      <c r="BE85" s="57">
        <v>4000</v>
      </c>
      <c r="BF85" s="57">
        <v>8000</v>
      </c>
      <c r="BG85" s="57"/>
      <c r="BH85" s="57"/>
      <c r="BI85" s="57"/>
      <c r="BJ85" s="57"/>
      <c r="BK85" s="57"/>
      <c r="BM85" s="105">
        <f t="shared" ref="BM85:BM116" si="139">VALUE(LEFT($B94,6))</f>
        <v>67</v>
      </c>
      <c r="BN85" s="105">
        <f t="shared" ref="BN85:BN116" si="140">VALUE(RIGHT(LEFT($B94,11),5))</f>
        <v>120</v>
      </c>
      <c r="BO85" s="151">
        <f>IF($BP$15=1,IFERROR(VLOOKUP(BN85,$BZ$20:CA248,2,0),0),VALUE(RIGHT(LEFT($B94,21),10)))</f>
        <v>28</v>
      </c>
      <c r="BP85" s="105">
        <f t="shared" ref="BP85:BP116" si="141">VALUE(RIGHT(LEFT($B94,31),10))</f>
        <v>31</v>
      </c>
      <c r="BQ85" s="105">
        <f t="shared" ref="BQ85:BQ116" si="142">VALUE(RIGHT(LEFT($B94,41),10))</f>
        <v>34</v>
      </c>
      <c r="BR85" s="105">
        <f t="shared" ref="BR85:BR116" si="143">VALUE(RIGHT(LEFT($B94,51),10))</f>
        <v>34</v>
      </c>
      <c r="BS85" s="105">
        <f t="shared" ref="BS85:BS116" si="144">VALUE(RIGHT(LEFT($B94,61),10))</f>
        <v>37</v>
      </c>
      <c r="BT85" s="105">
        <f t="shared" ref="BT85:BT116" si="145">VALUE(RIGHT(LEFT($B94,71),10))</f>
        <v>34</v>
      </c>
      <c r="BU85" s="85"/>
      <c r="BV85" s="97" t="s">
        <v>331</v>
      </c>
      <c r="BW85" s="98">
        <f t="shared" si="113"/>
        <v>50</v>
      </c>
      <c r="BX85" s="97" t="str">
        <f t="shared" si="63"/>
        <v>PST 49</v>
      </c>
      <c r="BZ85" s="147">
        <v>71</v>
      </c>
      <c r="CA85" s="148">
        <v>82</v>
      </c>
      <c r="CB85" s="87"/>
      <c r="CC85" s="87"/>
      <c r="CF85" s="110"/>
      <c r="CG85" s="111"/>
      <c r="CH85" s="87"/>
      <c r="CI85" s="87"/>
      <c r="CJ85" s="87"/>
      <c r="CK85" s="87"/>
      <c r="CL85" s="87"/>
      <c r="CM85" s="87"/>
    </row>
    <row r="86" spans="2:91" ht="15.6" x14ac:dyDescent="0.3">
      <c r="B86" s="99" t="s">
        <v>754</v>
      </c>
      <c r="C86" s="99"/>
      <c r="D86" s="99"/>
      <c r="E86" s="99"/>
      <c r="F86" s="99"/>
      <c r="G86" s="99"/>
      <c r="H86" s="99"/>
      <c r="I86" s="43"/>
      <c r="J86" s="99" t="str">
        <f t="shared" si="115"/>
        <v xml:space="preserve">    59  112       178       181       174       178       158       134</v>
      </c>
      <c r="T86" s="42"/>
      <c r="U86" s="135"/>
      <c r="V86" s="191"/>
      <c r="W86" s="187">
        <v>120</v>
      </c>
      <c r="X86" s="187">
        <v>0.51629999999999998</v>
      </c>
      <c r="Z86" s="101">
        <v>66</v>
      </c>
      <c r="AA86" s="101">
        <v>0</v>
      </c>
      <c r="AB86" s="101">
        <v>0</v>
      </c>
      <c r="AD86" s="102">
        <f t="shared" si="132"/>
        <v>68</v>
      </c>
      <c r="AE86" s="102">
        <f t="shared" si="132"/>
        <v>121</v>
      </c>
      <c r="AF86" s="102">
        <f t="shared" si="133"/>
        <v>102</v>
      </c>
      <c r="AG86" s="102">
        <f t="shared" si="134"/>
        <v>113</v>
      </c>
      <c r="AH86" s="102">
        <f t="shared" si="135"/>
        <v>127</v>
      </c>
      <c r="AI86" s="102">
        <f t="shared" si="136"/>
        <v>115</v>
      </c>
      <c r="AJ86" s="102">
        <f t="shared" si="137"/>
        <v>127</v>
      </c>
      <c r="AK86" s="102">
        <f t="shared" si="138"/>
        <v>120</v>
      </c>
      <c r="AL86" s="102">
        <f>VLOOKUP($AE86,Usinas!$B$3:$F$241,5,FALSE)</f>
        <v>1</v>
      </c>
      <c r="AM86" s="102" t="str">
        <f>VLOOKUP($AE86,Usinas!$B$3:$H$241,7,FALSE)</f>
        <v>SUDESTE</v>
      </c>
      <c r="AN86" s="102" t="str">
        <f>VLOOKUP($AE86,Usinas!$B$3:$D$241,3,FALSE)</f>
        <v>PARAÍBA DO SUL</v>
      </c>
      <c r="AP86" s="103">
        <v>66</v>
      </c>
      <c r="AQ86" s="103" t="str">
        <f>IF(BA86=1,VLOOKUP($AP86,Usinas!$B$3:$F$244,2,0),"")</f>
        <v/>
      </c>
      <c r="AR86" s="103" t="str">
        <f>IF(BA86=1,VLOOKUP($AP86,Usinas!$B$3:$F$241,3,0),"")</f>
        <v/>
      </c>
      <c r="AS86" s="103" t="str">
        <f>IF(BA86,VLOOKUP($AP86,Usinas!$B$3:$F$244,4,0),"")</f>
        <v/>
      </c>
      <c r="AT86" s="103" t="str">
        <f t="shared" ref="AT86:AT149" si="146">IF(BA86=1,VLOOKUP($AP86,$Z$21:$AB$372,3,0),"")</f>
        <v/>
      </c>
      <c r="AU86" s="104" t="str">
        <f t="shared" si="131"/>
        <v/>
      </c>
      <c r="AV86" s="104" t="str">
        <f t="shared" si="131"/>
        <v/>
      </c>
      <c r="AW86" s="104" t="str">
        <f t="shared" si="131"/>
        <v/>
      </c>
      <c r="AX86" s="104" t="str">
        <f t="shared" si="131"/>
        <v/>
      </c>
      <c r="AY86" s="104" t="str">
        <f t="shared" si="131"/>
        <v/>
      </c>
      <c r="AZ86" s="104" t="str">
        <f t="shared" si="131"/>
        <v/>
      </c>
      <c r="BA86" s="103">
        <f t="shared" ref="BA86:BA149" si="147">VLOOKUP(AP86,$Z$21:$AA$372,2,0)</f>
        <v>0</v>
      </c>
      <c r="BB86" s="103">
        <f t="shared" ref="BB86:BB149" si="148">IF(BA86=0,0,IF(OR(ISNA(AR86),ISNA(AS86),ISNA(AT86),ISNA(AU86),ISNA(AV86),ISNA(AW86),ISNA(AX86),ISNA(AY86),ISNA(AZ86)),1,0))</f>
        <v>0</v>
      </c>
      <c r="BC86" s="103" t="str">
        <f>IF(BA86=1,VLOOKUP($AP86,Usinas!$B$3:$H$244,7,0),"")</f>
        <v/>
      </c>
      <c r="BD86" s="42">
        <v>5</v>
      </c>
      <c r="BE86" s="136">
        <v>1800</v>
      </c>
      <c r="BF86" s="78">
        <v>4000</v>
      </c>
      <c r="BG86" s="78"/>
      <c r="BH86" s="78"/>
      <c r="BI86" s="78"/>
      <c r="BJ86" s="78"/>
      <c r="BK86" s="78"/>
      <c r="BM86" s="105">
        <f t="shared" si="139"/>
        <v>68</v>
      </c>
      <c r="BN86" s="105">
        <f t="shared" si="140"/>
        <v>121</v>
      </c>
      <c r="BO86" s="151">
        <f>IF($BP$15=1,IFERROR(VLOOKUP(BN86,$BZ$20:CA249,2,0),0),VALUE(RIGHT(LEFT($B95,21),10)))</f>
        <v>75</v>
      </c>
      <c r="BP86" s="105">
        <f t="shared" si="141"/>
        <v>83</v>
      </c>
      <c r="BQ86" s="105">
        <f t="shared" si="142"/>
        <v>93</v>
      </c>
      <c r="BR86" s="105">
        <f t="shared" si="143"/>
        <v>84</v>
      </c>
      <c r="BS86" s="105">
        <f t="shared" si="144"/>
        <v>93</v>
      </c>
      <c r="BT86" s="105">
        <f t="shared" si="145"/>
        <v>88</v>
      </c>
      <c r="BU86" s="85"/>
      <c r="BV86" s="97" t="s">
        <v>331</v>
      </c>
      <c r="BW86" s="98">
        <f t="shared" si="113"/>
        <v>51</v>
      </c>
      <c r="BX86" s="97" t="str">
        <f t="shared" ref="BX86:BX149" si="149">IFERROR(BV85&amp;" "&amp;BW85,"")</f>
        <v>PST 50</v>
      </c>
      <c r="BZ86" s="147">
        <v>72</v>
      </c>
      <c r="CA86" s="148">
        <v>88</v>
      </c>
      <c r="CB86" s="87"/>
      <c r="CC86" s="87"/>
      <c r="CF86" s="110"/>
      <c r="CG86" s="111"/>
      <c r="CH86" s="87"/>
      <c r="CI86" s="87"/>
      <c r="CJ86" s="87"/>
      <c r="CK86" s="87"/>
      <c r="CL86" s="87"/>
      <c r="CM86" s="87"/>
    </row>
    <row r="87" spans="2:91" ht="15.6" x14ac:dyDescent="0.3">
      <c r="B87" s="99" t="s">
        <v>755</v>
      </c>
      <c r="C87" s="99"/>
      <c r="D87" s="99"/>
      <c r="E87" s="99"/>
      <c r="F87" s="99"/>
      <c r="G87" s="99"/>
      <c r="H87" s="99"/>
      <c r="I87" s="43"/>
      <c r="J87" s="99" t="str">
        <f t="shared" si="115"/>
        <v xml:space="preserve">    60  113       216       236       219       240       190       157</v>
      </c>
      <c r="T87" s="42"/>
      <c r="U87" s="135"/>
      <c r="V87" s="191"/>
      <c r="W87" s="187">
        <v>121</v>
      </c>
      <c r="X87" s="187">
        <v>0.70069999999999999</v>
      </c>
      <c r="Z87" s="101">
        <v>67</v>
      </c>
      <c r="AA87" s="101">
        <v>0</v>
      </c>
      <c r="AB87" s="101">
        <v>0</v>
      </c>
      <c r="AD87" s="102">
        <f t="shared" si="132"/>
        <v>69</v>
      </c>
      <c r="AE87" s="102">
        <f t="shared" si="132"/>
        <v>122</v>
      </c>
      <c r="AF87" s="102">
        <f t="shared" si="133"/>
        <v>117</v>
      </c>
      <c r="AG87" s="102">
        <f t="shared" si="134"/>
        <v>130</v>
      </c>
      <c r="AH87" s="102">
        <f t="shared" si="135"/>
        <v>145</v>
      </c>
      <c r="AI87" s="102">
        <f t="shared" si="136"/>
        <v>132</v>
      </c>
      <c r="AJ87" s="102">
        <f t="shared" si="137"/>
        <v>146</v>
      </c>
      <c r="AK87" s="102">
        <f t="shared" si="138"/>
        <v>138</v>
      </c>
      <c r="AL87" s="102">
        <f>VLOOKUP($AE87,Usinas!$B$3:$F$241,5,FALSE)</f>
        <v>1</v>
      </c>
      <c r="AM87" s="102" t="str">
        <f>VLOOKUP($AE87,Usinas!$B$3:$H$241,7,FALSE)</f>
        <v>SUDESTE</v>
      </c>
      <c r="AN87" s="102" t="str">
        <f>VLOOKUP($AE87,Usinas!$B$3:$D$241,3,FALSE)</f>
        <v>PARAÍBA DO SUL</v>
      </c>
      <c r="AP87" s="103">
        <v>67</v>
      </c>
      <c r="AQ87" s="103" t="str">
        <f>IF(BA87=1,VLOOKUP($AP87,Usinas!$B$3:$F$244,2,0),"")</f>
        <v/>
      </c>
      <c r="AR87" s="103" t="str">
        <f>IF(BA87=1,VLOOKUP($AP87,Usinas!$B$3:$F$241,3,0),"")</f>
        <v/>
      </c>
      <c r="AS87" s="103" t="str">
        <f>IF(BA87,VLOOKUP($AP87,Usinas!$B$3:$F$244,4,0),"")</f>
        <v/>
      </c>
      <c r="AT87" s="103" t="str">
        <f t="shared" si="146"/>
        <v/>
      </c>
      <c r="AU87" s="104" t="str">
        <f t="shared" si="131"/>
        <v/>
      </c>
      <c r="AV87" s="104" t="str">
        <f t="shared" si="131"/>
        <v/>
      </c>
      <c r="AW87" s="104" t="str">
        <f t="shared" si="131"/>
        <v/>
      </c>
      <c r="AX87" s="104" t="str">
        <f t="shared" si="131"/>
        <v/>
      </c>
      <c r="AY87" s="104" t="str">
        <f t="shared" si="131"/>
        <v/>
      </c>
      <c r="AZ87" s="104" t="str">
        <f t="shared" si="131"/>
        <v/>
      </c>
      <c r="BA87" s="103">
        <f t="shared" si="147"/>
        <v>0</v>
      </c>
      <c r="BB87" s="103">
        <f t="shared" si="148"/>
        <v>0</v>
      </c>
      <c r="BC87" s="103" t="str">
        <f>IF(BA87=1,VLOOKUP($AP87,Usinas!$B$3:$H$244,7,0),"")</f>
        <v/>
      </c>
      <c r="BD87" s="42">
        <v>6</v>
      </c>
      <c r="BE87" s="136">
        <v>1200</v>
      </c>
      <c r="BF87" s="137">
        <v>2000</v>
      </c>
      <c r="BG87" s="137"/>
      <c r="BH87" s="137"/>
      <c r="BI87" s="137"/>
      <c r="BJ87" s="137"/>
      <c r="BK87" s="137"/>
      <c r="BM87" s="105">
        <f t="shared" si="139"/>
        <v>69</v>
      </c>
      <c r="BN87" s="105">
        <f t="shared" si="140"/>
        <v>122</v>
      </c>
      <c r="BO87" s="151">
        <f>IF($BP$15=1,IFERROR(VLOOKUP(BN87,$BZ$20:CA250,2,0),0),VALUE(RIGHT(LEFT($B96,21),10)))</f>
        <v>86</v>
      </c>
      <c r="BP87" s="105">
        <f t="shared" si="141"/>
        <v>95</v>
      </c>
      <c r="BQ87" s="105">
        <f t="shared" si="142"/>
        <v>106</v>
      </c>
      <c r="BR87" s="105">
        <f t="shared" si="143"/>
        <v>97</v>
      </c>
      <c r="BS87" s="105">
        <f t="shared" si="144"/>
        <v>107</v>
      </c>
      <c r="BT87" s="105">
        <f t="shared" si="145"/>
        <v>101</v>
      </c>
      <c r="BU87" s="85"/>
      <c r="BV87" s="97" t="s">
        <v>331</v>
      </c>
      <c r="BW87" s="98">
        <f t="shared" si="113"/>
        <v>52</v>
      </c>
      <c r="BX87" s="97" t="str">
        <f t="shared" si="149"/>
        <v>PST 51</v>
      </c>
      <c r="BZ87" s="147">
        <v>73</v>
      </c>
      <c r="CA87" s="148">
        <v>111</v>
      </c>
      <c r="CB87" s="87"/>
      <c r="CC87" s="87"/>
      <c r="CF87" s="110"/>
      <c r="CG87" s="111"/>
      <c r="CH87" s="87"/>
      <c r="CI87" s="87"/>
      <c r="CJ87" s="87"/>
      <c r="CK87" s="87"/>
      <c r="CL87" s="87"/>
      <c r="CM87" s="87"/>
    </row>
    <row r="88" spans="2:91" ht="15.6" x14ac:dyDescent="0.3">
      <c r="B88" s="99" t="s">
        <v>756</v>
      </c>
      <c r="C88" s="99"/>
      <c r="D88" s="99"/>
      <c r="E88" s="99"/>
      <c r="F88" s="99"/>
      <c r="G88" s="99"/>
      <c r="H88" s="99"/>
      <c r="I88" s="43"/>
      <c r="J88" s="99" t="str">
        <f t="shared" si="115"/>
        <v xml:space="preserve">    61  114       257       296       269       306       224       179</v>
      </c>
      <c r="T88" s="42"/>
      <c r="U88" s="135"/>
      <c r="V88" s="191"/>
      <c r="W88" s="187">
        <v>122</v>
      </c>
      <c r="X88" s="187">
        <v>0.3679</v>
      </c>
      <c r="Z88" s="101">
        <v>68</v>
      </c>
      <c r="AA88" s="101">
        <v>0</v>
      </c>
      <c r="AB88" s="101">
        <v>0</v>
      </c>
      <c r="AD88" s="102">
        <f t="shared" si="132"/>
        <v>70</v>
      </c>
      <c r="AE88" s="102">
        <f t="shared" si="132"/>
        <v>123</v>
      </c>
      <c r="AF88" s="102">
        <f t="shared" si="133"/>
        <v>346</v>
      </c>
      <c r="AG88" s="102">
        <f t="shared" si="134"/>
        <v>406</v>
      </c>
      <c r="AH88" s="102">
        <f t="shared" si="135"/>
        <v>449</v>
      </c>
      <c r="AI88" s="102">
        <f t="shared" si="136"/>
        <v>450</v>
      </c>
      <c r="AJ88" s="102">
        <f t="shared" si="137"/>
        <v>432</v>
      </c>
      <c r="AK88" s="102">
        <f t="shared" si="138"/>
        <v>431</v>
      </c>
      <c r="AL88" s="102">
        <f>VLOOKUP($AE88,Usinas!$B$3:$F$241,5,FALSE)</f>
        <v>1</v>
      </c>
      <c r="AM88" s="102" t="str">
        <f>VLOOKUP($AE88,Usinas!$B$3:$H$241,7,FALSE)</f>
        <v>SUDESTE</v>
      </c>
      <c r="AN88" s="102" t="str">
        <f>VLOOKUP($AE88,Usinas!$B$3:$D$241,3,FALSE)</f>
        <v>PARAÍBA DO SUL</v>
      </c>
      <c r="AP88" s="103">
        <v>68</v>
      </c>
      <c r="AQ88" s="103" t="str">
        <f>IF(BA88=1,VLOOKUP($AP88,Usinas!$B$3:$F$244,2,0),"")</f>
        <v/>
      </c>
      <c r="AR88" s="103" t="str">
        <f>IF(BA88=1,VLOOKUP($AP88,Usinas!$B$3:$F$241,3,0),"")</f>
        <v/>
      </c>
      <c r="AS88" s="103" t="str">
        <f>IF(BA88,VLOOKUP($AP88,Usinas!$B$3:$F$244,4,0),"")</f>
        <v/>
      </c>
      <c r="AT88" s="103" t="str">
        <f t="shared" si="146"/>
        <v/>
      </c>
      <c r="AU88" s="104" t="str">
        <f t="shared" si="131"/>
        <v/>
      </c>
      <c r="AV88" s="104" t="str">
        <f t="shared" si="131"/>
        <v/>
      </c>
      <c r="AW88" s="104" t="str">
        <f t="shared" si="131"/>
        <v/>
      </c>
      <c r="AX88" s="104" t="str">
        <f t="shared" si="131"/>
        <v/>
      </c>
      <c r="AY88" s="104" t="str">
        <f t="shared" si="131"/>
        <v/>
      </c>
      <c r="AZ88" s="104" t="str">
        <f t="shared" si="131"/>
        <v/>
      </c>
      <c r="BA88" s="103">
        <f t="shared" si="147"/>
        <v>0</v>
      </c>
      <c r="BB88" s="103">
        <f t="shared" si="148"/>
        <v>0</v>
      </c>
      <c r="BC88" s="103" t="str">
        <f>IF(BA88=1,VLOOKUP($AP88,Usinas!$B$3:$H$244,7,0),"")</f>
        <v/>
      </c>
      <c r="BD88" s="42">
        <v>7</v>
      </c>
      <c r="BE88" s="57">
        <v>1000</v>
      </c>
      <c r="BF88" s="58">
        <v>1200</v>
      </c>
      <c r="BG88" s="58"/>
      <c r="BH88" s="58"/>
      <c r="BI88" s="58"/>
      <c r="BJ88" s="58"/>
      <c r="BK88" s="58"/>
      <c r="BM88" s="105">
        <f t="shared" si="139"/>
        <v>70</v>
      </c>
      <c r="BN88" s="105">
        <f t="shared" si="140"/>
        <v>123</v>
      </c>
      <c r="BO88" s="151">
        <f>IF($BP$15=1,IFERROR(VLOOKUP(BN88,$BZ$20:CA251,2,0),0),VALUE(RIGHT(LEFT($B97,21),10)))</f>
        <v>254</v>
      </c>
      <c r="BP88" s="105">
        <f t="shared" si="141"/>
        <v>298</v>
      </c>
      <c r="BQ88" s="105">
        <f t="shared" si="142"/>
        <v>329</v>
      </c>
      <c r="BR88" s="105">
        <f t="shared" si="143"/>
        <v>330</v>
      </c>
      <c r="BS88" s="105">
        <f t="shared" si="144"/>
        <v>317</v>
      </c>
      <c r="BT88" s="105">
        <f t="shared" si="145"/>
        <v>316</v>
      </c>
      <c r="BU88" s="85"/>
      <c r="BV88" s="97" t="s">
        <v>331</v>
      </c>
      <c r="BW88" s="98">
        <f t="shared" si="113"/>
        <v>57</v>
      </c>
      <c r="BX88" s="97" t="str">
        <f t="shared" si="149"/>
        <v>PST 52</v>
      </c>
      <c r="BZ88" s="147">
        <v>77</v>
      </c>
      <c r="CA88" s="148">
        <v>862</v>
      </c>
      <c r="CB88" s="87"/>
      <c r="CC88" s="87"/>
      <c r="CF88" s="110"/>
      <c r="CG88" s="111"/>
      <c r="CH88" s="87"/>
      <c r="CI88" s="87"/>
      <c r="CJ88" s="87"/>
      <c r="CK88" s="87"/>
      <c r="CL88" s="87"/>
      <c r="CM88" s="87"/>
    </row>
    <row r="89" spans="2:91" ht="15.6" x14ac:dyDescent="0.3">
      <c r="B89" s="99" t="s">
        <v>757</v>
      </c>
      <c r="C89" s="99"/>
      <c r="D89" s="99"/>
      <c r="E89" s="99"/>
      <c r="F89" s="99"/>
      <c r="G89" s="99"/>
      <c r="H89" s="99"/>
      <c r="I89" s="43"/>
      <c r="J89" s="99" t="str">
        <f t="shared" si="115"/>
        <v xml:space="preserve">    62  115        19        18        21        21        23        18</v>
      </c>
      <c r="T89" s="42"/>
      <c r="U89" s="135"/>
      <c r="V89" s="191"/>
      <c r="W89" s="187">
        <v>123</v>
      </c>
      <c r="X89" s="187">
        <v>0.5575</v>
      </c>
      <c r="Z89" s="101">
        <v>69</v>
      </c>
      <c r="AA89" s="101">
        <v>0</v>
      </c>
      <c r="AB89" s="101">
        <v>0</v>
      </c>
      <c r="AD89" s="102">
        <f t="shared" si="132"/>
        <v>71</v>
      </c>
      <c r="AE89" s="102">
        <f t="shared" si="132"/>
        <v>125</v>
      </c>
      <c r="AF89" s="102">
        <f t="shared" si="133"/>
        <v>447</v>
      </c>
      <c r="AG89" s="102">
        <f t="shared" si="134"/>
        <v>526</v>
      </c>
      <c r="AH89" s="102">
        <f t="shared" si="135"/>
        <v>584</v>
      </c>
      <c r="AI89" s="102">
        <f t="shared" si="136"/>
        <v>588</v>
      </c>
      <c r="AJ89" s="102">
        <f t="shared" si="137"/>
        <v>548</v>
      </c>
      <c r="AK89" s="102">
        <f t="shared" si="138"/>
        <v>543</v>
      </c>
      <c r="AL89" s="102">
        <f>VLOOKUP($AE89,Usinas!$B$3:$F$241,5,FALSE)</f>
        <v>1</v>
      </c>
      <c r="AM89" s="102" t="str">
        <f>VLOOKUP($AE89,Usinas!$B$3:$H$241,7,FALSE)</f>
        <v>SUDESTE</v>
      </c>
      <c r="AN89" s="102" t="str">
        <f>VLOOKUP($AE89,Usinas!$B$3:$D$241,3,FALSE)</f>
        <v>PARAÍBA DO SUL</v>
      </c>
      <c r="AP89" s="103">
        <v>69</v>
      </c>
      <c r="AQ89" s="103" t="str">
        <f>IF(BA89=1,VLOOKUP($AP89,Usinas!$B$3:$F$244,2,0),"")</f>
        <v/>
      </c>
      <c r="AR89" s="103" t="str">
        <f>IF(BA89=1,VLOOKUP($AP89,Usinas!$B$3:$F$241,3,0),"")</f>
        <v/>
      </c>
      <c r="AS89" s="103" t="str">
        <f>IF(BA89,VLOOKUP($AP89,Usinas!$B$3:$F$244,4,0),"")</f>
        <v/>
      </c>
      <c r="AT89" s="103" t="str">
        <f t="shared" si="146"/>
        <v/>
      </c>
      <c r="AU89" s="104" t="str">
        <f t="shared" si="131"/>
        <v/>
      </c>
      <c r="AV89" s="104" t="str">
        <f t="shared" si="131"/>
        <v/>
      </c>
      <c r="AW89" s="104" t="str">
        <f t="shared" si="131"/>
        <v/>
      </c>
      <c r="AX89" s="104" t="str">
        <f t="shared" si="131"/>
        <v/>
      </c>
      <c r="AY89" s="104" t="str">
        <f t="shared" si="131"/>
        <v/>
      </c>
      <c r="AZ89" s="104" t="str">
        <f t="shared" si="131"/>
        <v/>
      </c>
      <c r="BA89" s="103">
        <f t="shared" si="147"/>
        <v>0</v>
      </c>
      <c r="BB89" s="103">
        <f t="shared" si="148"/>
        <v>0</v>
      </c>
      <c r="BC89" s="103" t="str">
        <f>IF(BA89=1,VLOOKUP($AP89,Usinas!$B$3:$H$244,7,0),"")</f>
        <v/>
      </c>
      <c r="BD89" s="42">
        <v>8</v>
      </c>
      <c r="BE89" s="57">
        <v>900</v>
      </c>
      <c r="BF89" s="58">
        <v>900</v>
      </c>
      <c r="BG89" s="58"/>
      <c r="BH89" s="58"/>
      <c r="BI89" s="58"/>
      <c r="BJ89" s="58"/>
      <c r="BK89" s="58"/>
      <c r="BM89" s="105">
        <f t="shared" si="139"/>
        <v>71</v>
      </c>
      <c r="BN89" s="105">
        <f t="shared" si="140"/>
        <v>125</v>
      </c>
      <c r="BO89" s="151">
        <f>IF($BP$15=1,IFERROR(VLOOKUP(BN89,$BZ$20:CA252,2,0),0),VALUE(RIGHT(LEFT($B98,21),10)))</f>
        <v>328</v>
      </c>
      <c r="BP89" s="105">
        <f t="shared" si="141"/>
        <v>386</v>
      </c>
      <c r="BQ89" s="105">
        <f t="shared" si="142"/>
        <v>428</v>
      </c>
      <c r="BR89" s="105">
        <f t="shared" si="143"/>
        <v>431</v>
      </c>
      <c r="BS89" s="105">
        <f t="shared" si="144"/>
        <v>402</v>
      </c>
      <c r="BT89" s="105">
        <f t="shared" si="145"/>
        <v>398</v>
      </c>
      <c r="BU89" s="85"/>
      <c r="BV89" s="97" t="s">
        <v>331</v>
      </c>
      <c r="BW89" s="98">
        <f t="shared" si="113"/>
        <v>61</v>
      </c>
      <c r="BX89" s="97" t="str">
        <f t="shared" si="149"/>
        <v>PST 57</v>
      </c>
      <c r="BZ89" s="147">
        <v>78</v>
      </c>
      <c r="CA89" s="148">
        <v>889</v>
      </c>
      <c r="CB89" s="87"/>
      <c r="CC89" s="87"/>
      <c r="CF89" s="110"/>
      <c r="CG89" s="111"/>
      <c r="CH89" s="87"/>
      <c r="CI89" s="87"/>
      <c r="CJ89" s="87"/>
      <c r="CK89" s="87"/>
      <c r="CL89" s="87"/>
      <c r="CM89" s="87"/>
    </row>
    <row r="90" spans="2:91" ht="15.6" x14ac:dyDescent="0.3">
      <c r="B90" s="99" t="s">
        <v>758</v>
      </c>
      <c r="C90" s="99"/>
      <c r="D90" s="99"/>
      <c r="E90" s="99"/>
      <c r="F90" s="99"/>
      <c r="G90" s="99"/>
      <c r="H90" s="99"/>
      <c r="I90" s="43"/>
      <c r="J90" s="99" t="str">
        <f t="shared" si="115"/>
        <v xml:space="preserve">    63  116         8        11        12        11        12        10</v>
      </c>
      <c r="T90" s="42"/>
      <c r="U90" s="135"/>
      <c r="V90" s="191"/>
      <c r="W90" s="187">
        <v>126</v>
      </c>
      <c r="X90" s="187">
        <v>0.97619999999999996</v>
      </c>
      <c r="Z90" s="101">
        <v>70</v>
      </c>
      <c r="AA90" s="101">
        <v>0</v>
      </c>
      <c r="AB90" s="101">
        <v>0</v>
      </c>
      <c r="AD90" s="102">
        <f t="shared" si="132"/>
        <v>72</v>
      </c>
      <c r="AE90" s="102">
        <f t="shared" si="132"/>
        <v>129</v>
      </c>
      <c r="AF90" s="102">
        <f t="shared" si="133"/>
        <v>920</v>
      </c>
      <c r="AG90" s="102">
        <f t="shared" si="134"/>
        <v>1046</v>
      </c>
      <c r="AH90" s="102">
        <f t="shared" si="135"/>
        <v>1114</v>
      </c>
      <c r="AI90" s="102">
        <f t="shared" si="136"/>
        <v>1084</v>
      </c>
      <c r="AJ90" s="102">
        <f t="shared" si="137"/>
        <v>968</v>
      </c>
      <c r="AK90" s="102">
        <f t="shared" si="138"/>
        <v>974</v>
      </c>
      <c r="AL90" s="102">
        <f>VLOOKUP($AE90,Usinas!$B$3:$F$241,5,FALSE)</f>
        <v>1</v>
      </c>
      <c r="AM90" s="102" t="str">
        <f>VLOOKUP($AE90,Usinas!$B$3:$H$241,7,FALSE)</f>
        <v>SUDESTE</v>
      </c>
      <c r="AN90" s="102" t="str">
        <f>VLOOKUP($AE90,Usinas!$B$3:$D$241,3,FALSE)</f>
        <v>PARAÍBA DO SUL</v>
      </c>
      <c r="AP90" s="103">
        <v>70</v>
      </c>
      <c r="AQ90" s="103" t="str">
        <f>IF(BA90=1,VLOOKUP($AP90,Usinas!$B$3:$F$244,2,0),"")</f>
        <v/>
      </c>
      <c r="AR90" s="103" t="str">
        <f>IF(BA90=1,VLOOKUP($AP90,Usinas!$B$3:$F$241,3,0),"")</f>
        <v/>
      </c>
      <c r="AS90" s="103" t="str">
        <f>IF(BA90,VLOOKUP($AP90,Usinas!$B$3:$F$244,4,0),"")</f>
        <v/>
      </c>
      <c r="AT90" s="103" t="str">
        <f t="shared" si="146"/>
        <v/>
      </c>
      <c r="AU90" s="104" t="str">
        <f t="shared" si="131"/>
        <v/>
      </c>
      <c r="AV90" s="104" t="str">
        <f t="shared" si="131"/>
        <v/>
      </c>
      <c r="AW90" s="104" t="str">
        <f t="shared" si="131"/>
        <v/>
      </c>
      <c r="AX90" s="104" t="str">
        <f t="shared" si="131"/>
        <v/>
      </c>
      <c r="AY90" s="104" t="str">
        <f t="shared" si="131"/>
        <v/>
      </c>
      <c r="AZ90" s="104" t="str">
        <f t="shared" si="131"/>
        <v/>
      </c>
      <c r="BA90" s="103">
        <f t="shared" si="147"/>
        <v>0</v>
      </c>
      <c r="BB90" s="103">
        <f t="shared" si="148"/>
        <v>0</v>
      </c>
      <c r="BC90" s="103" t="str">
        <f>IF(BA90=1,VLOOKUP($AP90,Usinas!$B$3:$H$244,7,0),"")</f>
        <v/>
      </c>
      <c r="BD90" s="42">
        <v>9</v>
      </c>
      <c r="BE90" s="136">
        <v>750</v>
      </c>
      <c r="BF90" s="78">
        <v>750</v>
      </c>
      <c r="BG90" s="78"/>
      <c r="BH90" s="78"/>
      <c r="BI90" s="78"/>
      <c r="BJ90" s="78"/>
      <c r="BK90" s="78"/>
      <c r="BM90" s="105">
        <f t="shared" si="139"/>
        <v>72</v>
      </c>
      <c r="BN90" s="105">
        <f t="shared" si="140"/>
        <v>129</v>
      </c>
      <c r="BO90" s="151">
        <f>IF($BP$15=1,IFERROR(VLOOKUP(BN90,$BZ$20:CA253,2,0),0),VALUE(RIGHT(LEFT($B99,21),10)))</f>
        <v>675</v>
      </c>
      <c r="BP90" s="105">
        <f t="shared" si="141"/>
        <v>767</v>
      </c>
      <c r="BQ90" s="105">
        <f t="shared" si="142"/>
        <v>817</v>
      </c>
      <c r="BR90" s="105">
        <f t="shared" si="143"/>
        <v>795</v>
      </c>
      <c r="BS90" s="105">
        <f t="shared" si="144"/>
        <v>710</v>
      </c>
      <c r="BT90" s="105">
        <f t="shared" si="145"/>
        <v>714</v>
      </c>
      <c r="BU90" s="85"/>
      <c r="BV90" s="97" t="s">
        <v>331</v>
      </c>
      <c r="BW90" s="98">
        <f t="shared" si="113"/>
        <v>62</v>
      </c>
      <c r="BX90" s="97" t="str">
        <f t="shared" si="149"/>
        <v>PST 61</v>
      </c>
      <c r="BZ90" s="147">
        <v>222</v>
      </c>
      <c r="CA90" s="148">
        <v>1041</v>
      </c>
      <c r="CB90" s="87"/>
      <c r="CC90" s="87"/>
      <c r="CF90" s="110"/>
      <c r="CG90" s="111"/>
      <c r="CH90" s="87"/>
      <c r="CI90" s="87"/>
      <c r="CJ90" s="87"/>
      <c r="CK90" s="87"/>
      <c r="CL90" s="87"/>
      <c r="CM90" s="87"/>
    </row>
    <row r="91" spans="2:91" ht="15.6" x14ac:dyDescent="0.3">
      <c r="B91" s="99" t="s">
        <v>759</v>
      </c>
      <c r="C91" s="99"/>
      <c r="D91" s="99"/>
      <c r="E91" s="99"/>
      <c r="F91" s="99"/>
      <c r="G91" s="99"/>
      <c r="H91" s="99"/>
      <c r="I91" s="43"/>
      <c r="J91" s="99" t="str">
        <f t="shared" si="115"/>
        <v xml:space="preserve">    64  117        26        34        38        34        41        37</v>
      </c>
      <c r="T91" s="42"/>
      <c r="U91" s="135"/>
      <c r="V91" s="191"/>
      <c r="W91" s="187">
        <v>131</v>
      </c>
      <c r="X91" s="187">
        <v>2.6871</v>
      </c>
      <c r="Z91" s="101">
        <v>71</v>
      </c>
      <c r="AA91" s="101">
        <v>1</v>
      </c>
      <c r="AB91" s="101">
        <v>0.81259999999999999</v>
      </c>
      <c r="AD91" s="102">
        <f t="shared" si="132"/>
        <v>73</v>
      </c>
      <c r="AE91" s="102">
        <f t="shared" si="132"/>
        <v>130</v>
      </c>
      <c r="AF91" s="102">
        <f t="shared" si="133"/>
        <v>1047</v>
      </c>
      <c r="AG91" s="102">
        <f t="shared" si="134"/>
        <v>1190</v>
      </c>
      <c r="AH91" s="102">
        <f t="shared" si="135"/>
        <v>1256</v>
      </c>
      <c r="AI91" s="102">
        <f t="shared" si="136"/>
        <v>1227</v>
      </c>
      <c r="AJ91" s="102">
        <f t="shared" si="137"/>
        <v>1084</v>
      </c>
      <c r="AK91" s="102">
        <f t="shared" si="138"/>
        <v>1091</v>
      </c>
      <c r="AL91" s="102">
        <f>VLOOKUP($AE91,Usinas!$B$3:$F$241,5,FALSE)</f>
        <v>1</v>
      </c>
      <c r="AM91" s="102" t="str">
        <f>VLOOKUP($AE91,Usinas!$B$3:$H$241,7,FALSE)</f>
        <v>SUDESTE</v>
      </c>
      <c r="AN91" s="102" t="str">
        <f>VLOOKUP($AE91,Usinas!$B$3:$D$241,3,FALSE)</f>
        <v>PARAÍBA DO SUL</v>
      </c>
      <c r="AP91" s="103">
        <v>71</v>
      </c>
      <c r="AQ91" s="103" t="str">
        <f>IF(BA91=1,VLOOKUP($AP91,Usinas!$B$3:$F$244,2,0),"")</f>
        <v>STA CLARA</v>
      </c>
      <c r="AR91" s="103" t="str">
        <f>IF(BA91=1,VLOOKUP($AP91,Usinas!$B$3:$F$241,3,0),"")</f>
        <v>IGUAÇU</v>
      </c>
      <c r="AS91" s="103" t="str">
        <f>IF(BA91,VLOOKUP($AP91,Usinas!$B$3:$F$244,4,0),"")</f>
        <v>SUL</v>
      </c>
      <c r="AT91" s="103">
        <f t="shared" si="146"/>
        <v>0.81259999999999999</v>
      </c>
      <c r="AU91" s="104">
        <f t="shared" ref="AU91:AZ100" si="150">IF($BA91=1,IFERROR(VLOOKUP($AP91,$AE$21:$AK$211,AU$19,0),VLOOKUP($AP91,$BE$21:$BK$65,AU$19,0))*$AT91,"")</f>
        <v>76.384399999999999</v>
      </c>
      <c r="AV91" s="104">
        <f t="shared" si="150"/>
        <v>82.885199999999998</v>
      </c>
      <c r="AW91" s="104">
        <f t="shared" si="150"/>
        <v>86.9482</v>
      </c>
      <c r="AX91" s="104">
        <f t="shared" si="150"/>
        <v>81.260000000000005</v>
      </c>
      <c r="AY91" s="104">
        <f t="shared" si="150"/>
        <v>74.759199999999993</v>
      </c>
      <c r="AZ91" s="104">
        <f t="shared" si="150"/>
        <v>82.072599999999994</v>
      </c>
      <c r="BA91" s="103">
        <f t="shared" si="147"/>
        <v>1</v>
      </c>
      <c r="BB91" s="103">
        <f t="shared" si="148"/>
        <v>0</v>
      </c>
      <c r="BC91" s="103" t="str">
        <f>IF(BA91=1,VLOOKUP($AP91,Usinas!$B$3:$H$244,7,0),"")</f>
        <v>IGUACU</v>
      </c>
      <c r="BD91" s="42">
        <v>10</v>
      </c>
      <c r="BE91" s="136">
        <v>700</v>
      </c>
      <c r="BF91" s="78">
        <v>700</v>
      </c>
      <c r="BG91" s="78"/>
      <c r="BH91" s="78"/>
      <c r="BI91" s="78"/>
      <c r="BJ91" s="78"/>
      <c r="BK91" s="78"/>
      <c r="BM91" s="105">
        <f t="shared" si="139"/>
        <v>73</v>
      </c>
      <c r="BN91" s="105">
        <f t="shared" si="140"/>
        <v>130</v>
      </c>
      <c r="BO91" s="151">
        <f>IF($BP$15=1,IFERROR(VLOOKUP(BN91,$BZ$20:CA254,2,0),0),VALUE(RIGHT(LEFT($B100,21),10)))</f>
        <v>768</v>
      </c>
      <c r="BP91" s="105">
        <f t="shared" si="141"/>
        <v>873</v>
      </c>
      <c r="BQ91" s="105">
        <f t="shared" si="142"/>
        <v>921</v>
      </c>
      <c r="BR91" s="105">
        <f t="shared" si="143"/>
        <v>900</v>
      </c>
      <c r="BS91" s="105">
        <f t="shared" si="144"/>
        <v>795</v>
      </c>
      <c r="BT91" s="105">
        <f t="shared" si="145"/>
        <v>800</v>
      </c>
      <c r="BU91" s="85"/>
      <c r="BV91" s="97" t="s">
        <v>331</v>
      </c>
      <c r="BW91" s="98">
        <f t="shared" ref="BW91:BW122" si="151">AE53</f>
        <v>63</v>
      </c>
      <c r="BX91" s="97" t="str">
        <f t="shared" si="149"/>
        <v>PST 62</v>
      </c>
      <c r="BZ91" s="147" t="s">
        <v>151</v>
      </c>
      <c r="CA91" s="148"/>
      <c r="CB91" s="87"/>
      <c r="CC91" s="87"/>
      <c r="CF91" s="110"/>
      <c r="CG91" s="111"/>
      <c r="CH91" s="87"/>
      <c r="CI91" s="87"/>
      <c r="CJ91" s="87"/>
      <c r="CK91" s="87"/>
      <c r="CL91" s="87"/>
      <c r="CM91" s="87"/>
    </row>
    <row r="92" spans="2:91" ht="15.6" x14ac:dyDescent="0.3">
      <c r="B92" s="99" t="s">
        <v>760</v>
      </c>
      <c r="C92" s="99"/>
      <c r="D92" s="99"/>
      <c r="E92" s="99"/>
      <c r="F92" s="99"/>
      <c r="G92" s="99"/>
      <c r="H92" s="99"/>
      <c r="I92" s="43"/>
      <c r="J92" s="99" t="str">
        <f t="shared" si="115"/>
        <v xml:space="preserve">    65  118        33        44        48        42        52        45</v>
      </c>
      <c r="T92" s="42"/>
      <c r="U92" s="135"/>
      <c r="V92" s="191"/>
      <c r="W92" s="187">
        <v>134</v>
      </c>
      <c r="X92" s="187">
        <v>0.80200000000000005</v>
      </c>
      <c r="Z92" s="101">
        <v>72</v>
      </c>
      <c r="AA92" s="101">
        <v>1</v>
      </c>
      <c r="AB92" s="101">
        <v>0.83069999999999999</v>
      </c>
      <c r="AD92" s="102">
        <f t="shared" si="132"/>
        <v>74</v>
      </c>
      <c r="AE92" s="102">
        <f t="shared" si="132"/>
        <v>134</v>
      </c>
      <c r="AF92" s="102">
        <f t="shared" si="133"/>
        <v>315</v>
      </c>
      <c r="AG92" s="102">
        <f t="shared" si="134"/>
        <v>311</v>
      </c>
      <c r="AH92" s="102">
        <f t="shared" si="135"/>
        <v>243</v>
      </c>
      <c r="AI92" s="102">
        <f t="shared" si="136"/>
        <v>282</v>
      </c>
      <c r="AJ92" s="102">
        <f t="shared" si="137"/>
        <v>275</v>
      </c>
      <c r="AK92" s="102">
        <f t="shared" si="138"/>
        <v>229</v>
      </c>
      <c r="AL92" s="102">
        <f>VLOOKUP($AE92,Usinas!$B$3:$F$241,5,FALSE)</f>
        <v>1</v>
      </c>
      <c r="AM92" s="102" t="str">
        <f>VLOOKUP($AE92,Usinas!$B$3:$H$241,7,FALSE)</f>
        <v>SUDESTE</v>
      </c>
      <c r="AN92" s="102" t="str">
        <f>VLOOKUP($AE92,Usinas!$B$3:$D$241,3,FALSE)</f>
        <v>DOCE</v>
      </c>
      <c r="AP92" s="103">
        <v>72</v>
      </c>
      <c r="AQ92" s="103" t="str">
        <f>IF(BA92=1,VLOOKUP($AP92,Usinas!$B$3:$F$244,2,0),"")</f>
        <v>FUNDÃO</v>
      </c>
      <c r="AR92" s="103" t="str">
        <f>IF(BA92=1,VLOOKUP($AP92,Usinas!$B$3:$F$241,3,0),"")</f>
        <v>IGUAÇU</v>
      </c>
      <c r="AS92" s="103" t="str">
        <f>IF(BA92,VLOOKUP($AP92,Usinas!$B$3:$F$244,4,0),"")</f>
        <v>SUL</v>
      </c>
      <c r="AT92" s="103">
        <f t="shared" si="146"/>
        <v>0.83069999999999999</v>
      </c>
      <c r="AU92" s="104">
        <f t="shared" si="150"/>
        <v>83.07</v>
      </c>
      <c r="AV92" s="104">
        <f t="shared" si="150"/>
        <v>90.546300000000002</v>
      </c>
      <c r="AW92" s="104">
        <f t="shared" si="150"/>
        <v>94.699799999999996</v>
      </c>
      <c r="AX92" s="104">
        <f t="shared" si="150"/>
        <v>88.884900000000002</v>
      </c>
      <c r="AY92" s="104">
        <f t="shared" si="150"/>
        <v>83.07</v>
      </c>
      <c r="AZ92" s="104">
        <f t="shared" si="150"/>
        <v>88.884900000000002</v>
      </c>
      <c r="BA92" s="103">
        <f t="shared" si="147"/>
        <v>1</v>
      </c>
      <c r="BB92" s="103">
        <f t="shared" si="148"/>
        <v>0</v>
      </c>
      <c r="BC92" s="103" t="str">
        <f>IF(BA92=1,VLOOKUP($AP92,Usinas!$B$3:$H$244,7,0),"")</f>
        <v>IGUACU</v>
      </c>
      <c r="BD92" s="42">
        <v>11</v>
      </c>
      <c r="BE92" s="136">
        <v>800</v>
      </c>
      <c r="BF92" s="137">
        <v>800</v>
      </c>
      <c r="BG92" s="43"/>
      <c r="BH92" s="43"/>
      <c r="BI92" s="43"/>
      <c r="BJ92" s="43"/>
      <c r="BK92" s="43"/>
      <c r="BM92" s="105">
        <f t="shared" si="139"/>
        <v>74</v>
      </c>
      <c r="BN92" s="105">
        <f t="shared" si="140"/>
        <v>134</v>
      </c>
      <c r="BO92" s="151">
        <f>IF($BP$15=1,IFERROR(VLOOKUP(BN92,$BZ$20:CA255,2,0),0),VALUE(RIGHT(LEFT($B101,21),10)))</f>
        <v>231</v>
      </c>
      <c r="BP92" s="105">
        <f t="shared" si="141"/>
        <v>228</v>
      </c>
      <c r="BQ92" s="105">
        <f t="shared" si="142"/>
        <v>178</v>
      </c>
      <c r="BR92" s="105">
        <f t="shared" si="143"/>
        <v>207</v>
      </c>
      <c r="BS92" s="105">
        <f t="shared" si="144"/>
        <v>202</v>
      </c>
      <c r="BT92" s="105">
        <f t="shared" si="145"/>
        <v>168</v>
      </c>
      <c r="BU92" s="85"/>
      <c r="BV92" s="97" t="s">
        <v>331</v>
      </c>
      <c r="BW92" s="98">
        <f t="shared" si="151"/>
        <v>71</v>
      </c>
      <c r="BX92" s="97" t="str">
        <f t="shared" si="149"/>
        <v>PST 63</v>
      </c>
      <c r="BZ92" s="147">
        <v>215</v>
      </c>
      <c r="CA92" s="148">
        <v>381</v>
      </c>
      <c r="CB92" s="87"/>
      <c r="CC92" s="87"/>
      <c r="CF92" s="110"/>
      <c r="CG92" s="111"/>
      <c r="CH92" s="87"/>
      <c r="CI92" s="87"/>
      <c r="CJ92" s="87"/>
      <c r="CK92" s="87"/>
      <c r="CL92" s="87"/>
      <c r="CM92" s="87"/>
    </row>
    <row r="93" spans="2:91" ht="15.6" x14ac:dyDescent="0.3">
      <c r="B93" s="99" t="s">
        <v>761</v>
      </c>
      <c r="C93" s="99"/>
      <c r="D93" s="99"/>
      <c r="E93" s="99"/>
      <c r="F93" s="99"/>
      <c r="G93" s="99"/>
      <c r="H93" s="99"/>
      <c r="I93" s="43"/>
      <c r="J93" s="99" t="str">
        <f t="shared" si="115"/>
        <v xml:space="preserve">    66  119        40        53        59        52        63        56</v>
      </c>
      <c r="T93" s="42"/>
      <c r="U93" s="135"/>
      <c r="V93" s="191"/>
      <c r="W93" s="187">
        <v>141</v>
      </c>
      <c r="X93" s="187">
        <v>0.16980000000000001</v>
      </c>
      <c r="Z93" s="101">
        <v>73</v>
      </c>
      <c r="AA93" s="101">
        <v>0</v>
      </c>
      <c r="AB93" s="101">
        <v>0</v>
      </c>
      <c r="AD93" s="102">
        <f t="shared" si="132"/>
        <v>75</v>
      </c>
      <c r="AE93" s="102">
        <f t="shared" si="132"/>
        <v>135</v>
      </c>
      <c r="AF93" s="102">
        <f t="shared" si="133"/>
        <v>248</v>
      </c>
      <c r="AG93" s="102">
        <f t="shared" si="134"/>
        <v>281</v>
      </c>
      <c r="AH93" s="102">
        <f t="shared" si="135"/>
        <v>247</v>
      </c>
      <c r="AI93" s="102">
        <f t="shared" si="136"/>
        <v>192</v>
      </c>
      <c r="AJ93" s="102">
        <f t="shared" si="137"/>
        <v>198</v>
      </c>
      <c r="AK93" s="102">
        <f t="shared" si="138"/>
        <v>177</v>
      </c>
      <c r="AL93" s="102">
        <f>VLOOKUP($AE93,Usinas!$B$3:$F$241,5,FALSE)</f>
        <v>1</v>
      </c>
      <c r="AM93" s="102" t="str">
        <f>VLOOKUP($AE93,Usinas!$B$3:$H$241,7,FALSE)</f>
        <v>SUDESTE</v>
      </c>
      <c r="AN93" s="102" t="str">
        <f>VLOOKUP($AE93,Usinas!$B$3:$D$241,3,FALSE)</f>
        <v>PARAÍBA DO SUL</v>
      </c>
      <c r="AP93" s="103">
        <v>73</v>
      </c>
      <c r="AQ93" s="103" t="str">
        <f>IF(BA93=1,VLOOKUP($AP93,Usinas!$B$3:$F$244,2,0),"")</f>
        <v/>
      </c>
      <c r="AR93" s="103" t="str">
        <f>IF(BA93=1,VLOOKUP($AP93,Usinas!$B$3:$F$241,3,0),"")</f>
        <v/>
      </c>
      <c r="AS93" s="103" t="str">
        <f>IF(BA93,VLOOKUP($AP93,Usinas!$B$3:$F$244,4,0),"")</f>
        <v/>
      </c>
      <c r="AT93" s="103" t="str">
        <f t="shared" si="146"/>
        <v/>
      </c>
      <c r="AU93" s="104" t="str">
        <f t="shared" si="150"/>
        <v/>
      </c>
      <c r="AV93" s="104" t="str">
        <f t="shared" si="150"/>
        <v/>
      </c>
      <c r="AW93" s="104" t="str">
        <f t="shared" si="150"/>
        <v/>
      </c>
      <c r="AX93" s="104" t="str">
        <f t="shared" si="150"/>
        <v/>
      </c>
      <c r="AY93" s="104" t="str">
        <f t="shared" si="150"/>
        <v/>
      </c>
      <c r="AZ93" s="104" t="str">
        <f t="shared" si="150"/>
        <v/>
      </c>
      <c r="BA93" s="103">
        <f t="shared" si="147"/>
        <v>0</v>
      </c>
      <c r="BB93" s="103">
        <f t="shared" si="148"/>
        <v>0</v>
      </c>
      <c r="BC93" s="103" t="str">
        <f>IF(BA93=1,VLOOKUP($AP93,Usinas!$B$3:$H$244,7,0),"")</f>
        <v/>
      </c>
      <c r="BD93" s="42">
        <v>12</v>
      </c>
      <c r="BE93" s="136">
        <v>900</v>
      </c>
      <c r="BF93" s="78">
        <v>900</v>
      </c>
      <c r="BG93" s="78"/>
      <c r="BH93" s="78"/>
      <c r="BI93" s="78"/>
      <c r="BJ93" s="78"/>
      <c r="BK93" s="78"/>
      <c r="BM93" s="105">
        <f t="shared" si="139"/>
        <v>75</v>
      </c>
      <c r="BN93" s="105">
        <f t="shared" si="140"/>
        <v>135</v>
      </c>
      <c r="BO93" s="151">
        <f>IF($BP$15=1,IFERROR(VLOOKUP(BN93,$BZ$20:CA256,2,0),0),VALUE(RIGHT(LEFT($B102,21),10)))</f>
        <v>182</v>
      </c>
      <c r="BP93" s="105">
        <f t="shared" si="141"/>
        <v>206</v>
      </c>
      <c r="BQ93" s="105">
        <f t="shared" si="142"/>
        <v>181</v>
      </c>
      <c r="BR93" s="105">
        <f t="shared" si="143"/>
        <v>141</v>
      </c>
      <c r="BS93" s="105">
        <f t="shared" si="144"/>
        <v>145</v>
      </c>
      <c r="BT93" s="105">
        <f t="shared" si="145"/>
        <v>130</v>
      </c>
      <c r="BU93" s="85"/>
      <c r="BV93" s="97" t="s">
        <v>331</v>
      </c>
      <c r="BW93" s="98">
        <f t="shared" si="151"/>
        <v>72</v>
      </c>
      <c r="BX93" s="97" t="str">
        <f t="shared" si="149"/>
        <v>PST 71</v>
      </c>
      <c r="BZ93" s="147" t="s">
        <v>151</v>
      </c>
      <c r="CA93" s="148"/>
      <c r="CB93" s="87"/>
      <c r="CC93" s="87"/>
      <c r="CF93" s="110"/>
      <c r="CG93" s="111"/>
      <c r="CH93" s="87"/>
      <c r="CI93" s="87"/>
      <c r="CJ93" s="87"/>
      <c r="CK93" s="87"/>
      <c r="CL93" s="87"/>
      <c r="CM93" s="87"/>
    </row>
    <row r="94" spans="2:91" ht="15.6" x14ac:dyDescent="0.3">
      <c r="B94" s="99" t="s">
        <v>762</v>
      </c>
      <c r="C94" s="99"/>
      <c r="D94" s="99"/>
      <c r="E94" s="99"/>
      <c r="F94" s="99"/>
      <c r="G94" s="99"/>
      <c r="H94" s="99"/>
      <c r="I94" s="43"/>
      <c r="J94" s="99" t="str">
        <f t="shared" ref="J94:J125" si="152">IF(B94&lt;&gt;0,RIGHT("      "&amp;ROUND(AD85,0),6)&amp;(RIGHT("     "&amp;ROUND(AE85,0),5))&amp;RIGHT("          "&amp;ROUND(AF85,0),10)&amp;RIGHT("          "&amp;ROUND(AG85,),10)&amp;RIGHT("         "&amp;ROUND(AH85,0),10)&amp;RIGHT("          "&amp;ROUND(AI85,0),10)&amp;RIGHT("          "&amp;ROUND(AJ85,0),10)&amp;RIGHT("          "&amp;ROUND(AK85,0),10),"")</f>
        <v xml:space="preserve">    67  120        38        42        46        46        50        46</v>
      </c>
      <c r="T94" s="42"/>
      <c r="U94" s="135"/>
      <c r="V94" s="191"/>
      <c r="W94" s="187">
        <v>144</v>
      </c>
      <c r="X94" s="187">
        <v>0.19889999999999999</v>
      </c>
      <c r="Z94" s="101">
        <v>74</v>
      </c>
      <c r="AA94" s="101">
        <v>1</v>
      </c>
      <c r="AB94" s="101">
        <v>1.0938000000000001</v>
      </c>
      <c r="AD94" s="102">
        <f t="shared" si="132"/>
        <v>76</v>
      </c>
      <c r="AE94" s="102">
        <f t="shared" si="132"/>
        <v>141</v>
      </c>
      <c r="AF94" s="102">
        <f t="shared" si="133"/>
        <v>1171</v>
      </c>
      <c r="AG94" s="102">
        <f t="shared" si="134"/>
        <v>1346</v>
      </c>
      <c r="AH94" s="102">
        <f t="shared" si="135"/>
        <v>1118</v>
      </c>
      <c r="AI94" s="102">
        <f t="shared" si="136"/>
        <v>1017</v>
      </c>
      <c r="AJ94" s="102">
        <f t="shared" si="137"/>
        <v>1068</v>
      </c>
      <c r="AK94" s="102">
        <f t="shared" si="138"/>
        <v>858</v>
      </c>
      <c r="AL94" s="102">
        <f>VLOOKUP($AE94,Usinas!$B$3:$F$241,5,FALSE)</f>
        <v>1</v>
      </c>
      <c r="AM94" s="102" t="str">
        <f>VLOOKUP($AE94,Usinas!$B$3:$H$241,7,FALSE)</f>
        <v>SUDESTE</v>
      </c>
      <c r="AN94" s="102" t="str">
        <f>VLOOKUP($AE94,Usinas!$B$3:$D$241,3,FALSE)</f>
        <v>DOCE</v>
      </c>
      <c r="AP94" s="103">
        <v>74</v>
      </c>
      <c r="AQ94" s="103" t="str">
        <f>IF(BA94=1,VLOOKUP($AP94,Usinas!$B$3:$F$244,2,0),"")</f>
        <v>FOZ DO AREIA</v>
      </c>
      <c r="AR94" s="103" t="str">
        <f>IF(BA94=1,VLOOKUP($AP94,Usinas!$B$3:$F$241,3,0),"")</f>
        <v>IGUAÇU</v>
      </c>
      <c r="AS94" s="103" t="str">
        <f>IF(BA94,VLOOKUP($AP94,Usinas!$B$3:$F$244,4,0),"")</f>
        <v>SUL</v>
      </c>
      <c r="AT94" s="103">
        <f t="shared" si="146"/>
        <v>1.0938000000000001</v>
      </c>
      <c r="AU94" s="104">
        <f t="shared" si="150"/>
        <v>620.18460000000005</v>
      </c>
      <c r="AV94" s="104">
        <f t="shared" si="150"/>
        <v>675.96840000000009</v>
      </c>
      <c r="AW94" s="104">
        <f t="shared" si="150"/>
        <v>733.9398000000001</v>
      </c>
      <c r="AX94" s="104">
        <f t="shared" si="150"/>
        <v>756.90960000000007</v>
      </c>
      <c r="AY94" s="104">
        <f t="shared" si="150"/>
        <v>710.97</v>
      </c>
      <c r="AZ94" s="104">
        <f t="shared" si="150"/>
        <v>622.37220000000002</v>
      </c>
      <c r="BA94" s="103">
        <f t="shared" si="147"/>
        <v>1</v>
      </c>
      <c r="BB94" s="103">
        <f t="shared" si="148"/>
        <v>0</v>
      </c>
      <c r="BC94" s="103" t="str">
        <f>IF(BA94=1,VLOOKUP($AP94,Usinas!$B$3:$H$244,7,0),"")</f>
        <v>IGUACU</v>
      </c>
      <c r="BE94" s="43"/>
      <c r="BF94" s="78"/>
      <c r="BG94" s="78"/>
      <c r="BH94" s="78"/>
      <c r="BI94" s="78"/>
      <c r="BJ94" s="78"/>
      <c r="BK94" s="78"/>
      <c r="BM94" s="105">
        <f t="shared" si="139"/>
        <v>76</v>
      </c>
      <c r="BN94" s="105">
        <f t="shared" si="140"/>
        <v>141</v>
      </c>
      <c r="BO94" s="151">
        <f>IF($BP$15=1,IFERROR(VLOOKUP(BN94,$BZ$20:CA257,2,0),0),VALUE(RIGHT(LEFT($B103,21),10)))</f>
        <v>859</v>
      </c>
      <c r="BP94" s="105">
        <f t="shared" si="141"/>
        <v>987</v>
      </c>
      <c r="BQ94" s="105">
        <f t="shared" si="142"/>
        <v>820</v>
      </c>
      <c r="BR94" s="105">
        <f t="shared" si="143"/>
        <v>746</v>
      </c>
      <c r="BS94" s="105">
        <f t="shared" si="144"/>
        <v>783</v>
      </c>
      <c r="BT94" s="105">
        <f t="shared" si="145"/>
        <v>629</v>
      </c>
      <c r="BU94" s="85"/>
      <c r="BV94" s="97" t="s">
        <v>331</v>
      </c>
      <c r="BW94" s="98">
        <f t="shared" si="151"/>
        <v>73</v>
      </c>
      <c r="BX94" s="97" t="str">
        <f t="shared" si="149"/>
        <v>PST 72</v>
      </c>
      <c r="BZ94" s="147">
        <v>89</v>
      </c>
      <c r="CA94" s="148">
        <v>388</v>
      </c>
      <c r="CB94" s="87"/>
      <c r="CC94" s="87"/>
      <c r="CF94" s="110"/>
      <c r="CG94" s="111"/>
      <c r="CH94" s="87"/>
      <c r="CI94" s="87"/>
      <c r="CJ94" s="87"/>
      <c r="CK94" s="87"/>
      <c r="CL94" s="87"/>
      <c r="CM94" s="87"/>
    </row>
    <row r="95" spans="2:91" ht="15.6" x14ac:dyDescent="0.3">
      <c r="B95" s="99" t="s">
        <v>763</v>
      </c>
      <c r="C95" s="99"/>
      <c r="D95" s="99"/>
      <c r="E95" s="99"/>
      <c r="F95" s="99"/>
      <c r="G95" s="99"/>
      <c r="H95" s="99"/>
      <c r="I95" s="43"/>
      <c r="J95" s="99" t="str">
        <f t="shared" si="152"/>
        <v xml:space="preserve">    68  121       102       113       127       115       127       120</v>
      </c>
      <c r="T95" s="42"/>
      <c r="U95" s="135"/>
      <c r="V95" s="191"/>
      <c r="W95" s="187">
        <v>145</v>
      </c>
      <c r="X95" s="187">
        <v>0.52439999999999998</v>
      </c>
      <c r="Z95" s="101">
        <v>75</v>
      </c>
      <c r="AA95" s="101">
        <v>1</v>
      </c>
      <c r="AB95" s="101">
        <v>0.90400000000000003</v>
      </c>
      <c r="AD95" s="102">
        <f t="shared" si="132"/>
        <v>77</v>
      </c>
      <c r="AE95" s="102">
        <f t="shared" si="132"/>
        <v>144</v>
      </c>
      <c r="AF95" s="102">
        <f t="shared" si="133"/>
        <v>1661</v>
      </c>
      <c r="AG95" s="102">
        <f t="shared" si="134"/>
        <v>1878</v>
      </c>
      <c r="AH95" s="102">
        <f t="shared" si="135"/>
        <v>1559</v>
      </c>
      <c r="AI95" s="102">
        <f t="shared" si="136"/>
        <v>1440</v>
      </c>
      <c r="AJ95" s="102">
        <f t="shared" si="137"/>
        <v>1495</v>
      </c>
      <c r="AK95" s="102">
        <f t="shared" si="138"/>
        <v>1204</v>
      </c>
      <c r="AL95" s="102">
        <f>VLOOKUP($AE95,Usinas!$B$3:$F$241,5,FALSE)</f>
        <v>1</v>
      </c>
      <c r="AM95" s="102" t="str">
        <f>VLOOKUP($AE95,Usinas!$B$3:$H$241,7,FALSE)</f>
        <v>SUDESTE</v>
      </c>
      <c r="AN95" s="102" t="str">
        <f>VLOOKUP($AE95,Usinas!$B$3:$D$241,3,FALSE)</f>
        <v>DOCE</v>
      </c>
      <c r="AP95" s="103">
        <v>75</v>
      </c>
      <c r="AQ95" s="103" t="str">
        <f>IF(BA95=1,VLOOKUP($AP95,Usinas!$B$3:$F$244,2,0),"")</f>
        <v>SEGREDO</v>
      </c>
      <c r="AR95" s="103" t="str">
        <f>IF(BA95=1,VLOOKUP($AP95,Usinas!$B$3:$F$241,3,0),"")</f>
        <v>IGUAÇU</v>
      </c>
      <c r="AS95" s="103" t="str">
        <f>IF(BA95,VLOOKUP($AP95,Usinas!$B$3:$F$244,4,0),"")</f>
        <v>SUL</v>
      </c>
      <c r="AT95" s="103">
        <f t="shared" si="146"/>
        <v>0.90400000000000003</v>
      </c>
      <c r="AU95" s="104">
        <f t="shared" si="150"/>
        <v>736.76</v>
      </c>
      <c r="AV95" s="104">
        <f t="shared" si="150"/>
        <v>801.84800000000007</v>
      </c>
      <c r="AW95" s="104">
        <f t="shared" si="150"/>
        <v>854.28</v>
      </c>
      <c r="AX95" s="104">
        <f t="shared" si="150"/>
        <v>859.70400000000006</v>
      </c>
      <c r="AY95" s="104">
        <f t="shared" si="150"/>
        <v>809.98400000000004</v>
      </c>
      <c r="AZ95" s="104">
        <f t="shared" si="150"/>
        <v>739.47199999999998</v>
      </c>
      <c r="BA95" s="103">
        <f t="shared" si="147"/>
        <v>1</v>
      </c>
      <c r="BB95" s="103">
        <f t="shared" si="148"/>
        <v>0</v>
      </c>
      <c r="BC95" s="103" t="str">
        <f>IF(BA95=1,VLOOKUP($AP95,Usinas!$B$3:$H$244,7,0),"")</f>
        <v>IGUACU</v>
      </c>
      <c r="BM95" s="105">
        <f t="shared" si="139"/>
        <v>77</v>
      </c>
      <c r="BN95" s="105">
        <f t="shared" si="140"/>
        <v>144</v>
      </c>
      <c r="BO95" s="151">
        <f>IF($BP$15=1,IFERROR(VLOOKUP(BN95,$BZ$20:CA258,2,0),0),VALUE(RIGHT(LEFT($B104,21),10)))</f>
        <v>1218</v>
      </c>
      <c r="BP95" s="105">
        <f t="shared" si="141"/>
        <v>1377</v>
      </c>
      <c r="BQ95" s="105">
        <f t="shared" si="142"/>
        <v>1143</v>
      </c>
      <c r="BR95" s="105">
        <f t="shared" si="143"/>
        <v>1056</v>
      </c>
      <c r="BS95" s="105">
        <f t="shared" si="144"/>
        <v>1096</v>
      </c>
      <c r="BT95" s="105">
        <f t="shared" si="145"/>
        <v>883</v>
      </c>
      <c r="BU95" s="85"/>
      <c r="BV95" s="97" t="s">
        <v>331</v>
      </c>
      <c r="BW95" s="98">
        <f t="shared" si="151"/>
        <v>74</v>
      </c>
      <c r="BX95" s="97" t="str">
        <f t="shared" si="149"/>
        <v>PST 73</v>
      </c>
      <c r="BZ95" s="147">
        <v>216</v>
      </c>
      <c r="CA95" s="148">
        <v>450</v>
      </c>
      <c r="CB95" s="87"/>
      <c r="CC95" s="87"/>
      <c r="CF95" s="110"/>
      <c r="CG95" s="111"/>
      <c r="CH95" s="87"/>
      <c r="CI95" s="87"/>
      <c r="CJ95" s="87"/>
      <c r="CK95" s="87"/>
      <c r="CL95" s="87"/>
      <c r="CM95" s="87"/>
    </row>
    <row r="96" spans="2:91" ht="15.6" x14ac:dyDescent="0.3">
      <c r="B96" s="99" t="s">
        <v>764</v>
      </c>
      <c r="C96" s="99"/>
      <c r="D96" s="99"/>
      <c r="E96" s="99"/>
      <c r="F96" s="99"/>
      <c r="G96" s="99"/>
      <c r="H96" s="99"/>
      <c r="I96" s="43"/>
      <c r="J96" s="99" t="str">
        <f t="shared" si="152"/>
        <v xml:space="preserve">    69  122       117       130       145       132       146       138</v>
      </c>
      <c r="T96" s="42"/>
      <c r="U96" s="135"/>
      <c r="V96" s="191"/>
      <c r="W96" s="187">
        <v>148</v>
      </c>
      <c r="X96" s="187">
        <v>0.25580000000000003</v>
      </c>
      <c r="Z96" s="101">
        <v>76</v>
      </c>
      <c r="AA96" s="101">
        <v>0</v>
      </c>
      <c r="AB96" s="101">
        <v>0</v>
      </c>
      <c r="AD96" s="102">
        <f t="shared" si="132"/>
        <v>78</v>
      </c>
      <c r="AE96" s="102">
        <f t="shared" si="132"/>
        <v>145</v>
      </c>
      <c r="AF96" s="102">
        <f t="shared" si="133"/>
        <v>123</v>
      </c>
      <c r="AG96" s="102">
        <f t="shared" si="134"/>
        <v>128</v>
      </c>
      <c r="AH96" s="102">
        <f t="shared" si="135"/>
        <v>135</v>
      </c>
      <c r="AI96" s="102">
        <f t="shared" si="136"/>
        <v>139</v>
      </c>
      <c r="AJ96" s="102">
        <f t="shared" si="137"/>
        <v>154</v>
      </c>
      <c r="AK96" s="102">
        <f t="shared" si="138"/>
        <v>154</v>
      </c>
      <c r="AL96" s="102">
        <f>VLOOKUP($AE96,Usinas!$B$3:$F$241,5,FALSE)</f>
        <v>1</v>
      </c>
      <c r="AM96" s="102" t="str">
        <f>VLOOKUP($AE96,Usinas!$B$3:$H$241,7,FALSE)</f>
        <v>MADEIRA</v>
      </c>
      <c r="AN96" s="102" t="str">
        <f>VLOOKUP($AE96,Usinas!$B$3:$D$241,3,FALSE)</f>
        <v>AMAZONAS (SE)</v>
      </c>
      <c r="AP96" s="103">
        <v>76</v>
      </c>
      <c r="AQ96" s="103" t="str">
        <f>IF(BA96=1,VLOOKUP($AP96,Usinas!$B$3:$F$244,2,0),"")</f>
        <v/>
      </c>
      <c r="AR96" s="103" t="str">
        <f>IF(BA96=1,VLOOKUP($AP96,Usinas!$B$3:$F$241,3,0),"")</f>
        <v/>
      </c>
      <c r="AS96" s="103" t="str">
        <f>IF(BA96,VLOOKUP($AP96,Usinas!$B$3:$F$244,4,0),"")</f>
        <v/>
      </c>
      <c r="AT96" s="103" t="str">
        <f t="shared" si="146"/>
        <v/>
      </c>
      <c r="AU96" s="104" t="str">
        <f t="shared" si="150"/>
        <v/>
      </c>
      <c r="AV96" s="104" t="str">
        <f t="shared" si="150"/>
        <v/>
      </c>
      <c r="AW96" s="104" t="str">
        <f t="shared" si="150"/>
        <v/>
      </c>
      <c r="AX96" s="104" t="str">
        <f t="shared" si="150"/>
        <v/>
      </c>
      <c r="AY96" s="104" t="str">
        <f t="shared" si="150"/>
        <v/>
      </c>
      <c r="AZ96" s="104" t="str">
        <f t="shared" si="150"/>
        <v/>
      </c>
      <c r="BA96" s="103">
        <f t="shared" si="147"/>
        <v>0</v>
      </c>
      <c r="BB96" s="103">
        <f t="shared" si="148"/>
        <v>0</v>
      </c>
      <c r="BC96" s="103" t="str">
        <f>IF(BA96=1,VLOOKUP($AP96,Usinas!$B$3:$H$244,7,0),"")</f>
        <v/>
      </c>
      <c r="BM96" s="105">
        <f t="shared" si="139"/>
        <v>78</v>
      </c>
      <c r="BN96" s="105">
        <f t="shared" si="140"/>
        <v>145</v>
      </c>
      <c r="BO96" s="151">
        <f>IF($BP$15=1,IFERROR(VLOOKUP(BN96,$BZ$20:CA259,2,0),0),VALUE(RIGHT(LEFT($B105,21),10)))</f>
        <v>90</v>
      </c>
      <c r="BP96" s="105">
        <f t="shared" si="141"/>
        <v>94</v>
      </c>
      <c r="BQ96" s="105">
        <f t="shared" si="142"/>
        <v>99</v>
      </c>
      <c r="BR96" s="105">
        <f t="shared" si="143"/>
        <v>102</v>
      </c>
      <c r="BS96" s="105">
        <f t="shared" si="144"/>
        <v>113</v>
      </c>
      <c r="BT96" s="105">
        <f t="shared" si="145"/>
        <v>113</v>
      </c>
      <c r="BU96" s="85"/>
      <c r="BV96" s="97" t="s">
        <v>331</v>
      </c>
      <c r="BW96" s="98">
        <f t="shared" si="151"/>
        <v>76</v>
      </c>
      <c r="BX96" s="97" t="str">
        <f t="shared" si="149"/>
        <v>PST 74</v>
      </c>
      <c r="BZ96" s="147">
        <v>217</v>
      </c>
      <c r="CA96" s="148">
        <v>1119</v>
      </c>
      <c r="CB96" s="87"/>
      <c r="CC96" s="87"/>
      <c r="CF96" s="110"/>
      <c r="CG96" s="111"/>
      <c r="CH96" s="87"/>
      <c r="CI96" s="87"/>
      <c r="CJ96" s="87"/>
      <c r="CK96" s="87"/>
      <c r="CL96" s="87"/>
      <c r="CM96" s="87"/>
    </row>
    <row r="97" spans="2:91" ht="15.6" x14ac:dyDescent="0.3">
      <c r="B97" s="99" t="s">
        <v>765</v>
      </c>
      <c r="C97" s="99"/>
      <c r="D97" s="99"/>
      <c r="E97" s="99"/>
      <c r="F97" s="99"/>
      <c r="G97" s="99"/>
      <c r="H97" s="99"/>
      <c r="I97" s="43"/>
      <c r="J97" s="99" t="str">
        <f t="shared" si="152"/>
        <v xml:space="preserve">    70  123       346       406       449       450       432       431</v>
      </c>
      <c r="T97" s="42"/>
      <c r="U97" s="135"/>
      <c r="V97" s="191"/>
      <c r="W97" s="187">
        <v>149</v>
      </c>
      <c r="X97" s="187">
        <v>0.27110000000000001</v>
      </c>
      <c r="Z97" s="101">
        <v>77</v>
      </c>
      <c r="AA97" s="101">
        <v>1</v>
      </c>
      <c r="AB97" s="101">
        <v>0.8921</v>
      </c>
      <c r="AD97" s="102">
        <f t="shared" si="132"/>
        <v>79</v>
      </c>
      <c r="AE97" s="102">
        <f t="shared" si="132"/>
        <v>148</v>
      </c>
      <c r="AF97" s="102">
        <f t="shared" si="133"/>
        <v>1334</v>
      </c>
      <c r="AG97" s="102">
        <f t="shared" si="134"/>
        <v>1534</v>
      </c>
      <c r="AH97" s="102">
        <f t="shared" si="135"/>
        <v>1290</v>
      </c>
      <c r="AI97" s="102">
        <f t="shared" si="136"/>
        <v>1170</v>
      </c>
      <c r="AJ97" s="102">
        <f t="shared" si="137"/>
        <v>1220</v>
      </c>
      <c r="AK97" s="102">
        <f t="shared" si="138"/>
        <v>987</v>
      </c>
      <c r="AL97" s="102">
        <f>VLOOKUP($AE97,Usinas!$B$3:$F$241,5,FALSE)</f>
        <v>1</v>
      </c>
      <c r="AM97" s="102" t="str">
        <f>VLOOKUP($AE97,Usinas!$B$3:$H$241,7,FALSE)</f>
        <v>SUDESTE</v>
      </c>
      <c r="AN97" s="102" t="str">
        <f>VLOOKUP($AE97,Usinas!$B$3:$D$241,3,FALSE)</f>
        <v>DOCE</v>
      </c>
      <c r="AP97" s="103">
        <v>77</v>
      </c>
      <c r="AQ97" s="103" t="str">
        <f>IF(BA97=1,VLOOKUP($AP97,Usinas!$B$3:$F$244,2,0),"")</f>
        <v>SLT SANTIAGO</v>
      </c>
      <c r="AR97" s="103" t="str">
        <f>IF(BA97=1,VLOOKUP($AP97,Usinas!$B$3:$F$241,3,0),"")</f>
        <v>IGUAÇU</v>
      </c>
      <c r="AS97" s="103" t="str">
        <f>IF(BA97,VLOOKUP($AP97,Usinas!$B$3:$F$244,4,0),"")</f>
        <v>SUL</v>
      </c>
      <c r="AT97" s="103">
        <f t="shared" si="146"/>
        <v>0.8921</v>
      </c>
      <c r="AU97" s="104">
        <f t="shared" si="150"/>
        <v>820.73199999999997</v>
      </c>
      <c r="AV97" s="104">
        <f t="shared" si="150"/>
        <v>886.74739999999997</v>
      </c>
      <c r="AW97" s="104">
        <f t="shared" si="150"/>
        <v>944.73389999999995</v>
      </c>
      <c r="AX97" s="104">
        <f t="shared" si="150"/>
        <v>943.84180000000003</v>
      </c>
      <c r="AY97" s="104">
        <f t="shared" si="150"/>
        <v>892.99210000000005</v>
      </c>
      <c r="AZ97" s="104">
        <f t="shared" si="150"/>
        <v>827.86879999999996</v>
      </c>
      <c r="BA97" s="103">
        <f t="shared" si="147"/>
        <v>1</v>
      </c>
      <c r="BB97" s="103">
        <f t="shared" si="148"/>
        <v>0</v>
      </c>
      <c r="BC97" s="103" t="str">
        <f>IF(BA97=1,VLOOKUP($AP97,Usinas!$B$3:$H$244,7,0),"")</f>
        <v>IGUACU</v>
      </c>
      <c r="BM97" s="105">
        <f t="shared" si="139"/>
        <v>79</v>
      </c>
      <c r="BN97" s="105">
        <f t="shared" si="140"/>
        <v>148</v>
      </c>
      <c r="BO97" s="151">
        <f>IF($BP$15=1,IFERROR(VLOOKUP(BN97,$BZ$20:CA260,2,0),0),VALUE(RIGHT(LEFT($B106,21),10)))</f>
        <v>978</v>
      </c>
      <c r="BP97" s="105">
        <f t="shared" si="141"/>
        <v>1125</v>
      </c>
      <c r="BQ97" s="105">
        <f t="shared" si="142"/>
        <v>946</v>
      </c>
      <c r="BR97" s="105">
        <f t="shared" si="143"/>
        <v>858</v>
      </c>
      <c r="BS97" s="105">
        <f t="shared" si="144"/>
        <v>895</v>
      </c>
      <c r="BT97" s="105">
        <f t="shared" si="145"/>
        <v>724</v>
      </c>
      <c r="BU97" s="85"/>
      <c r="BV97" s="97" t="s">
        <v>331</v>
      </c>
      <c r="BW97" s="98">
        <f t="shared" si="151"/>
        <v>77</v>
      </c>
      <c r="BX97" s="97" t="str">
        <f t="shared" si="149"/>
        <v>PST 76</v>
      </c>
      <c r="BZ97" s="147">
        <v>92</v>
      </c>
      <c r="CA97" s="148">
        <v>1509</v>
      </c>
      <c r="CB97" s="87"/>
      <c r="CC97" s="87"/>
      <c r="CF97" s="110"/>
      <c r="CG97" s="111"/>
      <c r="CH97" s="87"/>
      <c r="CI97" s="87"/>
      <c r="CJ97" s="87"/>
      <c r="CK97" s="87"/>
      <c r="CL97" s="87"/>
      <c r="CM97" s="87"/>
    </row>
    <row r="98" spans="2:91" ht="15.6" x14ac:dyDescent="0.3">
      <c r="B98" s="99" t="s">
        <v>766</v>
      </c>
      <c r="C98" s="99"/>
      <c r="D98" s="99"/>
      <c r="E98" s="99"/>
      <c r="F98" s="99"/>
      <c r="G98" s="99"/>
      <c r="H98" s="99"/>
      <c r="I98" s="43"/>
      <c r="J98" s="99" t="str">
        <f t="shared" si="152"/>
        <v xml:space="preserve">    71  125       447       526       584       588       548       543</v>
      </c>
      <c r="T98" s="42"/>
      <c r="U98" s="135"/>
      <c r="V98" s="191"/>
      <c r="W98" s="187">
        <v>155</v>
      </c>
      <c r="X98" s="187">
        <v>0.33460000000000001</v>
      </c>
      <c r="Z98" s="101">
        <v>78</v>
      </c>
      <c r="AA98" s="101">
        <v>1</v>
      </c>
      <c r="AB98" s="101">
        <v>0.57469999999999999</v>
      </c>
      <c r="AD98" s="102">
        <f t="shared" si="132"/>
        <v>80</v>
      </c>
      <c r="AE98" s="102">
        <f t="shared" si="132"/>
        <v>149</v>
      </c>
      <c r="AF98" s="102">
        <f t="shared" si="133"/>
        <v>301</v>
      </c>
      <c r="AG98" s="102">
        <f t="shared" si="134"/>
        <v>401</v>
      </c>
      <c r="AH98" s="102">
        <f t="shared" si="135"/>
        <v>338</v>
      </c>
      <c r="AI98" s="102">
        <f t="shared" si="136"/>
        <v>245</v>
      </c>
      <c r="AJ98" s="102">
        <f t="shared" si="137"/>
        <v>284</v>
      </c>
      <c r="AK98" s="102">
        <f t="shared" si="138"/>
        <v>237</v>
      </c>
      <c r="AL98" s="102">
        <f>VLOOKUP($AE98,Usinas!$B$3:$F$241,5,FALSE)</f>
        <v>1</v>
      </c>
      <c r="AM98" s="102" t="str">
        <f>VLOOKUP($AE98,Usinas!$B$3:$H$241,7,FALSE)</f>
        <v>SUDESTE</v>
      </c>
      <c r="AN98" s="102" t="str">
        <f>VLOOKUP($AE98,Usinas!$B$3:$D$241,3,FALSE)</f>
        <v>DOCE</v>
      </c>
      <c r="AP98" s="103">
        <v>78</v>
      </c>
      <c r="AQ98" s="103" t="str">
        <f>IF(BA98=1,VLOOKUP($AP98,Usinas!$B$3:$F$244,2,0),"")</f>
        <v>SALTO OSÓRIO</v>
      </c>
      <c r="AR98" s="103" t="str">
        <f>IF(BA98=1,VLOOKUP($AP98,Usinas!$B$3:$F$241,3,0),"")</f>
        <v>IGUAÇU</v>
      </c>
      <c r="AS98" s="103" t="str">
        <f>IF(BA98,VLOOKUP($AP98,Usinas!$B$3:$F$244,4,0),"")</f>
        <v>SUL</v>
      </c>
      <c r="AT98" s="103">
        <f t="shared" si="146"/>
        <v>0.57469999999999999</v>
      </c>
      <c r="AU98" s="104">
        <f t="shared" si="150"/>
        <v>547.11439999999993</v>
      </c>
      <c r="AV98" s="104">
        <f t="shared" si="150"/>
        <v>593.66509999999994</v>
      </c>
      <c r="AW98" s="104">
        <f t="shared" si="150"/>
        <v>629.87120000000004</v>
      </c>
      <c r="AX98" s="104">
        <f t="shared" si="150"/>
        <v>630.44589999999994</v>
      </c>
      <c r="AY98" s="104">
        <f t="shared" si="150"/>
        <v>597.68799999999999</v>
      </c>
      <c r="AZ98" s="104">
        <f t="shared" si="150"/>
        <v>559.18309999999997</v>
      </c>
      <c r="BA98" s="103">
        <f t="shared" si="147"/>
        <v>1</v>
      </c>
      <c r="BB98" s="103">
        <f t="shared" si="148"/>
        <v>0</v>
      </c>
      <c r="BC98" s="103" t="str">
        <f>IF(BA98=1,VLOOKUP($AP98,Usinas!$B$3:$H$244,7,0),"")</f>
        <v>IGUACU</v>
      </c>
      <c r="BM98" s="105">
        <f t="shared" si="139"/>
        <v>80</v>
      </c>
      <c r="BN98" s="105">
        <f t="shared" si="140"/>
        <v>149</v>
      </c>
      <c r="BO98" s="151">
        <f>IF($BP$15=1,IFERROR(VLOOKUP(BN98,$BZ$20:CA261,2,0),0),VALUE(RIGHT(LEFT($B107,21),10)))</f>
        <v>221</v>
      </c>
      <c r="BP98" s="105">
        <f t="shared" si="141"/>
        <v>294</v>
      </c>
      <c r="BQ98" s="105">
        <f t="shared" si="142"/>
        <v>248</v>
      </c>
      <c r="BR98" s="105">
        <f t="shared" si="143"/>
        <v>180</v>
      </c>
      <c r="BS98" s="105">
        <f t="shared" si="144"/>
        <v>208</v>
      </c>
      <c r="BT98" s="105">
        <f t="shared" si="145"/>
        <v>174</v>
      </c>
      <c r="BU98" s="85"/>
      <c r="BV98" s="97" t="s">
        <v>331</v>
      </c>
      <c r="BW98" s="98">
        <f t="shared" si="151"/>
        <v>78</v>
      </c>
      <c r="BX98" s="97" t="str">
        <f t="shared" si="149"/>
        <v>PST 77</v>
      </c>
      <c r="BZ98" s="147">
        <v>93</v>
      </c>
      <c r="CA98" s="148">
        <v>37</v>
      </c>
      <c r="CB98" s="87"/>
      <c r="CC98" s="87"/>
      <c r="CF98" s="110"/>
      <c r="CG98" s="111"/>
      <c r="CH98" s="87"/>
      <c r="CI98" s="87"/>
      <c r="CJ98" s="87"/>
      <c r="CK98" s="87"/>
      <c r="CL98" s="87"/>
      <c r="CM98" s="87"/>
    </row>
    <row r="99" spans="2:91" ht="15.6" x14ac:dyDescent="0.3">
      <c r="B99" s="99" t="s">
        <v>767</v>
      </c>
      <c r="C99" s="99"/>
      <c r="D99" s="99"/>
      <c r="E99" s="99"/>
      <c r="F99" s="99"/>
      <c r="G99" s="99"/>
      <c r="H99" s="99"/>
      <c r="I99" s="43"/>
      <c r="J99" s="99" t="str">
        <f t="shared" si="152"/>
        <v xml:space="preserve">    72  129       920      1046      1114      1084       968       974</v>
      </c>
      <c r="T99" s="42"/>
      <c r="U99" s="135"/>
      <c r="V99" s="191"/>
      <c r="W99" s="187">
        <v>156</v>
      </c>
      <c r="X99" s="187">
        <v>0.436</v>
      </c>
      <c r="Z99" s="101">
        <v>79</v>
      </c>
      <c r="AA99" s="101">
        <v>0</v>
      </c>
      <c r="AB99" s="101">
        <v>0</v>
      </c>
      <c r="AD99" s="102">
        <f t="shared" si="132"/>
        <v>81</v>
      </c>
      <c r="AE99" s="102">
        <f t="shared" si="132"/>
        <v>154</v>
      </c>
      <c r="AF99" s="102">
        <f t="shared" si="133"/>
        <v>125</v>
      </c>
      <c r="AG99" s="102">
        <f t="shared" si="134"/>
        <v>132</v>
      </c>
      <c r="AH99" s="102">
        <f t="shared" si="135"/>
        <v>138</v>
      </c>
      <c r="AI99" s="102">
        <f t="shared" si="136"/>
        <v>136</v>
      </c>
      <c r="AJ99" s="102">
        <f t="shared" si="137"/>
        <v>138</v>
      </c>
      <c r="AK99" s="102">
        <f t="shared" si="138"/>
        <v>138</v>
      </c>
      <c r="AL99" s="102">
        <f>VLOOKUP($AE99,Usinas!$B$3:$F$241,5,FALSE)</f>
        <v>1</v>
      </c>
      <c r="AM99" s="102" t="str">
        <f>VLOOKUP($AE99,Usinas!$B$3:$H$241,7,FALSE)</f>
        <v>SUDESTE</v>
      </c>
      <c r="AN99" s="102" t="str">
        <f>VLOOKUP($AE99,Usinas!$B$3:$D$241,3,FALSE)</f>
        <v>BAIXO PARANÁ</v>
      </c>
      <c r="AP99" s="103">
        <v>79</v>
      </c>
      <c r="AQ99" s="103" t="str">
        <f>IF(BA99=1,VLOOKUP($AP99,Usinas!$B$3:$F$244,2,0),"")</f>
        <v/>
      </c>
      <c r="AR99" s="103" t="str">
        <f>IF(BA99=1,VLOOKUP($AP99,Usinas!$B$3:$F$241,3,0),"")</f>
        <v/>
      </c>
      <c r="AS99" s="103" t="str">
        <f>IF(BA99,VLOOKUP($AP99,Usinas!$B$3:$F$244,4,0),"")</f>
        <v/>
      </c>
      <c r="AT99" s="103" t="str">
        <f t="shared" si="146"/>
        <v/>
      </c>
      <c r="AU99" s="104" t="str">
        <f t="shared" si="150"/>
        <v/>
      </c>
      <c r="AV99" s="104" t="str">
        <f t="shared" si="150"/>
        <v/>
      </c>
      <c r="AW99" s="104" t="str">
        <f t="shared" si="150"/>
        <v/>
      </c>
      <c r="AX99" s="104" t="str">
        <f t="shared" si="150"/>
        <v/>
      </c>
      <c r="AY99" s="104" t="str">
        <f t="shared" si="150"/>
        <v/>
      </c>
      <c r="AZ99" s="104" t="str">
        <f t="shared" si="150"/>
        <v/>
      </c>
      <c r="BA99" s="103">
        <f t="shared" si="147"/>
        <v>0</v>
      </c>
      <c r="BB99" s="103">
        <f t="shared" si="148"/>
        <v>0</v>
      </c>
      <c r="BC99" s="103" t="str">
        <f>IF(BA99=1,VLOOKUP($AP99,Usinas!$B$3:$H$244,7,0),"")</f>
        <v/>
      </c>
      <c r="BM99" s="105">
        <f t="shared" si="139"/>
        <v>81</v>
      </c>
      <c r="BN99" s="105">
        <f t="shared" si="140"/>
        <v>154</v>
      </c>
      <c r="BO99" s="151">
        <f>IF($BP$15=1,IFERROR(VLOOKUP(BN99,$BZ$20:CA262,2,0),0),VALUE(RIGHT(LEFT($B108,21),10)))</f>
        <v>92</v>
      </c>
      <c r="BP99" s="105">
        <f t="shared" si="141"/>
        <v>97</v>
      </c>
      <c r="BQ99" s="105">
        <f t="shared" si="142"/>
        <v>101</v>
      </c>
      <c r="BR99" s="105">
        <f t="shared" si="143"/>
        <v>100</v>
      </c>
      <c r="BS99" s="105">
        <f t="shared" si="144"/>
        <v>101</v>
      </c>
      <c r="BT99" s="105">
        <f t="shared" si="145"/>
        <v>101</v>
      </c>
      <c r="BU99" s="85"/>
      <c r="BV99" s="97" t="s">
        <v>331</v>
      </c>
      <c r="BW99" s="98">
        <f t="shared" si="151"/>
        <v>81</v>
      </c>
      <c r="BX99" s="97" t="str">
        <f t="shared" si="149"/>
        <v>PST 78</v>
      </c>
      <c r="BZ99" s="147">
        <v>220</v>
      </c>
      <c r="CA99" s="148">
        <v>70</v>
      </c>
      <c r="CB99" s="87"/>
      <c r="CC99" s="87"/>
      <c r="CF99" s="110"/>
      <c r="CG99" s="111"/>
      <c r="CH99" s="87"/>
      <c r="CI99" s="87"/>
      <c r="CJ99" s="87"/>
      <c r="CK99" s="87"/>
      <c r="CL99" s="87"/>
      <c r="CM99" s="87"/>
    </row>
    <row r="100" spans="2:91" ht="15.6" x14ac:dyDescent="0.3">
      <c r="B100" s="99" t="s">
        <v>768</v>
      </c>
      <c r="C100" s="99"/>
      <c r="D100" s="99"/>
      <c r="E100" s="99"/>
      <c r="F100" s="99"/>
      <c r="G100" s="99"/>
      <c r="H100" s="99"/>
      <c r="I100" s="43"/>
      <c r="J100" s="99" t="str">
        <f t="shared" si="152"/>
        <v xml:space="preserve">    73  130      1047      1190      1256      1227      1084      1091</v>
      </c>
      <c r="T100" s="42"/>
      <c r="U100" s="135"/>
      <c r="V100" s="191"/>
      <c r="W100" s="187">
        <v>158</v>
      </c>
      <c r="X100" s="187">
        <v>1.6404000000000001</v>
      </c>
      <c r="Z100" s="101">
        <v>80</v>
      </c>
      <c r="AA100" s="101">
        <v>0</v>
      </c>
      <c r="AB100" s="101">
        <v>0</v>
      </c>
      <c r="AD100" s="102">
        <f t="shared" si="132"/>
        <v>82</v>
      </c>
      <c r="AE100" s="102">
        <f t="shared" si="132"/>
        <v>155</v>
      </c>
      <c r="AF100" s="102">
        <f t="shared" si="133"/>
        <v>213</v>
      </c>
      <c r="AG100" s="102">
        <f t="shared" si="134"/>
        <v>293</v>
      </c>
      <c r="AH100" s="102">
        <f t="shared" si="135"/>
        <v>282</v>
      </c>
      <c r="AI100" s="102">
        <f t="shared" si="136"/>
        <v>225</v>
      </c>
      <c r="AJ100" s="102">
        <f t="shared" si="137"/>
        <v>217</v>
      </c>
      <c r="AK100" s="102">
        <f t="shared" si="138"/>
        <v>180</v>
      </c>
      <c r="AL100" s="102">
        <f>VLOOKUP($AE100,Usinas!$B$3:$F$241,5,FALSE)</f>
        <v>1</v>
      </c>
      <c r="AM100" s="102" t="str">
        <f>VLOOKUP($AE100,Usinas!$B$3:$H$241,7,FALSE)</f>
        <v>SUDESTE</v>
      </c>
      <c r="AN100" s="102" t="str">
        <f>VLOOKUP($AE100,Usinas!$B$3:$D$241,3,FALSE)</f>
        <v>SÃO FRANCISCO (SE)</v>
      </c>
      <c r="AP100" s="103">
        <v>80</v>
      </c>
      <c r="AQ100" s="103" t="str">
        <f>IF(BA100=1,VLOOKUP($AP100,Usinas!$B$3:$F$244,2,0),"")</f>
        <v/>
      </c>
      <c r="AR100" s="103" t="str">
        <f>IF(BA100=1,VLOOKUP($AP100,Usinas!$B$3:$F$241,3,0),"")</f>
        <v/>
      </c>
      <c r="AS100" s="103" t="str">
        <f>IF(BA100,VLOOKUP($AP100,Usinas!$B$3:$F$244,4,0),"")</f>
        <v/>
      </c>
      <c r="AT100" s="103" t="str">
        <f t="shared" si="146"/>
        <v/>
      </c>
      <c r="AU100" s="104" t="str">
        <f t="shared" si="150"/>
        <v/>
      </c>
      <c r="AV100" s="104" t="str">
        <f t="shared" si="150"/>
        <v/>
      </c>
      <c r="AW100" s="104" t="str">
        <f t="shared" si="150"/>
        <v/>
      </c>
      <c r="AX100" s="104" t="str">
        <f t="shared" si="150"/>
        <v/>
      </c>
      <c r="AY100" s="104" t="str">
        <f t="shared" si="150"/>
        <v/>
      </c>
      <c r="AZ100" s="104" t="str">
        <f t="shared" si="150"/>
        <v/>
      </c>
      <c r="BA100" s="103">
        <f t="shared" si="147"/>
        <v>0</v>
      </c>
      <c r="BB100" s="103">
        <f t="shared" si="148"/>
        <v>0</v>
      </c>
      <c r="BC100" s="103" t="str">
        <f>IF(BA100=1,VLOOKUP($AP100,Usinas!$B$3:$H$244,7,0),"")</f>
        <v/>
      </c>
      <c r="BG100" s="42" t="e" cm="1">
        <f t="array" ref="BG100:BH112">VLOOKUP(BD81:BE93,1,1,0)</f>
        <v>#N/A</v>
      </c>
      <c r="BH100" s="42" t="e">
        <v>#N/A</v>
      </c>
      <c r="BM100" s="105">
        <f t="shared" si="139"/>
        <v>82</v>
      </c>
      <c r="BN100" s="105">
        <f t="shared" si="140"/>
        <v>155</v>
      </c>
      <c r="BO100" s="151">
        <f>IF($BP$15=1,IFERROR(VLOOKUP(BN100,$BZ$20:CA263,2,0),0),VALUE(RIGHT(LEFT($B109,21),10)))</f>
        <v>156</v>
      </c>
      <c r="BP100" s="105">
        <f t="shared" si="141"/>
        <v>215</v>
      </c>
      <c r="BQ100" s="105">
        <f t="shared" si="142"/>
        <v>207</v>
      </c>
      <c r="BR100" s="105">
        <f t="shared" si="143"/>
        <v>165</v>
      </c>
      <c r="BS100" s="105">
        <f t="shared" si="144"/>
        <v>159</v>
      </c>
      <c r="BT100" s="105">
        <f t="shared" si="145"/>
        <v>132</v>
      </c>
      <c r="BU100" s="85"/>
      <c r="BV100" s="97" t="s">
        <v>331</v>
      </c>
      <c r="BW100" s="98">
        <f t="shared" si="151"/>
        <v>88</v>
      </c>
      <c r="BX100" s="97" t="str">
        <f t="shared" si="149"/>
        <v>PST 81</v>
      </c>
      <c r="BZ100" s="147">
        <v>94</v>
      </c>
      <c r="CA100" s="148">
        <v>1954</v>
      </c>
      <c r="CB100" s="87"/>
      <c r="CC100" s="87"/>
      <c r="CF100" s="110"/>
      <c r="CG100" s="111"/>
      <c r="CH100" s="87"/>
      <c r="CI100" s="87"/>
      <c r="CJ100" s="87"/>
      <c r="CK100" s="87"/>
      <c r="CL100" s="87"/>
      <c r="CM100" s="87"/>
    </row>
    <row r="101" spans="2:91" ht="15.6" x14ac:dyDescent="0.3">
      <c r="B101" s="99" t="s">
        <v>769</v>
      </c>
      <c r="C101" s="99"/>
      <c r="D101" s="99"/>
      <c r="E101" s="99"/>
      <c r="F101" s="99"/>
      <c r="G101" s="99"/>
      <c r="H101" s="99"/>
      <c r="I101" s="43"/>
      <c r="J101" s="99" t="str">
        <f t="shared" si="152"/>
        <v xml:space="preserve">    74  134       315       311       243       282       275       229</v>
      </c>
      <c r="T101" s="42"/>
      <c r="U101" s="135"/>
      <c r="V101" s="191"/>
      <c r="W101" s="187">
        <v>169</v>
      </c>
      <c r="X101" s="187">
        <v>0.24490000000000001</v>
      </c>
      <c r="Z101" s="101">
        <v>81</v>
      </c>
      <c r="AA101" s="101">
        <v>1</v>
      </c>
      <c r="AB101" s="101">
        <v>0.14580000000000001</v>
      </c>
      <c r="AD101" s="102">
        <f t="shared" si="132"/>
        <v>83</v>
      </c>
      <c r="AE101" s="102">
        <f t="shared" si="132"/>
        <v>156</v>
      </c>
      <c r="AF101" s="102">
        <f t="shared" si="133"/>
        <v>1218</v>
      </c>
      <c r="AG101" s="102">
        <f t="shared" si="134"/>
        <v>1473</v>
      </c>
      <c r="AH101" s="102">
        <f t="shared" si="135"/>
        <v>1379</v>
      </c>
      <c r="AI101" s="102">
        <f t="shared" si="136"/>
        <v>1256</v>
      </c>
      <c r="AJ101" s="102">
        <f t="shared" si="137"/>
        <v>1278</v>
      </c>
      <c r="AK101" s="102">
        <f t="shared" si="138"/>
        <v>1197</v>
      </c>
      <c r="AL101" s="102">
        <f>VLOOKUP($AE101,Usinas!$B$3:$F$241,5,FALSE)</f>
        <v>1</v>
      </c>
      <c r="AM101" s="102" t="str">
        <f>VLOOKUP($AE101,Usinas!$B$3:$H$241,7,FALSE)</f>
        <v>SUDESTE</v>
      </c>
      <c r="AN101" s="102" t="str">
        <f>VLOOKUP($AE101,Usinas!$B$3:$D$241,3,FALSE)</f>
        <v>SÃO FRANCISCO (SE)</v>
      </c>
      <c r="AP101" s="103">
        <v>81</v>
      </c>
      <c r="AQ101" s="103" t="str">
        <f>IF(BA101=1,VLOOKUP($AP101,Usinas!$B$3:$F$244,2,0),"")</f>
        <v>BAIXO IGUAC</v>
      </c>
      <c r="AR101" s="103" t="str">
        <f>IF(BA101=1,VLOOKUP($AP101,Usinas!$B$3:$F$241,3,0),"")</f>
        <v>IGUAÇU</v>
      </c>
      <c r="AS101" s="103" t="str">
        <f>IF(BA101,VLOOKUP($AP101,Usinas!$B$3:$F$244,4,0),"")</f>
        <v>SUL</v>
      </c>
      <c r="AT101" s="103">
        <f t="shared" si="146"/>
        <v>0.14580000000000001</v>
      </c>
      <c r="AU101" s="104">
        <f t="shared" ref="AU101:AZ110" si="153">IF($BA101=1,IFERROR(VLOOKUP($AP101,$AE$21:$AK$211,AU$19,0),VLOOKUP($AP101,$BE$21:$BK$65,AU$19,0))*$AT101,"")</f>
        <v>188.81100000000001</v>
      </c>
      <c r="AV101" s="104">
        <f t="shared" si="153"/>
        <v>200.76660000000001</v>
      </c>
      <c r="AW101" s="104">
        <f t="shared" si="153"/>
        <v>213.01380000000003</v>
      </c>
      <c r="AX101" s="104">
        <f t="shared" si="153"/>
        <v>209.22300000000001</v>
      </c>
      <c r="AY101" s="104">
        <f t="shared" si="153"/>
        <v>198.43380000000002</v>
      </c>
      <c r="AZ101" s="104">
        <f t="shared" si="153"/>
        <v>190.70640000000003</v>
      </c>
      <c r="BA101" s="103">
        <v>1</v>
      </c>
      <c r="BB101" s="103">
        <f t="shared" si="148"/>
        <v>0</v>
      </c>
      <c r="BC101" s="103" t="str">
        <f>IF(BA101=1,VLOOKUP($AP101,Usinas!$B$3:$H$244,7,0),"")</f>
        <v>IGUACU</v>
      </c>
      <c r="BG101" s="42" t="e">
        <v>#N/A</v>
      </c>
      <c r="BH101" s="42" t="e">
        <v>#N/A</v>
      </c>
      <c r="BM101" s="105">
        <f t="shared" si="139"/>
        <v>83</v>
      </c>
      <c r="BN101" s="105">
        <f t="shared" si="140"/>
        <v>156</v>
      </c>
      <c r="BO101" s="151">
        <f>IF($BP$15=1,IFERROR(VLOOKUP(BN101,$BZ$20:CA264,2,0),0),VALUE(RIGHT(LEFT($B110,21),10)))</f>
        <v>893</v>
      </c>
      <c r="BP101" s="105">
        <f t="shared" si="141"/>
        <v>1080</v>
      </c>
      <c r="BQ101" s="105">
        <f t="shared" si="142"/>
        <v>1011</v>
      </c>
      <c r="BR101" s="105">
        <f t="shared" si="143"/>
        <v>921</v>
      </c>
      <c r="BS101" s="105">
        <f t="shared" si="144"/>
        <v>937</v>
      </c>
      <c r="BT101" s="105">
        <f t="shared" si="145"/>
        <v>878</v>
      </c>
      <c r="BU101" s="85"/>
      <c r="BV101" s="97" t="s">
        <v>331</v>
      </c>
      <c r="BW101" s="98">
        <f t="shared" si="151"/>
        <v>89</v>
      </c>
      <c r="BX101" s="97" t="str">
        <f t="shared" si="149"/>
        <v>PST 88</v>
      </c>
      <c r="BZ101" s="147">
        <v>286</v>
      </c>
      <c r="CA101" s="148">
        <v>91</v>
      </c>
      <c r="CB101" s="87"/>
      <c r="CC101" s="87"/>
      <c r="CF101" s="110"/>
      <c r="CG101" s="111"/>
      <c r="CH101" s="87"/>
      <c r="CI101" s="87"/>
      <c r="CJ101" s="87"/>
      <c r="CK101" s="87"/>
      <c r="CL101" s="87"/>
      <c r="CM101" s="87"/>
    </row>
    <row r="102" spans="2:91" ht="15.6" x14ac:dyDescent="0.3">
      <c r="B102" s="99" t="s">
        <v>770</v>
      </c>
      <c r="C102" s="99"/>
      <c r="D102" s="99"/>
      <c r="E102" s="99"/>
      <c r="F102" s="99"/>
      <c r="G102" s="99"/>
      <c r="H102" s="99"/>
      <c r="I102" s="43"/>
      <c r="J102" s="99" t="str">
        <f t="shared" si="152"/>
        <v xml:space="preserve">    75  135       248       281       247       192       198       177</v>
      </c>
      <c r="T102" s="42"/>
      <c r="U102" s="135"/>
      <c r="V102" s="191"/>
      <c r="W102" s="187">
        <v>172</v>
      </c>
      <c r="X102" s="187">
        <v>0.4425</v>
      </c>
      <c r="Z102" s="101">
        <v>82</v>
      </c>
      <c r="AA102" s="101">
        <v>0</v>
      </c>
      <c r="AB102" s="101">
        <v>0</v>
      </c>
      <c r="AD102" s="102">
        <f t="shared" si="132"/>
        <v>84</v>
      </c>
      <c r="AE102" s="102">
        <f t="shared" si="132"/>
        <v>158</v>
      </c>
      <c r="AF102" s="102">
        <f t="shared" si="133"/>
        <v>59</v>
      </c>
      <c r="AG102" s="102">
        <f t="shared" si="134"/>
        <v>67</v>
      </c>
      <c r="AH102" s="102">
        <f t="shared" si="135"/>
        <v>70</v>
      </c>
      <c r="AI102" s="102">
        <f t="shared" si="136"/>
        <v>79</v>
      </c>
      <c r="AJ102" s="102">
        <f t="shared" si="137"/>
        <v>83</v>
      </c>
      <c r="AK102" s="102">
        <f t="shared" si="138"/>
        <v>90</v>
      </c>
      <c r="AL102" s="102">
        <f>VLOOKUP($AE102,Usinas!$B$3:$F$241,5,FALSE)</f>
        <v>1</v>
      </c>
      <c r="AM102" s="102" t="str">
        <f>VLOOKUP($AE102,Usinas!$B$3:$H$241,7,FALSE)</f>
        <v>SUDESTE</v>
      </c>
      <c r="AN102" s="102" t="str">
        <f>VLOOKUP($AE102,Usinas!$B$3:$D$241,3,FALSE)</f>
        <v>SÃO FRANCISCO (SE)</v>
      </c>
      <c r="AP102" s="103">
        <v>82</v>
      </c>
      <c r="AQ102" s="103" t="str">
        <f>IF(BA102=1,VLOOKUP($AP102,Usinas!$B$3:$F$244,2,0),"")</f>
        <v/>
      </c>
      <c r="AR102" s="103" t="str">
        <f>IF(BA102=1,VLOOKUP($AP102,Usinas!$B$3:$F$241,3,0),"")</f>
        <v/>
      </c>
      <c r="AS102" s="103" t="str">
        <f>IF(BA102,VLOOKUP($AP102,Usinas!$B$3:$F$244,4,0),"")</f>
        <v/>
      </c>
      <c r="AT102" s="103" t="str">
        <f t="shared" si="146"/>
        <v/>
      </c>
      <c r="AU102" s="104" t="str">
        <f t="shared" si="153"/>
        <v/>
      </c>
      <c r="AV102" s="104" t="str">
        <f t="shared" si="153"/>
        <v/>
      </c>
      <c r="AW102" s="104" t="str">
        <f t="shared" si="153"/>
        <v/>
      </c>
      <c r="AX102" s="104" t="str">
        <f t="shared" si="153"/>
        <v/>
      </c>
      <c r="AY102" s="104" t="str">
        <f t="shared" si="153"/>
        <v/>
      </c>
      <c r="AZ102" s="104" t="str">
        <f t="shared" si="153"/>
        <v/>
      </c>
      <c r="BA102" s="103">
        <f t="shared" si="147"/>
        <v>0</v>
      </c>
      <c r="BB102" s="103">
        <f t="shared" si="148"/>
        <v>0</v>
      </c>
      <c r="BC102" s="103" t="str">
        <f>IF(BA102=1,VLOOKUP($AP102,Usinas!$B$3:$H$244,7,0),"")</f>
        <v/>
      </c>
      <c r="BG102" s="42" t="e">
        <v>#N/A</v>
      </c>
      <c r="BH102" s="42" t="e">
        <v>#N/A</v>
      </c>
      <c r="BM102" s="105">
        <f t="shared" si="139"/>
        <v>84</v>
      </c>
      <c r="BN102" s="105">
        <f t="shared" si="140"/>
        <v>158</v>
      </c>
      <c r="BO102" s="151">
        <f>IF($BP$15=1,IFERROR(VLOOKUP(BN102,$BZ$20:CA265,2,0),0),VALUE(RIGHT(LEFT($B111,21),10)))</f>
        <v>43</v>
      </c>
      <c r="BP102" s="105">
        <f t="shared" si="141"/>
        <v>49</v>
      </c>
      <c r="BQ102" s="105">
        <f t="shared" si="142"/>
        <v>51</v>
      </c>
      <c r="BR102" s="105">
        <f t="shared" si="143"/>
        <v>58</v>
      </c>
      <c r="BS102" s="105">
        <f t="shared" si="144"/>
        <v>61</v>
      </c>
      <c r="BT102" s="105">
        <f t="shared" si="145"/>
        <v>66</v>
      </c>
      <c r="BU102" s="85"/>
      <c r="BV102" s="97" t="s">
        <v>331</v>
      </c>
      <c r="BW102" s="98">
        <f t="shared" si="151"/>
        <v>92</v>
      </c>
      <c r="BX102" s="97" t="str">
        <f t="shared" si="149"/>
        <v>PST 89</v>
      </c>
      <c r="BZ102" s="147">
        <v>102</v>
      </c>
      <c r="CA102" s="148">
        <v>383</v>
      </c>
      <c r="CB102" s="87"/>
      <c r="CC102" s="87"/>
      <c r="CF102" s="110"/>
      <c r="CG102" s="111"/>
      <c r="CH102" s="87"/>
      <c r="CI102" s="87"/>
      <c r="CJ102" s="87"/>
      <c r="CK102" s="87"/>
      <c r="CL102" s="87"/>
      <c r="CM102" s="87"/>
    </row>
    <row r="103" spans="2:91" ht="15.6" x14ac:dyDescent="0.3">
      <c r="B103" s="99" t="s">
        <v>771</v>
      </c>
      <c r="C103" s="99"/>
      <c r="D103" s="99"/>
      <c r="E103" s="99"/>
      <c r="F103" s="99"/>
      <c r="G103" s="99"/>
      <c r="H103" s="99"/>
      <c r="I103" s="43"/>
      <c r="J103" s="99" t="str">
        <f t="shared" si="152"/>
        <v xml:space="preserve">    76  141      1171      1346      1118      1017      1068       858</v>
      </c>
      <c r="T103" s="42"/>
      <c r="U103" s="135"/>
      <c r="V103" s="191"/>
      <c r="W103" s="187">
        <v>176</v>
      </c>
      <c r="X103" s="187">
        <v>1.0213000000000001</v>
      </c>
      <c r="Z103" s="101">
        <v>83</v>
      </c>
      <c r="AA103" s="101">
        <v>0</v>
      </c>
      <c r="AB103" s="101">
        <v>0</v>
      </c>
      <c r="AD103" s="102">
        <f t="shared" si="132"/>
        <v>85</v>
      </c>
      <c r="AE103" s="102">
        <f t="shared" si="132"/>
        <v>160</v>
      </c>
      <c r="AF103" s="102">
        <f t="shared" si="133"/>
        <v>16</v>
      </c>
      <c r="AG103" s="102">
        <f t="shared" si="134"/>
        <v>20</v>
      </c>
      <c r="AH103" s="102">
        <f t="shared" si="135"/>
        <v>23</v>
      </c>
      <c r="AI103" s="102">
        <f t="shared" si="136"/>
        <v>20</v>
      </c>
      <c r="AJ103" s="102">
        <f t="shared" si="137"/>
        <v>25</v>
      </c>
      <c r="AK103" s="102">
        <f t="shared" si="138"/>
        <v>22</v>
      </c>
      <c r="AL103" s="102">
        <f>VLOOKUP($AE103,Usinas!$B$3:$F$241,5,FALSE)</f>
        <v>1</v>
      </c>
      <c r="AM103" s="102" t="str">
        <f>VLOOKUP($AE103,Usinas!$B$3:$H$241,7,FALSE)</f>
        <v>SUDESTE</v>
      </c>
      <c r="AN103" s="102" t="str">
        <f>VLOOKUP($AE103,Usinas!$B$3:$D$241,3,FALSE)</f>
        <v>ALTO TIETÊ</v>
      </c>
      <c r="AP103" s="103">
        <v>83</v>
      </c>
      <c r="AQ103" s="103" t="str">
        <f>IF(BA103=1,VLOOKUP($AP103,Usinas!$B$3:$F$244,2,0),"")</f>
        <v/>
      </c>
      <c r="AR103" s="103" t="str">
        <f>IF(BA103=1,VLOOKUP($AP103,Usinas!$B$3:$F$241,3,0),"")</f>
        <v/>
      </c>
      <c r="AS103" s="103" t="str">
        <f>IF(BA103,VLOOKUP($AP103,Usinas!$B$3:$F$244,4,0),"")</f>
        <v/>
      </c>
      <c r="AT103" s="103" t="str">
        <f t="shared" si="146"/>
        <v/>
      </c>
      <c r="AU103" s="104" t="str">
        <f t="shared" si="153"/>
        <v/>
      </c>
      <c r="AV103" s="104" t="str">
        <f t="shared" si="153"/>
        <v/>
      </c>
      <c r="AW103" s="104" t="str">
        <f t="shared" si="153"/>
        <v/>
      </c>
      <c r="AX103" s="104" t="str">
        <f t="shared" si="153"/>
        <v/>
      </c>
      <c r="AY103" s="104" t="str">
        <f t="shared" si="153"/>
        <v/>
      </c>
      <c r="AZ103" s="104" t="str">
        <f t="shared" si="153"/>
        <v/>
      </c>
      <c r="BA103" s="103">
        <f t="shared" si="147"/>
        <v>0</v>
      </c>
      <c r="BB103" s="103">
        <f t="shared" si="148"/>
        <v>0</v>
      </c>
      <c r="BC103" s="103" t="str">
        <f>IF(BA103=1,VLOOKUP($AP103,Usinas!$B$3:$H$244,7,0),"")</f>
        <v/>
      </c>
      <c r="BG103" s="42" t="e">
        <v>#N/A</v>
      </c>
      <c r="BH103" s="42" t="e">
        <v>#N/A</v>
      </c>
      <c r="BM103" s="105">
        <f t="shared" si="139"/>
        <v>85</v>
      </c>
      <c r="BN103" s="105">
        <f t="shared" si="140"/>
        <v>160</v>
      </c>
      <c r="BO103" s="151">
        <f>IF($BP$15=1,IFERROR(VLOOKUP(BN103,$BZ$20:CA266,2,0),0),VALUE(RIGHT(LEFT($B112,21),10)))</f>
        <v>12</v>
      </c>
      <c r="BP103" s="105">
        <f t="shared" si="141"/>
        <v>15</v>
      </c>
      <c r="BQ103" s="105">
        <f t="shared" si="142"/>
        <v>17</v>
      </c>
      <c r="BR103" s="105">
        <f t="shared" si="143"/>
        <v>15</v>
      </c>
      <c r="BS103" s="105">
        <f t="shared" si="144"/>
        <v>18</v>
      </c>
      <c r="BT103" s="105">
        <f t="shared" si="145"/>
        <v>16</v>
      </c>
      <c r="BU103" s="85"/>
      <c r="BV103" s="97" t="s">
        <v>331</v>
      </c>
      <c r="BW103" s="98">
        <f t="shared" si="151"/>
        <v>93</v>
      </c>
      <c r="BX103" s="97" t="str">
        <f t="shared" si="149"/>
        <v>PST 92</v>
      </c>
      <c r="BZ103" s="147">
        <v>103</v>
      </c>
      <c r="CA103" s="148">
        <v>465</v>
      </c>
      <c r="CB103" s="87"/>
      <c r="CC103" s="87"/>
      <c r="CF103" s="110"/>
      <c r="CG103" s="111"/>
      <c r="CH103" s="87"/>
      <c r="CI103" s="87"/>
      <c r="CJ103" s="87"/>
      <c r="CK103" s="87"/>
      <c r="CL103" s="87"/>
      <c r="CM103" s="87"/>
    </row>
    <row r="104" spans="2:91" ht="15.6" x14ac:dyDescent="0.3">
      <c r="B104" s="99" t="s">
        <v>772</v>
      </c>
      <c r="C104" s="99"/>
      <c r="D104" s="99"/>
      <c r="E104" s="99"/>
      <c r="F104" s="99"/>
      <c r="G104" s="99"/>
      <c r="H104" s="99"/>
      <c r="I104" s="43"/>
      <c r="J104" s="99" t="str">
        <f t="shared" si="152"/>
        <v xml:space="preserve">    77  144      1661      1878      1559      1440      1495      1204</v>
      </c>
      <c r="T104" s="42"/>
      <c r="U104" s="135"/>
      <c r="V104" s="191"/>
      <c r="W104" s="187">
        <v>178</v>
      </c>
      <c r="X104" s="187">
        <v>1.0781000000000001</v>
      </c>
      <c r="Z104" s="101">
        <v>84</v>
      </c>
      <c r="AA104" s="101">
        <v>0</v>
      </c>
      <c r="AB104" s="101">
        <v>0</v>
      </c>
      <c r="AD104" s="102">
        <f t="shared" si="132"/>
        <v>86</v>
      </c>
      <c r="AE104" s="102">
        <f t="shared" si="132"/>
        <v>161</v>
      </c>
      <c r="AF104" s="102">
        <f t="shared" si="133"/>
        <v>220</v>
      </c>
      <c r="AG104" s="102">
        <f t="shared" si="134"/>
        <v>289</v>
      </c>
      <c r="AH104" s="102">
        <f t="shared" si="135"/>
        <v>323</v>
      </c>
      <c r="AI104" s="102">
        <f t="shared" si="136"/>
        <v>286</v>
      </c>
      <c r="AJ104" s="102">
        <f t="shared" si="137"/>
        <v>345</v>
      </c>
      <c r="AK104" s="102">
        <f t="shared" si="138"/>
        <v>304</v>
      </c>
      <c r="AL104" s="102">
        <f>VLOOKUP($AE104,Usinas!$B$3:$F$241,5,FALSE)</f>
        <v>1</v>
      </c>
      <c r="AM104" s="102" t="str">
        <f>VLOOKUP($AE104,Usinas!$B$3:$H$241,7,FALSE)</f>
        <v>SUDESTE</v>
      </c>
      <c r="AN104" s="102" t="str">
        <f>VLOOKUP($AE104,Usinas!$B$3:$D$241,3,FALSE)</f>
        <v>ALTO TIETÊ</v>
      </c>
      <c r="AP104" s="103">
        <v>84</v>
      </c>
      <c r="AQ104" s="103" t="str">
        <f>IF(BA104=1,VLOOKUP($AP104,Usinas!$B$3:$F$244,2,0),"")</f>
        <v/>
      </c>
      <c r="AR104" s="103" t="str">
        <f>IF(BA104=1,VLOOKUP($AP104,Usinas!$B$3:$F$241,3,0),"")</f>
        <v/>
      </c>
      <c r="AS104" s="103" t="str">
        <f>IF(BA104,VLOOKUP($AP104,Usinas!$B$3:$F$244,4,0),"")</f>
        <v/>
      </c>
      <c r="AT104" s="103" t="str">
        <f t="shared" si="146"/>
        <v/>
      </c>
      <c r="AU104" s="104" t="str">
        <f t="shared" si="153"/>
        <v/>
      </c>
      <c r="AV104" s="104" t="str">
        <f t="shared" si="153"/>
        <v/>
      </c>
      <c r="AW104" s="104" t="str">
        <f t="shared" si="153"/>
        <v/>
      </c>
      <c r="AX104" s="104" t="str">
        <f t="shared" si="153"/>
        <v/>
      </c>
      <c r="AY104" s="104" t="str">
        <f t="shared" si="153"/>
        <v/>
      </c>
      <c r="AZ104" s="104" t="str">
        <f t="shared" si="153"/>
        <v/>
      </c>
      <c r="BA104" s="103">
        <f t="shared" si="147"/>
        <v>0</v>
      </c>
      <c r="BB104" s="103">
        <f t="shared" si="148"/>
        <v>0</v>
      </c>
      <c r="BC104" s="103" t="str">
        <f>IF(BA104=1,VLOOKUP($AP104,Usinas!$B$3:$H$244,7,0),"")</f>
        <v/>
      </c>
      <c r="BG104" s="42" t="e">
        <v>#N/A</v>
      </c>
      <c r="BH104" s="42" t="e">
        <v>#N/A</v>
      </c>
      <c r="BM104" s="105">
        <f t="shared" si="139"/>
        <v>86</v>
      </c>
      <c r="BN104" s="105">
        <f t="shared" si="140"/>
        <v>161</v>
      </c>
      <c r="BO104" s="151">
        <f>IF($BP$15=1,IFERROR(VLOOKUP(BN104,$BZ$20:CA267,2,0),0),VALUE(RIGHT(LEFT($B113,21),10)))</f>
        <v>161</v>
      </c>
      <c r="BP104" s="105">
        <f t="shared" si="141"/>
        <v>212</v>
      </c>
      <c r="BQ104" s="105">
        <f t="shared" si="142"/>
        <v>237</v>
      </c>
      <c r="BR104" s="105">
        <f t="shared" si="143"/>
        <v>210</v>
      </c>
      <c r="BS104" s="105">
        <f t="shared" si="144"/>
        <v>253</v>
      </c>
      <c r="BT104" s="105">
        <f t="shared" si="145"/>
        <v>223</v>
      </c>
      <c r="BU104" s="85"/>
      <c r="BV104" s="97" t="s">
        <v>331</v>
      </c>
      <c r="BW104" s="98">
        <f t="shared" si="151"/>
        <v>94</v>
      </c>
      <c r="BX104" s="97" t="str">
        <f t="shared" si="149"/>
        <v>PST 93</v>
      </c>
      <c r="BZ104" s="147">
        <v>110</v>
      </c>
      <c r="CA104" s="148">
        <v>52</v>
      </c>
      <c r="CB104" s="87"/>
      <c r="CC104" s="87"/>
      <c r="CF104" s="110"/>
      <c r="CG104" s="111"/>
      <c r="CH104" s="87"/>
      <c r="CI104" s="87"/>
      <c r="CJ104" s="87"/>
      <c r="CK104" s="87"/>
      <c r="CL104" s="87"/>
      <c r="CM104" s="87"/>
    </row>
    <row r="105" spans="2:91" ht="15.6" x14ac:dyDescent="0.3">
      <c r="B105" s="99" t="s">
        <v>862</v>
      </c>
      <c r="C105" s="99"/>
      <c r="D105" s="99"/>
      <c r="E105" s="99"/>
      <c r="F105" s="99"/>
      <c r="G105" s="99"/>
      <c r="H105" s="99"/>
      <c r="I105" s="43"/>
      <c r="J105" s="99" t="str">
        <f t="shared" si="152"/>
        <v xml:space="preserve">    78  145       123       128       135       139       154       154</v>
      </c>
      <c r="T105" s="42"/>
      <c r="U105" s="135"/>
      <c r="V105" s="191"/>
      <c r="W105" s="187">
        <v>183</v>
      </c>
      <c r="X105" s="187">
        <v>0.93640000000000001</v>
      </c>
      <c r="Z105" s="101">
        <v>85</v>
      </c>
      <c r="AA105" s="101">
        <v>0</v>
      </c>
      <c r="AB105" s="101">
        <v>0</v>
      </c>
      <c r="AD105" s="102">
        <f t="shared" si="132"/>
        <v>87</v>
      </c>
      <c r="AE105" s="102">
        <f t="shared" si="132"/>
        <v>166</v>
      </c>
      <c r="AF105" s="102">
        <f t="shared" si="133"/>
        <v>4546</v>
      </c>
      <c r="AG105" s="102">
        <f t="shared" si="134"/>
        <v>3611</v>
      </c>
      <c r="AH105" s="102">
        <f t="shared" si="135"/>
        <v>4354</v>
      </c>
      <c r="AI105" s="102">
        <f t="shared" si="136"/>
        <v>5302</v>
      </c>
      <c r="AJ105" s="102">
        <f t="shared" si="137"/>
        <v>5209</v>
      </c>
      <c r="AK105" s="102">
        <f t="shared" si="138"/>
        <v>5399</v>
      </c>
      <c r="AL105" s="102">
        <f>VLOOKUP($AE105,Usinas!$B$3:$F$241,5,FALSE)</f>
        <v>1</v>
      </c>
      <c r="AM105" s="102" t="str">
        <f>VLOOKUP($AE105,Usinas!$B$3:$H$241,7,FALSE)</f>
        <v>ITAIPU</v>
      </c>
      <c r="AN105" s="102" t="str">
        <f>VLOOKUP($AE105,Usinas!$B$3:$D$241,3,FALSE)</f>
        <v>BAIXO PARANÁ</v>
      </c>
      <c r="AP105" s="103">
        <v>85</v>
      </c>
      <c r="AQ105" s="103" t="str">
        <f>IF(BA105=1,VLOOKUP($AP105,Usinas!$B$3:$F$244,2,0),"")</f>
        <v/>
      </c>
      <c r="AR105" s="103" t="str">
        <f>IF(BA105=1,VLOOKUP($AP105,Usinas!$B$3:$F$241,3,0),"")</f>
        <v/>
      </c>
      <c r="AS105" s="103" t="str">
        <f>IF(BA105,VLOOKUP($AP105,Usinas!$B$3:$F$244,4,0),"")</f>
        <v/>
      </c>
      <c r="AT105" s="103" t="str">
        <f t="shared" si="146"/>
        <v/>
      </c>
      <c r="AU105" s="104" t="str">
        <f t="shared" si="153"/>
        <v/>
      </c>
      <c r="AV105" s="104" t="str">
        <f t="shared" si="153"/>
        <v/>
      </c>
      <c r="AW105" s="104" t="str">
        <f t="shared" si="153"/>
        <v/>
      </c>
      <c r="AX105" s="104" t="str">
        <f t="shared" si="153"/>
        <v/>
      </c>
      <c r="AY105" s="104" t="str">
        <f t="shared" si="153"/>
        <v/>
      </c>
      <c r="AZ105" s="104" t="str">
        <f t="shared" si="153"/>
        <v/>
      </c>
      <c r="BA105" s="103">
        <f t="shared" si="147"/>
        <v>0</v>
      </c>
      <c r="BB105" s="103">
        <f t="shared" si="148"/>
        <v>0</v>
      </c>
      <c r="BC105" s="103" t="str">
        <f>IF(BA105=1,VLOOKUP($AP105,Usinas!$B$3:$H$244,7,0),"")</f>
        <v/>
      </c>
      <c r="BG105" s="42" t="e">
        <v>#N/A</v>
      </c>
      <c r="BH105" s="42" t="e">
        <v>#N/A</v>
      </c>
      <c r="BM105" s="105">
        <f t="shared" si="139"/>
        <v>87</v>
      </c>
      <c r="BN105" s="105">
        <f t="shared" si="140"/>
        <v>166</v>
      </c>
      <c r="BO105" s="151">
        <f>IF($BP$15=1,IFERROR(VLOOKUP(BN105,$BZ$20:CA268,2,0),0),VALUE(RIGHT(LEFT($B114,21),10)))</f>
        <v>3334</v>
      </c>
      <c r="BP105" s="105">
        <f t="shared" si="141"/>
        <v>2648</v>
      </c>
      <c r="BQ105" s="105">
        <f t="shared" si="142"/>
        <v>3193</v>
      </c>
      <c r="BR105" s="105">
        <f t="shared" si="143"/>
        <v>3888</v>
      </c>
      <c r="BS105" s="105">
        <f t="shared" si="144"/>
        <v>3820</v>
      </c>
      <c r="BT105" s="105">
        <f t="shared" si="145"/>
        <v>3959</v>
      </c>
      <c r="BU105" s="85"/>
      <c r="BV105" s="97" t="s">
        <v>331</v>
      </c>
      <c r="BW105" s="98">
        <f t="shared" si="151"/>
        <v>97</v>
      </c>
      <c r="BX105" s="97" t="str">
        <f t="shared" si="149"/>
        <v>PST 94</v>
      </c>
      <c r="BZ105" s="147">
        <v>111</v>
      </c>
      <c r="CA105" s="148">
        <v>267</v>
      </c>
      <c r="CB105" s="87"/>
      <c r="CC105" s="87"/>
      <c r="CF105" s="110"/>
      <c r="CG105" s="111"/>
      <c r="CH105" s="87"/>
      <c r="CI105" s="87"/>
      <c r="CJ105" s="87"/>
      <c r="CK105" s="87"/>
      <c r="CL105" s="87"/>
      <c r="CM105" s="87"/>
    </row>
    <row r="106" spans="2:91" ht="15.6" x14ac:dyDescent="0.3">
      <c r="B106" s="99" t="s">
        <v>773</v>
      </c>
      <c r="C106" s="99"/>
      <c r="D106" s="99"/>
      <c r="E106" s="99"/>
      <c r="F106" s="99"/>
      <c r="G106" s="99"/>
      <c r="H106" s="99"/>
      <c r="I106" s="43"/>
      <c r="J106" s="99" t="str">
        <f t="shared" si="152"/>
        <v xml:space="preserve">    79  148      1334      1534      1290      1170      1220       987</v>
      </c>
      <c r="T106" s="42"/>
      <c r="U106" s="135"/>
      <c r="V106" s="191"/>
      <c r="W106" s="187">
        <v>188</v>
      </c>
      <c r="X106" s="187">
        <v>0.71499999999999997</v>
      </c>
      <c r="Z106" s="101">
        <v>86</v>
      </c>
      <c r="AA106" s="101">
        <v>0</v>
      </c>
      <c r="AB106" s="101">
        <v>0</v>
      </c>
      <c r="AD106" s="102">
        <f t="shared" si="132"/>
        <v>88</v>
      </c>
      <c r="AE106" s="102">
        <f t="shared" si="132"/>
        <v>168</v>
      </c>
      <c r="AF106" s="102">
        <f t="shared" si="133"/>
        <v>1994</v>
      </c>
      <c r="AG106" s="102">
        <f t="shared" si="134"/>
        <v>1930</v>
      </c>
      <c r="AH106" s="102">
        <f t="shared" si="135"/>
        <v>2275</v>
      </c>
      <c r="AI106" s="102">
        <f t="shared" si="136"/>
        <v>2340</v>
      </c>
      <c r="AJ106" s="102">
        <f t="shared" si="137"/>
        <v>2086</v>
      </c>
      <c r="AK106" s="102">
        <f t="shared" si="138"/>
        <v>2068</v>
      </c>
      <c r="AL106" s="102">
        <f>VLOOKUP($AE106,Usinas!$B$3:$F$241,5,FALSE)</f>
        <v>3</v>
      </c>
      <c r="AM106" s="102" t="str">
        <f>VLOOKUP($AE106,Usinas!$B$3:$H$241,7,FALSE)</f>
        <v>NORDESTE</v>
      </c>
      <c r="AN106" s="102" t="str">
        <f>VLOOKUP($AE106,Usinas!$B$3:$D$241,3,FALSE)</f>
        <v>SÃO FRANCISCO (NE)</v>
      </c>
      <c r="AP106" s="103">
        <v>86</v>
      </c>
      <c r="AQ106" s="103" t="str">
        <f>IF(BA106=1,VLOOKUP($AP106,Usinas!$B$3:$F$244,2,0),"")</f>
        <v/>
      </c>
      <c r="AR106" s="103" t="str">
        <f>IF(BA106=1,VLOOKUP($AP106,Usinas!$B$3:$F$241,3,0),"")</f>
        <v/>
      </c>
      <c r="AS106" s="103" t="str">
        <f>IF(BA106,VLOOKUP($AP106,Usinas!$B$3:$F$244,4,0),"")</f>
        <v/>
      </c>
      <c r="AT106" s="103" t="str">
        <f t="shared" si="146"/>
        <v/>
      </c>
      <c r="AU106" s="104" t="str">
        <f t="shared" si="153"/>
        <v/>
      </c>
      <c r="AV106" s="104" t="str">
        <f t="shared" si="153"/>
        <v/>
      </c>
      <c r="AW106" s="104" t="str">
        <f t="shared" si="153"/>
        <v/>
      </c>
      <c r="AX106" s="104" t="str">
        <f t="shared" si="153"/>
        <v/>
      </c>
      <c r="AY106" s="104" t="str">
        <f t="shared" si="153"/>
        <v/>
      </c>
      <c r="AZ106" s="104" t="str">
        <f t="shared" si="153"/>
        <v/>
      </c>
      <c r="BA106" s="103">
        <f t="shared" si="147"/>
        <v>0</v>
      </c>
      <c r="BB106" s="103">
        <f t="shared" si="148"/>
        <v>0</v>
      </c>
      <c r="BC106" s="103" t="str">
        <f>IF(BA106=1,VLOOKUP($AP106,Usinas!$B$3:$H$244,7,0),"")</f>
        <v/>
      </c>
      <c r="BG106" s="42" t="e">
        <v>#N/A</v>
      </c>
      <c r="BH106" s="42" t="e">
        <v>#N/A</v>
      </c>
      <c r="BM106" s="105">
        <f t="shared" si="139"/>
        <v>88</v>
      </c>
      <c r="BN106" s="105">
        <f t="shared" si="140"/>
        <v>168</v>
      </c>
      <c r="BO106" s="151">
        <f>IF($BP$15=1,IFERROR(VLOOKUP(BN106,$BZ$20:CA269,2,0),0),VALUE(RIGHT(LEFT($B115,21),10)))</f>
        <v>1792</v>
      </c>
      <c r="BP106" s="105">
        <f t="shared" si="141"/>
        <v>1735</v>
      </c>
      <c r="BQ106" s="105">
        <f t="shared" si="142"/>
        <v>2045</v>
      </c>
      <c r="BR106" s="105">
        <f t="shared" si="143"/>
        <v>2103</v>
      </c>
      <c r="BS106" s="105">
        <f t="shared" si="144"/>
        <v>1875</v>
      </c>
      <c r="BT106" s="105">
        <f t="shared" si="145"/>
        <v>1859</v>
      </c>
      <c r="BU106" s="85"/>
      <c r="BV106" s="97" t="s">
        <v>331</v>
      </c>
      <c r="BW106" s="98">
        <f t="shared" si="151"/>
        <v>98</v>
      </c>
      <c r="BX106" s="97" t="str">
        <f t="shared" si="149"/>
        <v>PST 97</v>
      </c>
      <c r="BZ106" s="147">
        <v>112</v>
      </c>
      <c r="CA106" s="148">
        <v>271</v>
      </c>
      <c r="CB106" s="87"/>
      <c r="CC106" s="87"/>
      <c r="CF106" s="110"/>
      <c r="CG106" s="111"/>
      <c r="CH106" s="87"/>
      <c r="CI106" s="87"/>
      <c r="CJ106" s="87"/>
      <c r="CK106" s="87"/>
      <c r="CL106" s="87"/>
      <c r="CM106" s="87"/>
    </row>
    <row r="107" spans="2:91" ht="15.6" x14ac:dyDescent="0.3">
      <c r="B107" s="99" t="s">
        <v>774</v>
      </c>
      <c r="C107" s="99"/>
      <c r="D107" s="99"/>
      <c r="E107" s="99"/>
      <c r="F107" s="99"/>
      <c r="G107" s="99"/>
      <c r="H107" s="99"/>
      <c r="I107" s="43"/>
      <c r="J107" s="99" t="str">
        <f t="shared" si="152"/>
        <v xml:space="preserve">    80  149       301       401       338       245       284       237</v>
      </c>
      <c r="T107" s="42"/>
      <c r="U107" s="135"/>
      <c r="V107" s="191"/>
      <c r="W107" s="187">
        <v>190</v>
      </c>
      <c r="X107" s="187">
        <v>0.37840000000000001</v>
      </c>
      <c r="Z107" s="101">
        <v>87</v>
      </c>
      <c r="AA107" s="101">
        <v>0</v>
      </c>
      <c r="AB107" s="101">
        <v>0</v>
      </c>
      <c r="AD107" s="102">
        <f t="shared" si="132"/>
        <v>89</v>
      </c>
      <c r="AE107" s="102">
        <f t="shared" si="132"/>
        <v>169</v>
      </c>
      <c r="AF107" s="102">
        <f t="shared" si="133"/>
        <v>2829</v>
      </c>
      <c r="AG107" s="102">
        <f t="shared" si="134"/>
        <v>2882</v>
      </c>
      <c r="AH107" s="102">
        <f t="shared" si="135"/>
        <v>3266</v>
      </c>
      <c r="AI107" s="102">
        <f t="shared" si="136"/>
        <v>3448</v>
      </c>
      <c r="AJ107" s="102">
        <f t="shared" si="137"/>
        <v>3293</v>
      </c>
      <c r="AK107" s="102">
        <f t="shared" si="138"/>
        <v>3232</v>
      </c>
      <c r="AL107" s="102">
        <f>VLOOKUP($AE107,Usinas!$B$3:$F$241,5,FALSE)</f>
        <v>3</v>
      </c>
      <c r="AM107" s="102" t="str">
        <f>VLOOKUP($AE107,Usinas!$B$3:$H$241,7,FALSE)</f>
        <v>NORDESTE</v>
      </c>
      <c r="AN107" s="102" t="str">
        <f>VLOOKUP($AE107,Usinas!$B$3:$D$241,3,FALSE)</f>
        <v>SÃO FRANCISCO (NE)</v>
      </c>
      <c r="AP107" s="103">
        <v>87</v>
      </c>
      <c r="AQ107" s="103" t="str">
        <f>IF(BA107=1,VLOOKUP($AP107,Usinas!$B$3:$F$244,2,0),"")</f>
        <v/>
      </c>
      <c r="AR107" s="103" t="str">
        <f>IF(BA107=1,VLOOKUP($AP107,Usinas!$B$3:$F$241,3,0),"")</f>
        <v/>
      </c>
      <c r="AS107" s="103" t="str">
        <f>IF(BA107,VLOOKUP($AP107,Usinas!$B$3:$F$244,4,0),"")</f>
        <v/>
      </c>
      <c r="AT107" s="103" t="str">
        <f t="shared" si="146"/>
        <v/>
      </c>
      <c r="AU107" s="104" t="str">
        <f t="shared" si="153"/>
        <v/>
      </c>
      <c r="AV107" s="104" t="str">
        <f t="shared" si="153"/>
        <v/>
      </c>
      <c r="AW107" s="104" t="str">
        <f t="shared" si="153"/>
        <v/>
      </c>
      <c r="AX107" s="104" t="str">
        <f t="shared" si="153"/>
        <v/>
      </c>
      <c r="AY107" s="104" t="str">
        <f t="shared" si="153"/>
        <v/>
      </c>
      <c r="AZ107" s="104" t="str">
        <f t="shared" si="153"/>
        <v/>
      </c>
      <c r="BA107" s="103">
        <f t="shared" si="147"/>
        <v>0</v>
      </c>
      <c r="BB107" s="103">
        <f t="shared" si="148"/>
        <v>0</v>
      </c>
      <c r="BC107" s="103" t="str">
        <f>IF(BA107=1,VLOOKUP($AP107,Usinas!$B$3:$H$244,7,0),"")</f>
        <v/>
      </c>
      <c r="BG107" s="42" t="e">
        <v>#N/A</v>
      </c>
      <c r="BH107" s="42" t="e">
        <v>#N/A</v>
      </c>
      <c r="BM107" s="105">
        <f t="shared" si="139"/>
        <v>89</v>
      </c>
      <c r="BN107" s="105">
        <f t="shared" si="140"/>
        <v>169</v>
      </c>
      <c r="BO107" s="151">
        <f>IF($BP$15=1,IFERROR(VLOOKUP(BN107,$BZ$20:CA270,2,0),0),VALUE(RIGHT(LEFT($B116,21),10)))</f>
        <v>2543</v>
      </c>
      <c r="BP107" s="105">
        <f t="shared" si="141"/>
        <v>2590</v>
      </c>
      <c r="BQ107" s="105">
        <f t="shared" si="142"/>
        <v>2935</v>
      </c>
      <c r="BR107" s="105">
        <f t="shared" si="143"/>
        <v>3099</v>
      </c>
      <c r="BS107" s="105">
        <f t="shared" si="144"/>
        <v>2960</v>
      </c>
      <c r="BT107" s="105">
        <f t="shared" si="145"/>
        <v>2905</v>
      </c>
      <c r="BU107" s="85"/>
      <c r="BV107" s="97" t="s">
        <v>331</v>
      </c>
      <c r="BW107" s="98">
        <f t="shared" si="151"/>
        <v>99</v>
      </c>
      <c r="BX107" s="97" t="str">
        <f t="shared" si="149"/>
        <v>PST 98</v>
      </c>
      <c r="BZ107" s="147">
        <v>113</v>
      </c>
      <c r="CA107" s="148">
        <v>341</v>
      </c>
      <c r="CB107" s="87"/>
      <c r="CC107" s="87"/>
      <c r="CF107" s="110"/>
      <c r="CG107" s="111"/>
      <c r="CH107" s="87"/>
      <c r="CI107" s="87"/>
      <c r="CJ107" s="87"/>
      <c r="CK107" s="87"/>
      <c r="CL107" s="87"/>
      <c r="CM107" s="87"/>
    </row>
    <row r="108" spans="2:91" ht="15.6" x14ac:dyDescent="0.3">
      <c r="B108" s="99" t="s">
        <v>775</v>
      </c>
      <c r="C108" s="99"/>
      <c r="D108" s="99"/>
      <c r="E108" s="99"/>
      <c r="F108" s="99"/>
      <c r="G108" s="99"/>
      <c r="H108" s="99"/>
      <c r="I108" s="43"/>
      <c r="J108" s="99" t="str">
        <f t="shared" si="152"/>
        <v xml:space="preserve">    81  154       125       132       138       136       138       138</v>
      </c>
      <c r="T108" s="42"/>
      <c r="U108" s="135"/>
      <c r="V108" s="191"/>
      <c r="W108" s="187">
        <v>191</v>
      </c>
      <c r="X108" s="187">
        <v>0.38679999999999998</v>
      </c>
      <c r="Z108" s="101">
        <v>88</v>
      </c>
      <c r="AA108" s="101">
        <v>1</v>
      </c>
      <c r="AB108" s="101">
        <v>0.41299999999999998</v>
      </c>
      <c r="AD108" s="102">
        <f t="shared" si="132"/>
        <v>90</v>
      </c>
      <c r="AE108" s="102">
        <f t="shared" si="132"/>
        <v>171</v>
      </c>
      <c r="AF108" s="102">
        <f t="shared" si="133"/>
        <v>0</v>
      </c>
      <c r="AG108" s="102">
        <f t="shared" si="134"/>
        <v>0</v>
      </c>
      <c r="AH108" s="102">
        <f t="shared" si="135"/>
        <v>0</v>
      </c>
      <c r="AI108" s="102">
        <f t="shared" si="136"/>
        <v>0</v>
      </c>
      <c r="AJ108" s="102">
        <f t="shared" si="137"/>
        <v>0</v>
      </c>
      <c r="AK108" s="102">
        <f t="shared" si="138"/>
        <v>0</v>
      </c>
      <c r="AL108" s="102">
        <f>VLOOKUP($AE108,Usinas!$B$3:$F$241,5,FALSE)</f>
        <v>3</v>
      </c>
      <c r="AM108" s="102" t="str">
        <f>VLOOKUP($AE108,Usinas!$B$3:$H$241,7,FALSE)</f>
        <v>NORDESTE</v>
      </c>
      <c r="AN108" s="102" t="str">
        <f>VLOOKUP($AE108,Usinas!$B$3:$D$241,3,FALSE)</f>
        <v>SÃO FRANCISCO (NE)</v>
      </c>
      <c r="AP108" s="103">
        <v>88</v>
      </c>
      <c r="AQ108" s="103" t="str">
        <f>IF(BA108=1,VLOOKUP($AP108,Usinas!$B$3:$F$244,2,0),"")</f>
        <v>SÃO ROQUE</v>
      </c>
      <c r="AR108" s="103" t="str">
        <f>IF(BA108=1,VLOOKUP($AP108,Usinas!$B$3:$F$241,3,0),"")</f>
        <v>URUGUAI</v>
      </c>
      <c r="AS108" s="103" t="str">
        <f>IF(BA108,VLOOKUP($AP108,Usinas!$B$3:$F$244,4,0),"")</f>
        <v>SUL</v>
      </c>
      <c r="AT108" s="103">
        <f t="shared" si="146"/>
        <v>0.41299999999999998</v>
      </c>
      <c r="AU108" s="104">
        <f t="shared" si="153"/>
        <v>85.903999999999996</v>
      </c>
      <c r="AV108" s="104">
        <f t="shared" si="153"/>
        <v>83.838999999999999</v>
      </c>
      <c r="AW108" s="104">
        <f t="shared" si="153"/>
        <v>96.641999999999996</v>
      </c>
      <c r="AX108" s="104">
        <f t="shared" si="153"/>
        <v>106.14099999999999</v>
      </c>
      <c r="AY108" s="104">
        <f t="shared" si="153"/>
        <v>103.25</v>
      </c>
      <c r="AZ108" s="104">
        <f t="shared" si="153"/>
        <v>90.033999999999992</v>
      </c>
      <c r="BA108" s="103">
        <f t="shared" si="147"/>
        <v>1</v>
      </c>
      <c r="BB108" s="103">
        <f t="shared" si="148"/>
        <v>0</v>
      </c>
      <c r="BC108" s="103" t="str">
        <f>IF(BA108=1,VLOOKUP($AP108,Usinas!$B$3:$H$244,7,0),"")</f>
        <v>SUL</v>
      </c>
      <c r="BG108" s="42" t="e">
        <v>#N/A</v>
      </c>
      <c r="BH108" s="42" t="e">
        <v>#N/A</v>
      </c>
      <c r="BM108" s="105">
        <f t="shared" si="139"/>
        <v>90</v>
      </c>
      <c r="BN108" s="105">
        <f t="shared" si="140"/>
        <v>171</v>
      </c>
      <c r="BO108" s="151">
        <f>IF($BP$15=1,IFERROR(VLOOKUP(BN108,$BZ$20:CA271,2,0),0),VALUE(RIGHT(LEFT($B117,21),10)))</f>
        <v>0</v>
      </c>
      <c r="BP108" s="105">
        <f t="shared" si="141"/>
        <v>0</v>
      </c>
      <c r="BQ108" s="105">
        <f t="shared" si="142"/>
        <v>0</v>
      </c>
      <c r="BR108" s="105">
        <f t="shared" si="143"/>
        <v>0</v>
      </c>
      <c r="BS108" s="105">
        <f t="shared" si="144"/>
        <v>0</v>
      </c>
      <c r="BT108" s="105">
        <f t="shared" si="145"/>
        <v>0</v>
      </c>
      <c r="BU108" s="85"/>
      <c r="BV108" s="97" t="s">
        <v>331</v>
      </c>
      <c r="BW108" s="98">
        <f t="shared" si="151"/>
        <v>101</v>
      </c>
      <c r="BX108" s="97" t="str">
        <f t="shared" si="149"/>
        <v>PST 99</v>
      </c>
      <c r="BZ108" s="147">
        <v>114</v>
      </c>
      <c r="CA108" s="148">
        <v>415</v>
      </c>
      <c r="CB108" s="87"/>
      <c r="CC108" s="87"/>
      <c r="CF108" s="110"/>
      <c r="CG108" s="111"/>
      <c r="CH108" s="87"/>
      <c r="CI108" s="87"/>
      <c r="CJ108" s="87"/>
      <c r="CK108" s="87"/>
      <c r="CL108" s="87"/>
      <c r="CM108" s="87"/>
    </row>
    <row r="109" spans="2:91" ht="15.6" x14ac:dyDescent="0.3">
      <c r="B109" s="99" t="s">
        <v>776</v>
      </c>
      <c r="C109" s="99"/>
      <c r="D109" s="99"/>
      <c r="E109" s="99"/>
      <c r="F109" s="99"/>
      <c r="G109" s="99"/>
      <c r="H109" s="99"/>
      <c r="I109" s="43"/>
      <c r="J109" s="99" t="str">
        <f t="shared" si="152"/>
        <v xml:space="preserve">    82  155       213       293       282       225       217       180</v>
      </c>
      <c r="T109" s="42"/>
      <c r="U109" s="135"/>
      <c r="V109" s="191"/>
      <c r="W109" s="187">
        <v>196</v>
      </c>
      <c r="X109" s="187">
        <v>1.6902999999999999</v>
      </c>
      <c r="Z109" s="101">
        <v>89</v>
      </c>
      <c r="AA109" s="101">
        <v>1</v>
      </c>
      <c r="AB109" s="101">
        <v>0.36909999999999998</v>
      </c>
      <c r="AD109" s="102">
        <f t="shared" si="132"/>
        <v>91</v>
      </c>
      <c r="AE109" s="102">
        <f t="shared" si="132"/>
        <v>172</v>
      </c>
      <c r="AF109" s="102">
        <f t="shared" si="133"/>
        <v>2783</v>
      </c>
      <c r="AG109" s="102">
        <f t="shared" si="134"/>
        <v>2844</v>
      </c>
      <c r="AH109" s="102">
        <f t="shared" si="135"/>
        <v>3140</v>
      </c>
      <c r="AI109" s="102">
        <f t="shared" si="136"/>
        <v>3451</v>
      </c>
      <c r="AJ109" s="102">
        <f t="shared" si="137"/>
        <v>3335</v>
      </c>
      <c r="AK109" s="102">
        <f t="shared" si="138"/>
        <v>3242</v>
      </c>
      <c r="AL109" s="102">
        <f>VLOOKUP($AE109,Usinas!$B$3:$F$241,5,FALSE)</f>
        <v>3</v>
      </c>
      <c r="AM109" s="102" t="str">
        <f>VLOOKUP($AE109,Usinas!$B$3:$H$241,7,FALSE)</f>
        <v>NORDESTE</v>
      </c>
      <c r="AN109" s="102" t="str">
        <f>VLOOKUP($AE109,Usinas!$B$3:$D$241,3,FALSE)</f>
        <v>SÃO FRANCISCO (NE)</v>
      </c>
      <c r="AP109" s="103">
        <v>89</v>
      </c>
      <c r="AQ109" s="103" t="str">
        <f>IF(BA109=1,VLOOKUP($AP109,Usinas!$B$3:$F$244,2,0),"")</f>
        <v>GARIBALDI</v>
      </c>
      <c r="AR109" s="103" t="str">
        <f>IF(BA109=1,VLOOKUP($AP109,Usinas!$B$3:$F$241,3,0),"")</f>
        <v>URUGUAI</v>
      </c>
      <c r="AS109" s="103" t="str">
        <f>IF(BA109,VLOOKUP($AP109,Usinas!$B$3:$F$244,4,0),"")</f>
        <v>SUL</v>
      </c>
      <c r="AT109" s="103">
        <f t="shared" si="146"/>
        <v>0.36909999999999998</v>
      </c>
      <c r="AU109" s="104">
        <f t="shared" si="153"/>
        <v>92.644099999999995</v>
      </c>
      <c r="AV109" s="104">
        <f t="shared" si="153"/>
        <v>91.536799999999999</v>
      </c>
      <c r="AW109" s="104">
        <f t="shared" si="153"/>
        <v>105.1935</v>
      </c>
      <c r="AX109" s="104">
        <f t="shared" si="153"/>
        <v>113.3137</v>
      </c>
      <c r="AY109" s="104">
        <f t="shared" si="153"/>
        <v>114.7901</v>
      </c>
      <c r="AZ109" s="104">
        <f t="shared" si="153"/>
        <v>99.287899999999993</v>
      </c>
      <c r="BA109" s="103">
        <f t="shared" si="147"/>
        <v>1</v>
      </c>
      <c r="BB109" s="103">
        <f t="shared" si="148"/>
        <v>0</v>
      </c>
      <c r="BC109" s="103" t="str">
        <f>IF(BA109=1,VLOOKUP($AP109,Usinas!$B$3:$H$244,7,0),"")</f>
        <v>SUL</v>
      </c>
      <c r="BG109" s="42" t="e">
        <v>#N/A</v>
      </c>
      <c r="BH109" s="42" t="e">
        <v>#N/A</v>
      </c>
      <c r="BM109" s="105">
        <f t="shared" si="139"/>
        <v>91</v>
      </c>
      <c r="BN109" s="105">
        <f t="shared" si="140"/>
        <v>172</v>
      </c>
      <c r="BO109" s="151">
        <f>IF($BP$15=1,BO106,VALUE(RIGHT(LEFT($B118,21),10)))</f>
        <v>2501</v>
      </c>
      <c r="BP109" s="105">
        <f t="shared" si="141"/>
        <v>2556</v>
      </c>
      <c r="BQ109" s="105">
        <f t="shared" si="142"/>
        <v>2822</v>
      </c>
      <c r="BR109" s="105">
        <f t="shared" si="143"/>
        <v>3102</v>
      </c>
      <c r="BS109" s="105">
        <f t="shared" si="144"/>
        <v>2997</v>
      </c>
      <c r="BT109" s="105">
        <f t="shared" si="145"/>
        <v>2914</v>
      </c>
      <c r="BU109" s="85"/>
      <c r="BV109" s="97" t="s">
        <v>331</v>
      </c>
      <c r="BW109" s="98">
        <f t="shared" si="151"/>
        <v>102</v>
      </c>
      <c r="BX109" s="97" t="str">
        <f t="shared" si="149"/>
        <v>PST 101</v>
      </c>
      <c r="BZ109" s="147">
        <v>98</v>
      </c>
      <c r="CA109" s="148">
        <v>158</v>
      </c>
      <c r="CB109" s="87"/>
      <c r="CC109" s="87"/>
      <c r="CF109" s="110"/>
      <c r="CG109" s="111"/>
      <c r="CH109" s="87"/>
      <c r="CI109" s="87"/>
      <c r="CJ109" s="87"/>
      <c r="CK109" s="87"/>
      <c r="CL109" s="87"/>
      <c r="CM109" s="87"/>
    </row>
    <row r="110" spans="2:91" ht="15.6" x14ac:dyDescent="0.3">
      <c r="B110" s="99" t="s">
        <v>777</v>
      </c>
      <c r="C110" s="99"/>
      <c r="D110" s="99"/>
      <c r="E110" s="99"/>
      <c r="F110" s="99"/>
      <c r="G110" s="99"/>
      <c r="H110" s="99"/>
      <c r="I110" s="43"/>
      <c r="J110" s="99" t="str">
        <f t="shared" si="152"/>
        <v xml:space="preserve">    83  156      1218      1473      1379      1256      1278      1197</v>
      </c>
      <c r="T110" s="42"/>
      <c r="U110" s="135"/>
      <c r="V110" s="191"/>
      <c r="W110" s="187">
        <v>197</v>
      </c>
      <c r="X110" s="187">
        <v>1.1546000000000001</v>
      </c>
      <c r="Z110" s="101">
        <v>90</v>
      </c>
      <c r="AA110" s="101">
        <v>0</v>
      </c>
      <c r="AB110" s="101">
        <v>0</v>
      </c>
      <c r="AD110" s="102">
        <f t="shared" si="132"/>
        <v>92</v>
      </c>
      <c r="AE110" s="102">
        <f t="shared" si="132"/>
        <v>173</v>
      </c>
      <c r="AF110" s="102">
        <f t="shared" si="133"/>
        <v>2783</v>
      </c>
      <c r="AG110" s="102">
        <f t="shared" si="134"/>
        <v>2844</v>
      </c>
      <c r="AH110" s="102">
        <f t="shared" si="135"/>
        <v>3140</v>
      </c>
      <c r="AI110" s="102">
        <f t="shared" si="136"/>
        <v>3451</v>
      </c>
      <c r="AJ110" s="102">
        <f t="shared" si="137"/>
        <v>3335</v>
      </c>
      <c r="AK110" s="102">
        <f t="shared" si="138"/>
        <v>3242</v>
      </c>
      <c r="AL110" s="102">
        <f>VLOOKUP($AE110,Usinas!$B$3:$F$241,5,FALSE)</f>
        <v>3</v>
      </c>
      <c r="AM110" s="102" t="str">
        <f>VLOOKUP($AE110,Usinas!$B$3:$H$241,7,FALSE)</f>
        <v>NORTE</v>
      </c>
      <c r="AN110" s="102" t="str">
        <f>VLOOKUP($AE110,Usinas!$B$3:$D$241,3,FALSE)</f>
        <v>SÃO FRANCISCO (NE)</v>
      </c>
      <c r="AP110" s="103">
        <v>90</v>
      </c>
      <c r="AQ110" s="103" t="str">
        <f>IF(BA110=1,VLOOKUP($AP110,Usinas!$B$3:$F$244,2,0),"")</f>
        <v/>
      </c>
      <c r="AR110" s="103" t="str">
        <f>IF(BA110=1,VLOOKUP($AP110,Usinas!$B$3:$F$241,3,0),"")</f>
        <v/>
      </c>
      <c r="AS110" s="103" t="str">
        <f>IF(BA110,VLOOKUP($AP110,Usinas!$B$3:$F$244,4,0),"")</f>
        <v/>
      </c>
      <c r="AT110" s="103" t="str">
        <f t="shared" si="146"/>
        <v/>
      </c>
      <c r="AU110" s="104" t="str">
        <f t="shared" si="153"/>
        <v/>
      </c>
      <c r="AV110" s="104" t="str">
        <f t="shared" si="153"/>
        <v/>
      </c>
      <c r="AW110" s="104" t="str">
        <f t="shared" si="153"/>
        <v/>
      </c>
      <c r="AX110" s="104" t="str">
        <f t="shared" si="153"/>
        <v/>
      </c>
      <c r="AY110" s="104" t="str">
        <f t="shared" si="153"/>
        <v/>
      </c>
      <c r="AZ110" s="104" t="str">
        <f t="shared" si="153"/>
        <v/>
      </c>
      <c r="BA110" s="103">
        <f t="shared" si="147"/>
        <v>0</v>
      </c>
      <c r="BB110" s="103">
        <f t="shared" si="148"/>
        <v>0</v>
      </c>
      <c r="BC110" s="103" t="str">
        <f>IF(BA110=1,VLOOKUP($AP110,Usinas!$B$3:$H$244,7,0),"")</f>
        <v/>
      </c>
      <c r="BG110" s="42" t="e">
        <v>#N/A</v>
      </c>
      <c r="BH110" s="42" t="e">
        <v>#N/A</v>
      </c>
      <c r="BM110" s="105">
        <f t="shared" si="139"/>
        <v>92</v>
      </c>
      <c r="BN110" s="105">
        <f t="shared" si="140"/>
        <v>173</v>
      </c>
      <c r="BO110" s="151">
        <f>IF($BP$15=1,IFERROR(VLOOKUP(BN110,$BZ$20:CA273,2,0),0),VALUE(RIGHT(LEFT($B119,21),10)))</f>
        <v>2501</v>
      </c>
      <c r="BP110" s="105">
        <f t="shared" si="141"/>
        <v>2556</v>
      </c>
      <c r="BQ110" s="105">
        <f t="shared" si="142"/>
        <v>2822</v>
      </c>
      <c r="BR110" s="105">
        <f t="shared" si="143"/>
        <v>3102</v>
      </c>
      <c r="BS110" s="105">
        <f t="shared" si="144"/>
        <v>2997</v>
      </c>
      <c r="BT110" s="105">
        <f t="shared" si="145"/>
        <v>2914</v>
      </c>
      <c r="BU110" s="85"/>
      <c r="BV110" s="97" t="s">
        <v>331</v>
      </c>
      <c r="BW110" s="98">
        <f t="shared" si="151"/>
        <v>103</v>
      </c>
      <c r="BX110" s="97" t="str">
        <f t="shared" si="149"/>
        <v>PST 102</v>
      </c>
      <c r="BZ110" s="147">
        <v>97</v>
      </c>
      <c r="CA110" s="148">
        <v>278</v>
      </c>
      <c r="CB110" s="87"/>
      <c r="CC110" s="87"/>
      <c r="CF110" s="110"/>
      <c r="CG110" s="111"/>
      <c r="CH110" s="87"/>
      <c r="CI110" s="87"/>
      <c r="CJ110" s="87"/>
      <c r="CK110" s="87"/>
      <c r="CL110" s="87"/>
      <c r="CM110" s="87"/>
    </row>
    <row r="111" spans="2:91" ht="15.6" x14ac:dyDescent="0.3">
      <c r="B111" s="99" t="s">
        <v>778</v>
      </c>
      <c r="C111" s="99"/>
      <c r="D111" s="99"/>
      <c r="E111" s="99"/>
      <c r="F111" s="99"/>
      <c r="G111" s="99"/>
      <c r="H111" s="99"/>
      <c r="I111" s="43"/>
      <c r="J111" s="99" t="str">
        <f t="shared" si="152"/>
        <v xml:space="preserve">    84  158        59        67        70        79        83        90</v>
      </c>
      <c r="T111" s="42"/>
      <c r="U111" s="135"/>
      <c r="V111" s="191"/>
      <c r="W111" s="187">
        <v>198</v>
      </c>
      <c r="X111" s="187">
        <v>0.71640000000000004</v>
      </c>
      <c r="Z111" s="101">
        <v>91</v>
      </c>
      <c r="AA111" s="101">
        <v>0</v>
      </c>
      <c r="AB111" s="101">
        <v>0</v>
      </c>
      <c r="AD111" s="102">
        <f t="shared" si="132"/>
        <v>93</v>
      </c>
      <c r="AE111" s="102">
        <f t="shared" si="132"/>
        <v>175</v>
      </c>
      <c r="AF111" s="102">
        <f t="shared" si="133"/>
        <v>2783</v>
      </c>
      <c r="AG111" s="102">
        <f t="shared" si="134"/>
        <v>2844</v>
      </c>
      <c r="AH111" s="102">
        <f t="shared" si="135"/>
        <v>3140</v>
      </c>
      <c r="AI111" s="102">
        <f t="shared" si="136"/>
        <v>3451</v>
      </c>
      <c r="AJ111" s="102">
        <f t="shared" si="137"/>
        <v>3335</v>
      </c>
      <c r="AK111" s="102">
        <f t="shared" si="138"/>
        <v>3242</v>
      </c>
      <c r="AL111" s="102">
        <f>VLOOKUP($AE111,Usinas!$B$3:$F$241,5,FALSE)</f>
        <v>3</v>
      </c>
      <c r="AM111" s="102" t="str">
        <f>VLOOKUP($AE111,Usinas!$B$3:$H$241,7,FALSE)</f>
        <v>NORTE</v>
      </c>
      <c r="AN111" s="102" t="str">
        <f>VLOOKUP($AE111,Usinas!$B$3:$D$241,3,FALSE)</f>
        <v>SÃO FRANCISCO (NE)</v>
      </c>
      <c r="AP111" s="103">
        <v>91</v>
      </c>
      <c r="AQ111" s="103" t="str">
        <f>IF(BA111=1,VLOOKUP($AP111,Usinas!$B$3:$F$244,2,0),"")</f>
        <v/>
      </c>
      <c r="AR111" s="103" t="str">
        <f>IF(BA111=1,VLOOKUP($AP111,Usinas!$B$3:$F$241,3,0),"")</f>
        <v/>
      </c>
      <c r="AS111" s="103" t="str">
        <f>IF(BA111,VLOOKUP($AP111,Usinas!$B$3:$F$244,4,0),"")</f>
        <v/>
      </c>
      <c r="AT111" s="103" t="str">
        <f t="shared" si="146"/>
        <v/>
      </c>
      <c r="AU111" s="104" t="str">
        <f t="shared" ref="AU111:AZ120" si="154">IF($BA111=1,IFERROR(VLOOKUP($AP111,$AE$21:$AK$211,AU$19,0),VLOOKUP($AP111,$BE$21:$BK$65,AU$19,0))*$AT111,"")</f>
        <v/>
      </c>
      <c r="AV111" s="104" t="str">
        <f t="shared" si="154"/>
        <v/>
      </c>
      <c r="AW111" s="104" t="str">
        <f t="shared" si="154"/>
        <v/>
      </c>
      <c r="AX111" s="104" t="str">
        <f t="shared" si="154"/>
        <v/>
      </c>
      <c r="AY111" s="104" t="str">
        <f t="shared" si="154"/>
        <v/>
      </c>
      <c r="AZ111" s="104" t="str">
        <f t="shared" si="154"/>
        <v/>
      </c>
      <c r="BA111" s="103">
        <f t="shared" si="147"/>
        <v>0</v>
      </c>
      <c r="BB111" s="103">
        <f t="shared" si="148"/>
        <v>0</v>
      </c>
      <c r="BC111" s="103" t="str">
        <f>IF(BA111=1,VLOOKUP($AP111,Usinas!$B$3:$H$244,7,0),"")</f>
        <v/>
      </c>
      <c r="BG111" s="42" t="e">
        <v>#N/A</v>
      </c>
      <c r="BH111" s="42" t="e">
        <v>#N/A</v>
      </c>
      <c r="BM111" s="105">
        <f t="shared" si="139"/>
        <v>93</v>
      </c>
      <c r="BN111" s="105">
        <f t="shared" si="140"/>
        <v>175</v>
      </c>
      <c r="BO111" s="151">
        <f>IF($BP$15=1,IFERROR(VLOOKUP(BN111,$BZ$20:CA274,2,0),0),VALUE(RIGHT(LEFT($B120,21),10)))</f>
        <v>2501</v>
      </c>
      <c r="BP111" s="105">
        <f t="shared" si="141"/>
        <v>2556</v>
      </c>
      <c r="BQ111" s="105">
        <f t="shared" si="142"/>
        <v>2822</v>
      </c>
      <c r="BR111" s="105">
        <f t="shared" si="143"/>
        <v>3102</v>
      </c>
      <c r="BS111" s="105">
        <f t="shared" si="144"/>
        <v>2997</v>
      </c>
      <c r="BT111" s="105">
        <f t="shared" si="145"/>
        <v>2914</v>
      </c>
      <c r="BU111" s="85"/>
      <c r="BV111" s="97" t="s">
        <v>331</v>
      </c>
      <c r="BW111" s="98">
        <f t="shared" si="151"/>
        <v>104</v>
      </c>
      <c r="BX111" s="97" t="str">
        <f t="shared" si="149"/>
        <v>PST 103</v>
      </c>
      <c r="BZ111" s="147">
        <v>284</v>
      </c>
      <c r="CA111" s="148">
        <v>301</v>
      </c>
      <c r="CB111" s="87"/>
      <c r="CC111" s="87"/>
      <c r="CF111" s="110"/>
      <c r="CG111" s="111"/>
      <c r="CH111" s="87"/>
      <c r="CI111" s="87"/>
      <c r="CJ111" s="87"/>
      <c r="CK111" s="87"/>
      <c r="CL111" s="87"/>
      <c r="CM111" s="87"/>
    </row>
    <row r="112" spans="2:91" ht="15.6" x14ac:dyDescent="0.3">
      <c r="B112" s="99" t="s">
        <v>779</v>
      </c>
      <c r="C112" s="99"/>
      <c r="D112" s="99"/>
      <c r="E112" s="99"/>
      <c r="F112" s="99"/>
      <c r="G112" s="99"/>
      <c r="H112" s="99"/>
      <c r="I112" s="43"/>
      <c r="J112" s="99" t="str">
        <f t="shared" si="152"/>
        <v xml:space="preserve">    85  160        16        20        23        20        25        22</v>
      </c>
      <c r="T112" s="42"/>
      <c r="U112" s="135"/>
      <c r="V112" s="191"/>
      <c r="W112" s="187">
        <v>204</v>
      </c>
      <c r="X112" s="187">
        <v>0.1406</v>
      </c>
      <c r="Z112" s="101">
        <v>92</v>
      </c>
      <c r="AA112" s="101">
        <v>1</v>
      </c>
      <c r="AB112" s="101">
        <v>0.90969999999999995</v>
      </c>
      <c r="AD112" s="102">
        <f t="shared" si="132"/>
        <v>94</v>
      </c>
      <c r="AE112" s="102">
        <f t="shared" si="132"/>
        <v>176</v>
      </c>
      <c r="AF112" s="102">
        <f t="shared" si="133"/>
        <v>2783</v>
      </c>
      <c r="AG112" s="102">
        <f t="shared" si="134"/>
        <v>2844</v>
      </c>
      <c r="AH112" s="102">
        <f t="shared" si="135"/>
        <v>3140</v>
      </c>
      <c r="AI112" s="102">
        <f t="shared" si="136"/>
        <v>3451</v>
      </c>
      <c r="AJ112" s="102">
        <f t="shared" si="137"/>
        <v>3335</v>
      </c>
      <c r="AK112" s="102">
        <f t="shared" si="138"/>
        <v>3242</v>
      </c>
      <c r="AL112" s="102">
        <f>VLOOKUP($AE112,Usinas!$B$3:$F$241,5,FALSE)</f>
        <v>3</v>
      </c>
      <c r="AM112" s="102" t="str">
        <f>VLOOKUP($AE112,Usinas!$B$3:$H$241,7,FALSE)</f>
        <v>NORDESTE</v>
      </c>
      <c r="AN112" s="102" t="str">
        <f>VLOOKUP($AE112,Usinas!$B$3:$D$241,3,FALSE)</f>
        <v>SÃO FRANCISCO (NE)</v>
      </c>
      <c r="AP112" s="103">
        <v>92</v>
      </c>
      <c r="AQ112" s="103" t="str">
        <f>IF(BA112=1,VLOOKUP($AP112,Usinas!$B$3:$F$244,2,0),"")</f>
        <v>ITÁ</v>
      </c>
      <c r="AR112" s="103" t="str">
        <f>IF(BA112=1,VLOOKUP($AP112,Usinas!$B$3:$F$241,3,0),"")</f>
        <v>URUGUAI</v>
      </c>
      <c r="AS112" s="103" t="str">
        <f>IF(BA112,VLOOKUP($AP112,Usinas!$B$3:$F$244,4,0),"")</f>
        <v>SUL</v>
      </c>
      <c r="AT112" s="103">
        <f t="shared" si="146"/>
        <v>0.90969999999999995</v>
      </c>
      <c r="AU112" s="104">
        <f t="shared" si="154"/>
        <v>759.59949999999992</v>
      </c>
      <c r="AV112" s="104">
        <f t="shared" si="154"/>
        <v>772.33529999999996</v>
      </c>
      <c r="AW112" s="104">
        <f t="shared" si="154"/>
        <v>835.1046</v>
      </c>
      <c r="AX112" s="104">
        <f t="shared" si="154"/>
        <v>843.29189999999994</v>
      </c>
      <c r="AY112" s="104">
        <f t="shared" si="154"/>
        <v>843.29189999999994</v>
      </c>
      <c r="AZ112" s="104">
        <f t="shared" si="154"/>
        <v>762.32859999999994</v>
      </c>
      <c r="BA112" s="103">
        <f t="shared" si="147"/>
        <v>1</v>
      </c>
      <c r="BB112" s="103">
        <f t="shared" si="148"/>
        <v>0</v>
      </c>
      <c r="BC112" s="103" t="str">
        <f>IF(BA112=1,VLOOKUP($AP112,Usinas!$B$3:$H$244,7,0),"")</f>
        <v>SUL</v>
      </c>
      <c r="BG112" s="42" t="e">
        <v>#N/A</v>
      </c>
      <c r="BH112" s="42" t="e">
        <v>#N/A</v>
      </c>
      <c r="BM112" s="105">
        <f t="shared" si="139"/>
        <v>94</v>
      </c>
      <c r="BN112" s="105">
        <f t="shared" si="140"/>
        <v>176</v>
      </c>
      <c r="BO112" s="151">
        <f>IF($BP$15=1,IFERROR(VLOOKUP(BN112,$BZ$20:CA275,2,0),0),VALUE(RIGHT(LEFT($B121,21),10)))</f>
        <v>2501</v>
      </c>
      <c r="BP112" s="105">
        <f t="shared" si="141"/>
        <v>2556</v>
      </c>
      <c r="BQ112" s="105">
        <f t="shared" si="142"/>
        <v>2822</v>
      </c>
      <c r="BR112" s="105">
        <f t="shared" si="143"/>
        <v>3102</v>
      </c>
      <c r="BS112" s="105">
        <f t="shared" si="144"/>
        <v>2997</v>
      </c>
      <c r="BT112" s="105">
        <f t="shared" si="145"/>
        <v>2914</v>
      </c>
      <c r="BU112" s="85"/>
      <c r="BV112" s="97" t="s">
        <v>331</v>
      </c>
      <c r="BW112" s="98">
        <f t="shared" si="151"/>
        <v>109</v>
      </c>
      <c r="BX112" s="97" t="str">
        <f t="shared" si="149"/>
        <v>PST 104</v>
      </c>
      <c r="BZ112" s="147">
        <v>115</v>
      </c>
      <c r="CA112" s="148">
        <v>38</v>
      </c>
      <c r="CB112" s="87"/>
      <c r="CC112" s="87"/>
      <c r="CF112" s="110"/>
      <c r="CG112" s="111"/>
      <c r="CH112" s="87"/>
      <c r="CI112" s="87"/>
      <c r="CJ112" s="87"/>
      <c r="CK112" s="87"/>
      <c r="CL112" s="87"/>
      <c r="CM112" s="87"/>
    </row>
    <row r="113" spans="2:91" ht="15.6" x14ac:dyDescent="0.3">
      <c r="B113" s="99" t="s">
        <v>780</v>
      </c>
      <c r="C113" s="99"/>
      <c r="D113" s="99"/>
      <c r="E113" s="99"/>
      <c r="F113" s="99"/>
      <c r="G113" s="99"/>
      <c r="H113" s="99"/>
      <c r="I113" s="43"/>
      <c r="J113" s="99" t="str">
        <f t="shared" si="152"/>
        <v xml:space="preserve">    86  161       220       289       323       286       345       304</v>
      </c>
      <c r="T113" s="42"/>
      <c r="U113" s="135"/>
      <c r="V113" s="191"/>
      <c r="W113" s="187">
        <v>205</v>
      </c>
      <c r="X113" s="187">
        <v>0.58360000000000001</v>
      </c>
      <c r="Z113" s="101">
        <v>93</v>
      </c>
      <c r="AA113" s="101">
        <v>1</v>
      </c>
      <c r="AB113" s="101">
        <v>2.2252000000000001</v>
      </c>
      <c r="AD113" s="102">
        <f t="shared" si="132"/>
        <v>95</v>
      </c>
      <c r="AE113" s="102">
        <f t="shared" si="132"/>
        <v>178</v>
      </c>
      <c r="AF113" s="102">
        <f t="shared" si="133"/>
        <v>2742</v>
      </c>
      <c r="AG113" s="102">
        <f t="shared" si="134"/>
        <v>2839</v>
      </c>
      <c r="AH113" s="102">
        <f t="shared" si="135"/>
        <v>3076</v>
      </c>
      <c r="AI113" s="102">
        <f t="shared" si="136"/>
        <v>3436</v>
      </c>
      <c r="AJ113" s="102">
        <f t="shared" si="137"/>
        <v>3359</v>
      </c>
      <c r="AK113" s="102">
        <f t="shared" si="138"/>
        <v>3248</v>
      </c>
      <c r="AL113" s="102">
        <f>VLOOKUP($AE113,Usinas!$B$3:$F$241,5,FALSE)</f>
        <v>3</v>
      </c>
      <c r="AM113" s="102" t="str">
        <f>VLOOKUP($AE113,Usinas!$B$3:$H$241,7,FALSE)</f>
        <v>NORDESTE</v>
      </c>
      <c r="AN113" s="102" t="str">
        <f>VLOOKUP($AE113,Usinas!$B$3:$D$241,3,FALSE)</f>
        <v>SÃO FRANCISCO (NE)</v>
      </c>
      <c r="AP113" s="103">
        <v>93</v>
      </c>
      <c r="AQ113" s="103" t="str">
        <f>IF(BA113=1,VLOOKUP($AP113,Usinas!$B$3:$F$244,2,0),"")</f>
        <v xml:space="preserve">PASSO FUNDO </v>
      </c>
      <c r="AR113" s="103" t="str">
        <f>IF(BA113=1,VLOOKUP($AP113,Usinas!$B$3:$F$241,3,0),"")</f>
        <v>URUGUAI</v>
      </c>
      <c r="AS113" s="103" t="str">
        <f>IF(BA113,VLOOKUP($AP113,Usinas!$B$3:$F$244,4,0),"")</f>
        <v>SUL</v>
      </c>
      <c r="AT113" s="103">
        <f t="shared" si="146"/>
        <v>2.2252000000000001</v>
      </c>
      <c r="AU113" s="104">
        <f t="shared" si="154"/>
        <v>113.48520000000001</v>
      </c>
      <c r="AV113" s="104">
        <f t="shared" si="154"/>
        <v>115.71040000000001</v>
      </c>
      <c r="AW113" s="104">
        <f t="shared" si="154"/>
        <v>109.0348</v>
      </c>
      <c r="AX113" s="104">
        <f t="shared" si="154"/>
        <v>93.458399999999997</v>
      </c>
      <c r="AY113" s="104">
        <f t="shared" si="154"/>
        <v>89.00800000000001</v>
      </c>
      <c r="AZ113" s="104">
        <f t="shared" si="154"/>
        <v>86.782800000000009</v>
      </c>
      <c r="BA113" s="103">
        <f t="shared" si="147"/>
        <v>1</v>
      </c>
      <c r="BB113" s="103">
        <f t="shared" si="148"/>
        <v>0</v>
      </c>
      <c r="BC113" s="103" t="str">
        <f>IF(BA113=1,VLOOKUP($AP113,Usinas!$B$3:$H$244,7,0),"")</f>
        <v>SUL</v>
      </c>
      <c r="BM113" s="105">
        <f t="shared" si="139"/>
        <v>95</v>
      </c>
      <c r="BN113" s="105">
        <f t="shared" si="140"/>
        <v>178</v>
      </c>
      <c r="BO113" s="151">
        <f>IF($BP$15=1,IFERROR(VLOOKUP(BN113,$BZ$20:CA276,2,0),0),VALUE(RIGHT(LEFT($B122,21),10)))</f>
        <v>2464</v>
      </c>
      <c r="BP113" s="105">
        <f t="shared" si="141"/>
        <v>2552</v>
      </c>
      <c r="BQ113" s="105">
        <f t="shared" si="142"/>
        <v>2765</v>
      </c>
      <c r="BR113" s="105">
        <f t="shared" si="143"/>
        <v>3088</v>
      </c>
      <c r="BS113" s="105">
        <f t="shared" si="144"/>
        <v>3019</v>
      </c>
      <c r="BT113" s="105">
        <f t="shared" si="145"/>
        <v>2919</v>
      </c>
      <c r="BU113" s="85"/>
      <c r="BV113" s="97" t="s">
        <v>331</v>
      </c>
      <c r="BW113" s="98">
        <f t="shared" si="151"/>
        <v>110</v>
      </c>
      <c r="BX113" s="97" t="str">
        <f t="shared" si="149"/>
        <v>PST 109</v>
      </c>
      <c r="BZ113" s="147">
        <v>101</v>
      </c>
      <c r="CA113" s="148">
        <v>113</v>
      </c>
      <c r="CB113" s="87"/>
      <c r="CC113" s="87"/>
      <c r="CF113" s="110"/>
      <c r="CG113" s="111"/>
      <c r="CH113" s="87"/>
      <c r="CI113" s="87"/>
      <c r="CJ113" s="87"/>
      <c r="CK113" s="87"/>
      <c r="CL113" s="87"/>
      <c r="CM113" s="87"/>
    </row>
    <row r="114" spans="2:91" ht="15.6" x14ac:dyDescent="0.3">
      <c r="B114" s="99" t="s">
        <v>863</v>
      </c>
      <c r="C114" s="99"/>
      <c r="D114" s="99"/>
      <c r="E114" s="99"/>
      <c r="F114" s="99"/>
      <c r="G114" s="99"/>
      <c r="H114" s="99"/>
      <c r="I114" s="43"/>
      <c r="J114" s="99" t="str">
        <f t="shared" si="152"/>
        <v xml:space="preserve">    87  166      4546      3611      4354      5302      5209      5399</v>
      </c>
      <c r="T114" s="42"/>
      <c r="U114" s="135"/>
      <c r="V114" s="191"/>
      <c r="W114" s="187">
        <v>206</v>
      </c>
      <c r="X114" s="187">
        <v>0.61950000000000005</v>
      </c>
      <c r="Z114" s="101">
        <v>94</v>
      </c>
      <c r="AA114" s="101">
        <v>1</v>
      </c>
      <c r="AB114" s="101">
        <v>0.4506</v>
      </c>
      <c r="AD114" s="102">
        <f t="shared" si="132"/>
        <v>96</v>
      </c>
      <c r="AE114" s="102">
        <f t="shared" si="132"/>
        <v>183</v>
      </c>
      <c r="AF114" s="102">
        <f t="shared" si="133"/>
        <v>153</v>
      </c>
      <c r="AG114" s="102">
        <f t="shared" si="134"/>
        <v>191</v>
      </c>
      <c r="AH114" s="102">
        <f t="shared" si="135"/>
        <v>157</v>
      </c>
      <c r="AI114" s="102">
        <f t="shared" si="136"/>
        <v>131</v>
      </c>
      <c r="AJ114" s="102">
        <f t="shared" si="137"/>
        <v>147</v>
      </c>
      <c r="AK114" s="102">
        <f t="shared" si="138"/>
        <v>101</v>
      </c>
      <c r="AL114" s="102">
        <f>VLOOKUP($AE114,Usinas!$B$3:$F$241,5,FALSE)</f>
        <v>1</v>
      </c>
      <c r="AM114" s="102" t="str">
        <f>VLOOKUP($AE114,Usinas!$B$3:$H$241,7,FALSE)</f>
        <v>SUDESTE</v>
      </c>
      <c r="AN114" s="102" t="str">
        <f>VLOOKUP($AE114,Usinas!$B$3:$D$241,3,FALSE)</f>
        <v>DOCE</v>
      </c>
      <c r="AP114" s="103">
        <v>94</v>
      </c>
      <c r="AQ114" s="103" t="str">
        <f>IF(BA114=1,VLOOKUP($AP114,Usinas!$B$3:$F$244,2,0),"")</f>
        <v>FOZ DO CHAPECÓ</v>
      </c>
      <c r="AR114" s="103" t="str">
        <f>IF(BA114=1,VLOOKUP($AP114,Usinas!$B$3:$F$241,3,0),"")</f>
        <v>URUGUAI</v>
      </c>
      <c r="AS114" s="103" t="str">
        <f>IF(BA114,VLOOKUP($AP114,Usinas!$B$3:$F$244,4,0),"")</f>
        <v>SUL</v>
      </c>
      <c r="AT114" s="103">
        <f t="shared" si="146"/>
        <v>0.4506</v>
      </c>
      <c r="AU114" s="104">
        <f t="shared" si="154"/>
        <v>462.76620000000003</v>
      </c>
      <c r="AV114" s="104">
        <f t="shared" si="154"/>
        <v>478.53719999999998</v>
      </c>
      <c r="AW114" s="104">
        <f t="shared" si="154"/>
        <v>490.70339999999999</v>
      </c>
      <c r="AX114" s="104">
        <f t="shared" si="154"/>
        <v>483.04320000000001</v>
      </c>
      <c r="AY114" s="104">
        <f t="shared" si="154"/>
        <v>495.20940000000002</v>
      </c>
      <c r="AZ114" s="104">
        <f t="shared" si="154"/>
        <v>452.85300000000001</v>
      </c>
      <c r="BA114" s="103">
        <f t="shared" si="147"/>
        <v>1</v>
      </c>
      <c r="BB114" s="103">
        <f t="shared" si="148"/>
        <v>0</v>
      </c>
      <c r="BC114" s="103" t="str">
        <f>IF(BA114=1,VLOOKUP($AP114,Usinas!$B$3:$H$244,7,0),"")</f>
        <v>SUL</v>
      </c>
      <c r="BM114" s="105">
        <f t="shared" si="139"/>
        <v>96</v>
      </c>
      <c r="BN114" s="105">
        <f t="shared" si="140"/>
        <v>183</v>
      </c>
      <c r="BO114" s="151">
        <f>IF($BP$15=1,IFERROR(VLOOKUP(BN114,$BZ$20:CA277,2,0),0),VALUE(RIGHT(LEFT($B123,21),10)))</f>
        <v>112</v>
      </c>
      <c r="BP114" s="105">
        <f t="shared" si="141"/>
        <v>140</v>
      </c>
      <c r="BQ114" s="105">
        <f t="shared" si="142"/>
        <v>115</v>
      </c>
      <c r="BR114" s="105">
        <f t="shared" si="143"/>
        <v>96</v>
      </c>
      <c r="BS114" s="105">
        <f t="shared" si="144"/>
        <v>108</v>
      </c>
      <c r="BT114" s="105">
        <f t="shared" si="145"/>
        <v>74</v>
      </c>
      <c r="BU114" s="85"/>
      <c r="BV114" s="97" t="s">
        <v>331</v>
      </c>
      <c r="BW114" s="98">
        <f t="shared" si="151"/>
        <v>111</v>
      </c>
      <c r="BX114" s="97" t="str">
        <f t="shared" si="149"/>
        <v>PST 110</v>
      </c>
      <c r="BZ114" s="147">
        <v>278</v>
      </c>
      <c r="CA114" s="148">
        <v>96</v>
      </c>
      <c r="CB114" s="87"/>
      <c r="CC114" s="87"/>
      <c r="CF114" s="110"/>
      <c r="CG114" s="111"/>
      <c r="CH114" s="87"/>
      <c r="CI114" s="87"/>
      <c r="CJ114" s="87"/>
      <c r="CK114" s="87"/>
      <c r="CL114" s="87"/>
      <c r="CM114" s="87"/>
    </row>
    <row r="115" spans="2:91" ht="15.6" x14ac:dyDescent="0.3">
      <c r="B115" s="99" t="s">
        <v>781</v>
      </c>
      <c r="C115" s="99"/>
      <c r="D115" s="99"/>
      <c r="E115" s="99"/>
      <c r="F115" s="99"/>
      <c r="G115" s="99"/>
      <c r="H115" s="99"/>
      <c r="I115" s="43"/>
      <c r="J115" s="99" t="str">
        <f t="shared" si="152"/>
        <v xml:space="preserve">    88  168      1994      1930      2275      2340      2086      2068</v>
      </c>
      <c r="T115" s="42"/>
      <c r="U115" s="135"/>
      <c r="V115" s="191"/>
      <c r="W115" s="187">
        <v>207</v>
      </c>
      <c r="X115" s="187">
        <v>0.51139999999999997</v>
      </c>
      <c r="Z115" s="101">
        <v>95</v>
      </c>
      <c r="AA115" s="101">
        <v>0</v>
      </c>
      <c r="AB115" s="101">
        <v>0</v>
      </c>
      <c r="AD115" s="102">
        <f t="shared" si="132"/>
        <v>97</v>
      </c>
      <c r="AE115" s="102">
        <f t="shared" si="132"/>
        <v>188</v>
      </c>
      <c r="AF115" s="102">
        <f t="shared" si="133"/>
        <v>664</v>
      </c>
      <c r="AG115" s="102">
        <f t="shared" si="134"/>
        <v>532</v>
      </c>
      <c r="AH115" s="102">
        <f t="shared" si="135"/>
        <v>372</v>
      </c>
      <c r="AI115" s="102">
        <f t="shared" si="136"/>
        <v>423</v>
      </c>
      <c r="AJ115" s="102">
        <f t="shared" si="137"/>
        <v>493</v>
      </c>
      <c r="AK115" s="102">
        <f t="shared" si="138"/>
        <v>373</v>
      </c>
      <c r="AL115" s="102">
        <f>VLOOKUP($AE115,Usinas!$B$3:$F$241,5,FALSE)</f>
        <v>3</v>
      </c>
      <c r="AM115" s="102" t="str">
        <f>VLOOKUP($AE115,Usinas!$B$3:$H$241,7,FALSE)</f>
        <v>NORDESTE</v>
      </c>
      <c r="AN115" s="102" t="str">
        <f>VLOOKUP($AE115,Usinas!$B$3:$D$241,3,FALSE)</f>
        <v>JEQUITINHONHA (NE)</v>
      </c>
      <c r="AP115" s="103">
        <v>95</v>
      </c>
      <c r="AQ115" s="103" t="str">
        <f>IF(BA115=1,VLOOKUP($AP115,Usinas!$B$3:$F$244,2,0),"")</f>
        <v/>
      </c>
      <c r="AR115" s="103" t="str">
        <f>IF(BA115=1,VLOOKUP($AP115,Usinas!$B$3:$F$241,3,0),"")</f>
        <v/>
      </c>
      <c r="AS115" s="103" t="str">
        <f>IF(BA115,VLOOKUP($AP115,Usinas!$B$3:$F$244,4,0),"")</f>
        <v/>
      </c>
      <c r="AT115" s="103" t="str">
        <f t="shared" si="146"/>
        <v/>
      </c>
      <c r="AU115" s="104" t="str">
        <f t="shared" si="154"/>
        <v/>
      </c>
      <c r="AV115" s="104" t="str">
        <f t="shared" si="154"/>
        <v/>
      </c>
      <c r="AW115" s="104" t="str">
        <f t="shared" si="154"/>
        <v/>
      </c>
      <c r="AX115" s="104" t="str">
        <f t="shared" si="154"/>
        <v/>
      </c>
      <c r="AY115" s="104" t="str">
        <f t="shared" si="154"/>
        <v/>
      </c>
      <c r="AZ115" s="104" t="str">
        <f t="shared" si="154"/>
        <v/>
      </c>
      <c r="BA115" s="103">
        <f t="shared" si="147"/>
        <v>0</v>
      </c>
      <c r="BB115" s="103">
        <f t="shared" si="148"/>
        <v>0</v>
      </c>
      <c r="BC115" s="103" t="str">
        <f>IF(BA115=1,VLOOKUP($AP115,Usinas!$B$3:$H$244,7,0),"")</f>
        <v/>
      </c>
      <c r="BM115" s="105">
        <f t="shared" si="139"/>
        <v>97</v>
      </c>
      <c r="BN115" s="105">
        <f t="shared" si="140"/>
        <v>188</v>
      </c>
      <c r="BO115" s="151">
        <f>IF($BP$15=1,IFERROR(VLOOKUP(BN115,$BZ$20:CA278,2,0),0),VALUE(RIGHT(LEFT($B124,21),10)))</f>
        <v>597</v>
      </c>
      <c r="BP115" s="105">
        <f t="shared" si="141"/>
        <v>478</v>
      </c>
      <c r="BQ115" s="105">
        <f t="shared" si="142"/>
        <v>334</v>
      </c>
      <c r="BR115" s="105">
        <f t="shared" si="143"/>
        <v>380</v>
      </c>
      <c r="BS115" s="105">
        <f t="shared" si="144"/>
        <v>443</v>
      </c>
      <c r="BT115" s="105">
        <f t="shared" si="145"/>
        <v>335</v>
      </c>
      <c r="BU115" s="85"/>
      <c r="BV115" s="97" t="s">
        <v>331</v>
      </c>
      <c r="BW115" s="98">
        <f t="shared" si="151"/>
        <v>112</v>
      </c>
      <c r="BX115" s="97" t="str">
        <f t="shared" si="149"/>
        <v>PST 111</v>
      </c>
      <c r="BZ115" s="147">
        <v>259</v>
      </c>
      <c r="CA115" s="148">
        <v>89</v>
      </c>
      <c r="CB115" s="87"/>
      <c r="CC115" s="87"/>
      <c r="CF115" s="110"/>
      <c r="CG115" s="111"/>
      <c r="CH115" s="87"/>
      <c r="CI115" s="87"/>
      <c r="CJ115" s="87"/>
      <c r="CK115" s="87"/>
      <c r="CL115" s="87"/>
      <c r="CM115" s="87"/>
    </row>
    <row r="116" spans="2:91" ht="15.6" x14ac:dyDescent="0.3">
      <c r="B116" s="99" t="s">
        <v>782</v>
      </c>
      <c r="C116" s="99"/>
      <c r="D116" s="99"/>
      <c r="E116" s="99"/>
      <c r="F116" s="99"/>
      <c r="G116" s="99"/>
      <c r="H116" s="99"/>
      <c r="I116" s="43"/>
      <c r="J116" s="99" t="str">
        <f t="shared" si="152"/>
        <v xml:space="preserve">    89  169      2829      2882      3266      3448      3293      3232</v>
      </c>
      <c r="T116" s="42"/>
      <c r="U116" s="135"/>
      <c r="V116" s="191"/>
      <c r="W116" s="187">
        <v>209</v>
      </c>
      <c r="X116" s="187">
        <v>0.62939999999999996</v>
      </c>
      <c r="Z116" s="101">
        <v>96</v>
      </c>
      <c r="AA116" s="101">
        <v>0</v>
      </c>
      <c r="AB116" s="101">
        <v>0</v>
      </c>
      <c r="AD116" s="102">
        <f t="shared" si="132"/>
        <v>98</v>
      </c>
      <c r="AE116" s="102">
        <f t="shared" si="132"/>
        <v>190</v>
      </c>
      <c r="AF116" s="102">
        <f t="shared" si="133"/>
        <v>368</v>
      </c>
      <c r="AG116" s="102">
        <f t="shared" si="134"/>
        <v>407</v>
      </c>
      <c r="AH116" s="102">
        <f t="shared" si="135"/>
        <v>446</v>
      </c>
      <c r="AI116" s="102">
        <f t="shared" si="136"/>
        <v>448</v>
      </c>
      <c r="AJ116" s="102">
        <f t="shared" si="137"/>
        <v>562</v>
      </c>
      <c r="AK116" s="102">
        <f t="shared" si="138"/>
        <v>649</v>
      </c>
      <c r="AL116" s="102">
        <f>VLOOKUP($AE116,Usinas!$B$3:$F$241,5,FALSE)</f>
        <v>3</v>
      </c>
      <c r="AM116" s="102" t="str">
        <f>VLOOKUP($AE116,Usinas!$B$3:$H$241,7,FALSE)</f>
        <v>NORDESTE</v>
      </c>
      <c r="AN116" s="102" t="str">
        <f>VLOOKUP($AE116,Usinas!$B$3:$D$241,3,FALSE)</f>
        <v>PARNAÍBA</v>
      </c>
      <c r="AP116" s="103">
        <v>96</v>
      </c>
      <c r="AQ116" s="103" t="str">
        <f>IF(BA116=1,VLOOKUP($AP116,Usinas!$B$3:$F$244,2,0),"")</f>
        <v/>
      </c>
      <c r="AR116" s="103" t="str">
        <f>IF(BA116=1,VLOOKUP($AP116,Usinas!$B$3:$F$241,3,0),"")</f>
        <v/>
      </c>
      <c r="AS116" s="103" t="str">
        <f>IF(BA116,VLOOKUP($AP116,Usinas!$B$3:$F$244,4,0),"")</f>
        <v/>
      </c>
      <c r="AT116" s="103" t="str">
        <f t="shared" si="146"/>
        <v/>
      </c>
      <c r="AU116" s="104" t="str">
        <f t="shared" si="154"/>
        <v/>
      </c>
      <c r="AV116" s="104" t="str">
        <f t="shared" si="154"/>
        <v/>
      </c>
      <c r="AW116" s="104" t="str">
        <f t="shared" si="154"/>
        <v/>
      </c>
      <c r="AX116" s="104" t="str">
        <f t="shared" si="154"/>
        <v/>
      </c>
      <c r="AY116" s="104" t="str">
        <f t="shared" si="154"/>
        <v/>
      </c>
      <c r="AZ116" s="104" t="str">
        <f t="shared" si="154"/>
        <v/>
      </c>
      <c r="BA116" s="103">
        <f t="shared" si="147"/>
        <v>0</v>
      </c>
      <c r="BB116" s="103">
        <f t="shared" si="148"/>
        <v>0</v>
      </c>
      <c r="BC116" s="103" t="str">
        <f>IF(BA116=1,VLOOKUP($AP116,Usinas!$B$3:$H$244,7,0),"")</f>
        <v/>
      </c>
      <c r="BM116" s="105">
        <f t="shared" si="139"/>
        <v>98</v>
      </c>
      <c r="BN116" s="105">
        <f t="shared" si="140"/>
        <v>190</v>
      </c>
      <c r="BO116" s="151">
        <f>IF($BP$15=1,IFERROR(VLOOKUP(BN116,$BZ$20:CA279,2,0),0),VALUE(RIGHT(LEFT($B125,21),10)))</f>
        <v>331</v>
      </c>
      <c r="BP116" s="105">
        <f t="shared" si="141"/>
        <v>366</v>
      </c>
      <c r="BQ116" s="105">
        <f t="shared" si="142"/>
        <v>401</v>
      </c>
      <c r="BR116" s="105">
        <f t="shared" si="143"/>
        <v>403</v>
      </c>
      <c r="BS116" s="105">
        <f t="shared" si="144"/>
        <v>505</v>
      </c>
      <c r="BT116" s="105">
        <f t="shared" si="145"/>
        <v>583</v>
      </c>
      <c r="BU116" s="85"/>
      <c r="BV116" s="97" t="s">
        <v>331</v>
      </c>
      <c r="BW116" s="98">
        <f t="shared" si="151"/>
        <v>113</v>
      </c>
      <c r="BX116" s="97" t="str">
        <f t="shared" si="149"/>
        <v>PST 112</v>
      </c>
      <c r="BZ116" s="147">
        <v>281</v>
      </c>
      <c r="CA116" s="148">
        <v>85</v>
      </c>
      <c r="CB116" s="87"/>
      <c r="CC116" s="87"/>
      <c r="CF116" s="110"/>
      <c r="CG116" s="111"/>
      <c r="CH116" s="87"/>
      <c r="CI116" s="87"/>
      <c r="CJ116" s="87"/>
      <c r="CK116" s="87"/>
      <c r="CL116" s="87"/>
      <c r="CM116" s="87"/>
    </row>
    <row r="117" spans="2:91" ht="15.6" x14ac:dyDescent="0.3">
      <c r="B117" s="99" t="s">
        <v>719</v>
      </c>
      <c r="C117" s="99"/>
      <c r="D117" s="99"/>
      <c r="E117" s="99"/>
      <c r="F117" s="99"/>
      <c r="G117" s="99"/>
      <c r="H117" s="99"/>
      <c r="I117" s="43"/>
      <c r="J117" s="99" t="str">
        <f t="shared" si="152"/>
        <v xml:space="preserve">    90  171         0         0         0         0         0         0</v>
      </c>
      <c r="T117" s="42"/>
      <c r="U117" s="135"/>
      <c r="V117" s="191"/>
      <c r="W117" s="187">
        <v>211</v>
      </c>
      <c r="X117" s="187">
        <v>0.35489999999999999</v>
      </c>
      <c r="Z117" s="101">
        <v>97</v>
      </c>
      <c r="AA117" s="101">
        <v>1</v>
      </c>
      <c r="AB117" s="101">
        <v>0.35410000000000003</v>
      </c>
      <c r="AD117" s="102">
        <f t="shared" si="132"/>
        <v>99</v>
      </c>
      <c r="AE117" s="102">
        <f t="shared" si="132"/>
        <v>191</v>
      </c>
      <c r="AF117" s="102">
        <f t="shared" ref="AF117:AF148" si="155">ROUND(BO117*(1+VLOOKUP($AL117,$B$3:$H$6,AF$19,FALSE)+_xlfn.IFNA(VLOOKUP("REE "&amp;$AM117,$B$11:$H$23,AF$19,FALSE),0)+_xlfn.IFNA(VLOOKUP("BCA "&amp;$AN117,$B$11:$H$23,AF$19,0),0)+_xlfn.IFNA(VLOOKUP("PST "&amp;$AE117,$B$11:$H$23,AF$19,0),0)),0)</f>
        <v>1079</v>
      </c>
      <c r="AG117" s="102">
        <f t="shared" ref="AG117:AG148" si="156">ROUND(BP117*(1+VLOOKUP($AL117,$B$3:$H$6,AG$19,FALSE)+_xlfn.IFNA(VLOOKUP("REE "&amp;$AM117,$B$11:$H$23,AG$19,FALSE),0)+_xlfn.IFNA(VLOOKUP("BCA "&amp;$AN117,$B$11:$H$23,AG$19,0),0)+_xlfn.IFNA(VLOOKUP("PST "&amp;$AE117,$B$11:$H$23,AG$19,0),0)),0)</f>
        <v>1306</v>
      </c>
      <c r="AH117" s="102">
        <f t="shared" ref="AH117:AH148" si="157">ROUND(BQ117*(1+VLOOKUP($AL117,$B$3:$H$6,AH$19,FALSE)+_xlfn.IFNA(VLOOKUP("REE "&amp;$AM117,$B$11:$H$23,AH$19,FALSE),0)+_xlfn.IFNA(VLOOKUP("BCA "&amp;$AN117,$B$11:$H$23,AH$19,0),0)+_xlfn.IFNA(VLOOKUP("PST "&amp;$AE117,$B$11:$H$23,AH$19,0),0)),0)</f>
        <v>1241</v>
      </c>
      <c r="AI117" s="102">
        <f t="shared" ref="AI117:AI148" si="158">ROUND(BR117*(1+VLOOKUP($AL117,$B$3:$H$6,AI$19,FALSE)+_xlfn.IFNA(VLOOKUP("REE "&amp;$AM117,$B$11:$H$23,AI$19,FALSE),0)+_xlfn.IFNA(VLOOKUP("BCA "&amp;$AN117,$B$11:$H$23,AI$19,0),0)+_xlfn.IFNA(VLOOKUP("PST "&amp;$AE117,$B$11:$H$23,AI$19,0),0)),0)</f>
        <v>1204</v>
      </c>
      <c r="AJ117" s="102">
        <f t="shared" ref="AJ117:AJ148" si="159">ROUND(BS117*(1+VLOOKUP($AL117,$B$3:$H$6,AJ$19,FALSE)+_xlfn.IFNA(VLOOKUP("REE "&amp;$AM117,$B$11:$H$23,AJ$19,FALSE),0)+_xlfn.IFNA(VLOOKUP("BCA "&amp;$AN117,$B$11:$H$23,AJ$19,0),0)+_xlfn.IFNA(VLOOKUP("PST "&amp;$AE117,$B$11:$H$23,AJ$19,0),0)),0)</f>
        <v>1451</v>
      </c>
      <c r="AK117" s="102">
        <f t="shared" ref="AK117:AK148" si="160">ROUND(BT117*(1+VLOOKUP($AL117,$B$3:$H$6,AK$19,FALSE)+_xlfn.IFNA(VLOOKUP("REE "&amp;$AM117,$B$11:$H$23,AK$19,FALSE),0)+_xlfn.IFNA(VLOOKUP("BCA "&amp;$AN117,$B$11:$H$23,AK$19,0),0)+_xlfn.IFNA(VLOOKUP("PST "&amp;$AE117,$B$11:$H$23,AK$19,0),0)),0)</f>
        <v>1272</v>
      </c>
      <c r="AL117" s="102">
        <f>VLOOKUP($AE117,Usinas!$B$3:$F$241,5,FALSE)</f>
        <v>1</v>
      </c>
      <c r="AM117" s="102" t="str">
        <f>VLOOKUP($AE117,Usinas!$B$3:$H$241,7,FALSE)</f>
        <v>SUDESTE</v>
      </c>
      <c r="AN117" s="102" t="str">
        <f>VLOOKUP($AE117,Usinas!$B$3:$D$241,3,FALSE)</f>
        <v>TOCANTINS (SE)</v>
      </c>
      <c r="AP117" s="103">
        <v>97</v>
      </c>
      <c r="AQ117" s="103" t="str">
        <f>IF(BA117=1,VLOOKUP($AP117,Usinas!$B$3:$F$244,2,0),"")</f>
        <v>MONTE CLARO</v>
      </c>
      <c r="AR117" s="103" t="str">
        <f>IF(BA117=1,VLOOKUP($AP117,Usinas!$B$3:$F$241,3,0),"")</f>
        <v>JACUÍ</v>
      </c>
      <c r="AS117" s="103" t="str">
        <f>IF(BA117,VLOOKUP($AP117,Usinas!$B$3:$F$244,4,0),"")</f>
        <v>SUL</v>
      </c>
      <c r="AT117" s="103">
        <f t="shared" si="146"/>
        <v>0.35410000000000003</v>
      </c>
      <c r="AU117" s="104">
        <f t="shared" si="154"/>
        <v>71.882300000000001</v>
      </c>
      <c r="AV117" s="104">
        <f t="shared" si="154"/>
        <v>78.256100000000004</v>
      </c>
      <c r="AW117" s="104">
        <f t="shared" si="154"/>
        <v>69.7577</v>
      </c>
      <c r="AX117" s="104">
        <f t="shared" si="154"/>
        <v>55.593700000000005</v>
      </c>
      <c r="AY117" s="104">
        <f t="shared" si="154"/>
        <v>57.364200000000004</v>
      </c>
      <c r="AZ117" s="104">
        <f t="shared" si="154"/>
        <v>58.426500000000004</v>
      </c>
      <c r="BA117" s="103">
        <f t="shared" si="147"/>
        <v>1</v>
      </c>
      <c r="BB117" s="103">
        <f t="shared" si="148"/>
        <v>0</v>
      </c>
      <c r="BC117" s="103" t="str">
        <f>IF(BA117=1,VLOOKUP($AP117,Usinas!$B$3:$H$244,7,0),"")</f>
        <v>SUL</v>
      </c>
      <c r="BM117" s="105">
        <f t="shared" ref="BM117:BM148" si="161">VALUE(LEFT($B126,6))</f>
        <v>99</v>
      </c>
      <c r="BN117" s="105">
        <f t="shared" ref="BN117:BN148" si="162">VALUE(RIGHT(LEFT($B126,11),5))</f>
        <v>191</v>
      </c>
      <c r="BO117" s="151">
        <f>IF($BP$15=1,IFERROR(VLOOKUP(BN117,$BZ$20:CA280,2,0),0),VALUE(RIGHT(LEFT($B126,21),10)))</f>
        <v>791</v>
      </c>
      <c r="BP117" s="105">
        <f t="shared" ref="BP117:BP148" si="163">VALUE(RIGHT(LEFT($B126,31),10))</f>
        <v>958</v>
      </c>
      <c r="BQ117" s="105">
        <f t="shared" ref="BQ117:BQ148" si="164">VALUE(RIGHT(LEFT($B126,41),10))</f>
        <v>910</v>
      </c>
      <c r="BR117" s="105">
        <f t="shared" ref="BR117:BR148" si="165">VALUE(RIGHT(LEFT($B126,51),10))</f>
        <v>883</v>
      </c>
      <c r="BS117" s="105">
        <f t="shared" ref="BS117:BS148" si="166">VALUE(RIGHT(LEFT($B126,61),10))</f>
        <v>1064</v>
      </c>
      <c r="BT117" s="105">
        <f t="shared" ref="BT117:BT148" si="167">VALUE(RIGHT(LEFT($B126,71),10))</f>
        <v>933</v>
      </c>
      <c r="BU117" s="85"/>
      <c r="BV117" s="97" t="s">
        <v>331</v>
      </c>
      <c r="BW117" s="98">
        <f t="shared" si="151"/>
        <v>114</v>
      </c>
      <c r="BX117" s="97" t="str">
        <f t="shared" si="149"/>
        <v>PST 113</v>
      </c>
      <c r="BZ117" s="147">
        <v>295</v>
      </c>
      <c r="CA117" s="148">
        <v>82</v>
      </c>
      <c r="CB117" s="87"/>
      <c r="CC117" s="87"/>
      <c r="CF117" s="110"/>
      <c r="CG117" s="111"/>
      <c r="CH117" s="87"/>
      <c r="CI117" s="87"/>
      <c r="CJ117" s="87"/>
      <c r="CK117" s="87"/>
      <c r="CL117" s="87"/>
      <c r="CM117" s="87"/>
    </row>
    <row r="118" spans="2:91" ht="15.6" x14ac:dyDescent="0.3">
      <c r="B118" s="99" t="s">
        <v>783</v>
      </c>
      <c r="C118" s="99"/>
      <c r="D118" s="99"/>
      <c r="E118" s="99"/>
      <c r="F118" s="99"/>
      <c r="G118" s="99"/>
      <c r="H118" s="99"/>
      <c r="I118" s="43"/>
      <c r="J118" s="99" t="str">
        <f t="shared" si="152"/>
        <v xml:space="preserve">    91  172      2783      2844      3140      3451      3335      3242</v>
      </c>
      <c r="T118" s="42"/>
      <c r="U118" s="135"/>
      <c r="V118" s="191"/>
      <c r="W118" s="187">
        <v>215</v>
      </c>
      <c r="X118" s="187">
        <v>1.4153</v>
      </c>
      <c r="Z118" s="101">
        <v>98</v>
      </c>
      <c r="AA118" s="101">
        <v>1</v>
      </c>
      <c r="AB118" s="101">
        <v>0.76759999999999995</v>
      </c>
      <c r="AD118" s="102">
        <f t="shared" si="132"/>
        <v>100</v>
      </c>
      <c r="AE118" s="102">
        <f t="shared" si="132"/>
        <v>196</v>
      </c>
      <c r="AF118" s="102">
        <f t="shared" si="155"/>
        <v>89</v>
      </c>
      <c r="AG118" s="102">
        <f t="shared" si="156"/>
        <v>101</v>
      </c>
      <c r="AH118" s="102">
        <f t="shared" si="157"/>
        <v>72</v>
      </c>
      <c r="AI118" s="102">
        <f t="shared" si="158"/>
        <v>70</v>
      </c>
      <c r="AJ118" s="102">
        <f t="shared" si="159"/>
        <v>70</v>
      </c>
      <c r="AK118" s="102">
        <f t="shared" si="160"/>
        <v>59</v>
      </c>
      <c r="AL118" s="102">
        <f>VLOOKUP($AE118,Usinas!$B$3:$F$241,5,FALSE)</f>
        <v>1</v>
      </c>
      <c r="AM118" s="102" t="str">
        <f>VLOOKUP($AE118,Usinas!$B$3:$H$241,7,FALSE)</f>
        <v>SUDESTE</v>
      </c>
      <c r="AN118" s="102" t="str">
        <f>VLOOKUP($AE118,Usinas!$B$3:$D$241,3,FALSE)</f>
        <v>ITABAPOANA</v>
      </c>
      <c r="AP118" s="103">
        <v>98</v>
      </c>
      <c r="AQ118" s="103" t="str">
        <f>IF(BA118=1,VLOOKUP($AP118,Usinas!$B$3:$F$244,2,0),"")</f>
        <v>CASTRO ALVES</v>
      </c>
      <c r="AR118" s="103" t="str">
        <f>IF(BA118=1,VLOOKUP($AP118,Usinas!$B$3:$F$241,3,0),"")</f>
        <v>JACUÍ</v>
      </c>
      <c r="AS118" s="103" t="str">
        <f>IF(BA118,VLOOKUP($AP118,Usinas!$B$3:$F$244,4,0),"")</f>
        <v>SUL</v>
      </c>
      <c r="AT118" s="103">
        <f t="shared" si="146"/>
        <v>0.76759999999999995</v>
      </c>
      <c r="AU118" s="104">
        <f t="shared" si="154"/>
        <v>104.39359999999999</v>
      </c>
      <c r="AV118" s="104">
        <f t="shared" si="154"/>
        <v>107.464</v>
      </c>
      <c r="AW118" s="104">
        <f t="shared" si="154"/>
        <v>97.485199999999992</v>
      </c>
      <c r="AX118" s="104">
        <f t="shared" si="154"/>
        <v>70.619199999999992</v>
      </c>
      <c r="AY118" s="104">
        <f t="shared" si="154"/>
        <v>79.830399999999997</v>
      </c>
      <c r="AZ118" s="104">
        <f t="shared" si="154"/>
        <v>78.295199999999994</v>
      </c>
      <c r="BA118" s="103">
        <f t="shared" si="147"/>
        <v>1</v>
      </c>
      <c r="BB118" s="103">
        <f t="shared" si="148"/>
        <v>0</v>
      </c>
      <c r="BC118" s="103" t="str">
        <f>IF(BA118=1,VLOOKUP($AP118,Usinas!$B$3:$H$244,7,0),"")</f>
        <v>SUL</v>
      </c>
      <c r="BM118" s="105">
        <f t="shared" si="161"/>
        <v>100</v>
      </c>
      <c r="BN118" s="105">
        <f t="shared" si="162"/>
        <v>196</v>
      </c>
      <c r="BO118" s="151">
        <f>IF($BP$15=1,IFERROR(VLOOKUP(BN118,$BZ$20:CA281,2,0),0),VALUE(RIGHT(LEFT($B127,21),10)))</f>
        <v>65</v>
      </c>
      <c r="BP118" s="105">
        <f t="shared" si="163"/>
        <v>74</v>
      </c>
      <c r="BQ118" s="105">
        <f t="shared" si="164"/>
        <v>53</v>
      </c>
      <c r="BR118" s="105">
        <f t="shared" si="165"/>
        <v>51</v>
      </c>
      <c r="BS118" s="105">
        <f t="shared" si="166"/>
        <v>51</v>
      </c>
      <c r="BT118" s="105">
        <f t="shared" si="167"/>
        <v>43</v>
      </c>
      <c r="BU118" s="85"/>
      <c r="BV118" s="97" t="s">
        <v>331</v>
      </c>
      <c r="BW118" s="98">
        <f t="shared" si="151"/>
        <v>115</v>
      </c>
      <c r="BX118" s="97" t="str">
        <f t="shared" si="149"/>
        <v>PST 114</v>
      </c>
      <c r="BZ118" s="147">
        <v>121</v>
      </c>
      <c r="CA118" s="148">
        <v>87</v>
      </c>
      <c r="CB118" s="87"/>
      <c r="CC118" s="87"/>
      <c r="CF118" s="110"/>
      <c r="CG118" s="111"/>
      <c r="CH118" s="87"/>
      <c r="CI118" s="87"/>
      <c r="CJ118" s="87"/>
      <c r="CK118" s="87"/>
      <c r="CL118" s="87"/>
      <c r="CM118" s="87"/>
    </row>
    <row r="119" spans="2:91" ht="15.6" x14ac:dyDescent="0.3">
      <c r="B119" s="99" t="s">
        <v>784</v>
      </c>
      <c r="C119" s="99"/>
      <c r="D119" s="99"/>
      <c r="E119" s="99"/>
      <c r="F119" s="99"/>
      <c r="G119" s="99"/>
      <c r="H119" s="99"/>
      <c r="I119" s="43"/>
      <c r="J119" s="99" t="str">
        <f t="shared" si="152"/>
        <v xml:space="preserve">    92  173      2783      2844      3140      3451      3335      3242</v>
      </c>
      <c r="T119" s="42"/>
      <c r="U119" s="135"/>
      <c r="V119" s="191"/>
      <c r="W119" s="187">
        <v>216</v>
      </c>
      <c r="X119" s="187">
        <v>1.6063000000000001</v>
      </c>
      <c r="Z119" s="101">
        <v>99</v>
      </c>
      <c r="AA119" s="101">
        <v>1</v>
      </c>
      <c r="AB119" s="101">
        <v>0.40210000000000001</v>
      </c>
      <c r="AD119" s="102">
        <f t="shared" si="132"/>
        <v>101</v>
      </c>
      <c r="AE119" s="102">
        <f t="shared" si="132"/>
        <v>197</v>
      </c>
      <c r="AF119" s="102">
        <f t="shared" si="155"/>
        <v>57</v>
      </c>
      <c r="AG119" s="102">
        <f t="shared" si="156"/>
        <v>61</v>
      </c>
      <c r="AH119" s="102">
        <f t="shared" si="157"/>
        <v>68</v>
      </c>
      <c r="AI119" s="102">
        <f t="shared" si="158"/>
        <v>59</v>
      </c>
      <c r="AJ119" s="102">
        <f t="shared" si="159"/>
        <v>52</v>
      </c>
      <c r="AK119" s="102">
        <f t="shared" si="160"/>
        <v>52</v>
      </c>
      <c r="AL119" s="102">
        <f>VLOOKUP($AE119,Usinas!$B$3:$F$241,5,FALSE)</f>
        <v>1</v>
      </c>
      <c r="AM119" s="102" t="str">
        <f>VLOOKUP($AE119,Usinas!$B$3:$H$241,7,FALSE)</f>
        <v>SUDESTE</v>
      </c>
      <c r="AN119" s="102" t="str">
        <f>VLOOKUP($AE119,Usinas!$B$3:$D$241,3,FALSE)</f>
        <v>PARAÍBA DO SUL</v>
      </c>
      <c r="AP119" s="103">
        <v>99</v>
      </c>
      <c r="AQ119" s="103" t="str">
        <f>IF(BA119=1,VLOOKUP($AP119,Usinas!$B$3:$F$244,2,0),"")</f>
        <v>ESPORA</v>
      </c>
      <c r="AR119" s="103" t="str">
        <f>IF(BA119=1,VLOOKUP($AP119,Usinas!$B$3:$F$241,3,0),"")</f>
        <v>PARANAÍBA</v>
      </c>
      <c r="AS119" s="103" t="str">
        <f>IF(BA119,VLOOKUP($AP119,Usinas!$B$3:$F$244,4,0),"")</f>
        <v>SUDESTE</v>
      </c>
      <c r="AT119" s="103">
        <f t="shared" si="146"/>
        <v>0.40210000000000001</v>
      </c>
      <c r="AU119" s="104">
        <f t="shared" si="154"/>
        <v>37.395299999999999</v>
      </c>
      <c r="AV119" s="104">
        <f t="shared" si="154"/>
        <v>37.797400000000003</v>
      </c>
      <c r="AW119" s="104">
        <f t="shared" si="154"/>
        <v>39.405799999999999</v>
      </c>
      <c r="AX119" s="104">
        <f t="shared" si="154"/>
        <v>39.405799999999999</v>
      </c>
      <c r="AY119" s="104">
        <f t="shared" si="154"/>
        <v>40.612099999999998</v>
      </c>
      <c r="AZ119" s="104">
        <f t="shared" si="154"/>
        <v>41.014200000000002</v>
      </c>
      <c r="BA119" s="103">
        <f t="shared" si="147"/>
        <v>1</v>
      </c>
      <c r="BB119" s="103">
        <f t="shared" si="148"/>
        <v>0</v>
      </c>
      <c r="BC119" s="103" t="str">
        <f>IF(BA119=1,VLOOKUP($AP119,Usinas!$B$3:$H$244,7,0),"")</f>
        <v>PARANA</v>
      </c>
      <c r="BM119" s="105">
        <f t="shared" si="161"/>
        <v>101</v>
      </c>
      <c r="BN119" s="105">
        <f t="shared" si="162"/>
        <v>197</v>
      </c>
      <c r="BO119" s="151">
        <f>IF($BP$15=1,IFERROR(VLOOKUP(BN119,$BZ$20:CA282,2,0),0),VALUE(RIGHT(LEFT($B128,21),10)))</f>
        <v>42</v>
      </c>
      <c r="BP119" s="105">
        <f t="shared" si="163"/>
        <v>45</v>
      </c>
      <c r="BQ119" s="105">
        <f t="shared" si="164"/>
        <v>50</v>
      </c>
      <c r="BR119" s="105">
        <f t="shared" si="165"/>
        <v>43</v>
      </c>
      <c r="BS119" s="105">
        <f t="shared" si="166"/>
        <v>38</v>
      </c>
      <c r="BT119" s="105">
        <f t="shared" si="167"/>
        <v>38</v>
      </c>
      <c r="BU119" s="85"/>
      <c r="BV119" s="97" t="s">
        <v>331</v>
      </c>
      <c r="BW119" s="98">
        <f t="shared" si="151"/>
        <v>116</v>
      </c>
      <c r="BX119" s="97" t="str">
        <f t="shared" si="149"/>
        <v>PST 115</v>
      </c>
      <c r="BZ119" s="147">
        <v>122</v>
      </c>
      <c r="CA119" s="148">
        <v>100</v>
      </c>
      <c r="CB119" s="87"/>
      <c r="CC119" s="87"/>
      <c r="CF119" s="110"/>
      <c r="CG119" s="111"/>
      <c r="CH119" s="87"/>
      <c r="CI119" s="87"/>
      <c r="CJ119" s="87"/>
      <c r="CK119" s="87"/>
      <c r="CL119" s="87"/>
      <c r="CM119" s="87"/>
    </row>
    <row r="120" spans="2:91" ht="15.6" x14ac:dyDescent="0.3">
      <c r="B120" s="99" t="s">
        <v>785</v>
      </c>
      <c r="C120" s="99"/>
      <c r="D120" s="99"/>
      <c r="E120" s="99"/>
      <c r="F120" s="99"/>
      <c r="G120" s="99"/>
      <c r="H120" s="99"/>
      <c r="I120" s="43"/>
      <c r="J120" s="99" t="str">
        <f t="shared" si="152"/>
        <v xml:space="preserve">    93  175      2783      2844      3140      3451      3335      3242</v>
      </c>
      <c r="T120" s="42"/>
      <c r="U120" s="135"/>
      <c r="V120" s="191"/>
      <c r="W120" s="187">
        <v>217</v>
      </c>
      <c r="X120" s="187">
        <v>0.87790000000000001</v>
      </c>
      <c r="Z120" s="101">
        <v>100</v>
      </c>
      <c r="AA120" s="101">
        <v>0</v>
      </c>
      <c r="AB120" s="101">
        <v>0</v>
      </c>
      <c r="AD120" s="102">
        <f t="shared" si="132"/>
        <v>102</v>
      </c>
      <c r="AE120" s="102">
        <f t="shared" si="132"/>
        <v>198</v>
      </c>
      <c r="AF120" s="102">
        <f t="shared" si="155"/>
        <v>131</v>
      </c>
      <c r="AG120" s="102">
        <f t="shared" si="156"/>
        <v>140</v>
      </c>
      <c r="AH120" s="102">
        <f t="shared" si="157"/>
        <v>154</v>
      </c>
      <c r="AI120" s="102">
        <f t="shared" si="158"/>
        <v>123</v>
      </c>
      <c r="AJ120" s="102">
        <f t="shared" si="159"/>
        <v>112</v>
      </c>
      <c r="AK120" s="102">
        <f t="shared" si="160"/>
        <v>112</v>
      </c>
      <c r="AL120" s="102">
        <f>VLOOKUP($AE120,Usinas!$B$3:$F$241,5,FALSE)</f>
        <v>1</v>
      </c>
      <c r="AM120" s="102" t="str">
        <f>VLOOKUP($AE120,Usinas!$B$3:$H$241,7,FALSE)</f>
        <v>SUDESTE</v>
      </c>
      <c r="AN120" s="102" t="str">
        <f>VLOOKUP($AE120,Usinas!$B$3:$D$241,3,FALSE)</f>
        <v>PARAÍBA DO SUL</v>
      </c>
      <c r="AP120" s="103">
        <v>100</v>
      </c>
      <c r="AQ120" s="103" t="str">
        <f>IF(BA120=1,VLOOKUP($AP120,Usinas!$B$3:$F$244,2,0),"")</f>
        <v/>
      </c>
      <c r="AR120" s="103" t="str">
        <f>IF(BA120=1,VLOOKUP($AP120,Usinas!$B$3:$F$241,3,0),"")</f>
        <v/>
      </c>
      <c r="AS120" s="103" t="str">
        <f>IF(BA120,VLOOKUP($AP120,Usinas!$B$3:$F$244,4,0),"")</f>
        <v/>
      </c>
      <c r="AT120" s="103" t="str">
        <f t="shared" si="146"/>
        <v/>
      </c>
      <c r="AU120" s="104" t="str">
        <f t="shared" si="154"/>
        <v/>
      </c>
      <c r="AV120" s="104" t="str">
        <f t="shared" si="154"/>
        <v/>
      </c>
      <c r="AW120" s="104" t="str">
        <f t="shared" si="154"/>
        <v/>
      </c>
      <c r="AX120" s="104" t="str">
        <f t="shared" si="154"/>
        <v/>
      </c>
      <c r="AY120" s="104" t="str">
        <f t="shared" si="154"/>
        <v/>
      </c>
      <c r="AZ120" s="104" t="str">
        <f t="shared" si="154"/>
        <v/>
      </c>
      <c r="BA120" s="103">
        <f t="shared" si="147"/>
        <v>0</v>
      </c>
      <c r="BB120" s="103">
        <f t="shared" si="148"/>
        <v>0</v>
      </c>
      <c r="BC120" s="103" t="str">
        <f>IF(BA120=1,VLOOKUP($AP120,Usinas!$B$3:$H$244,7,0),"")</f>
        <v/>
      </c>
      <c r="BM120" s="105">
        <f t="shared" si="161"/>
        <v>102</v>
      </c>
      <c r="BN120" s="105">
        <f t="shared" si="162"/>
        <v>198</v>
      </c>
      <c r="BO120" s="151">
        <f>IF($BP$15=1,IFERROR(VLOOKUP(BN120,$BZ$20:CA283,2,0),0),VALUE(RIGHT(LEFT($B129,21),10)))</f>
        <v>96</v>
      </c>
      <c r="BP120" s="105">
        <f t="shared" si="163"/>
        <v>103</v>
      </c>
      <c r="BQ120" s="105">
        <f t="shared" si="164"/>
        <v>113</v>
      </c>
      <c r="BR120" s="105">
        <f t="shared" si="165"/>
        <v>90</v>
      </c>
      <c r="BS120" s="105">
        <f t="shared" si="166"/>
        <v>82</v>
      </c>
      <c r="BT120" s="105">
        <f t="shared" si="167"/>
        <v>82</v>
      </c>
      <c r="BU120" s="85"/>
      <c r="BV120" s="97" t="s">
        <v>331</v>
      </c>
      <c r="BW120" s="98">
        <f t="shared" si="151"/>
        <v>117</v>
      </c>
      <c r="BX120" s="97" t="str">
        <f t="shared" si="149"/>
        <v>PST 116</v>
      </c>
      <c r="BZ120" s="147">
        <v>120</v>
      </c>
      <c r="CA120" s="148">
        <v>32</v>
      </c>
      <c r="CB120" s="87"/>
      <c r="CC120" s="87"/>
      <c r="CF120" s="110"/>
      <c r="CG120" s="111"/>
      <c r="CH120" s="87"/>
      <c r="CI120" s="87"/>
      <c r="CJ120" s="87"/>
      <c r="CK120" s="87"/>
      <c r="CL120" s="87"/>
      <c r="CM120" s="87"/>
    </row>
    <row r="121" spans="2:91" ht="15.6" x14ac:dyDescent="0.3">
      <c r="B121" s="99" t="s">
        <v>786</v>
      </c>
      <c r="C121" s="99"/>
      <c r="D121" s="99"/>
      <c r="E121" s="99"/>
      <c r="F121" s="99"/>
      <c r="G121" s="99"/>
      <c r="H121" s="99"/>
      <c r="I121" s="43"/>
      <c r="J121" s="99" t="str">
        <f t="shared" si="152"/>
        <v xml:space="preserve">    94  176      2783      2844      3140      3451      3335      3242</v>
      </c>
      <c r="T121" s="42"/>
      <c r="U121" s="135"/>
      <c r="V121" s="191"/>
      <c r="W121" s="187">
        <v>220</v>
      </c>
      <c r="X121" s="187">
        <v>0.54</v>
      </c>
      <c r="Z121" s="101">
        <v>101</v>
      </c>
      <c r="AA121" s="101">
        <v>1</v>
      </c>
      <c r="AB121" s="101">
        <v>1.7641</v>
      </c>
      <c r="AD121" s="102">
        <f t="shared" si="132"/>
        <v>103</v>
      </c>
      <c r="AE121" s="102">
        <f t="shared" si="132"/>
        <v>201</v>
      </c>
      <c r="AF121" s="102">
        <f t="shared" si="155"/>
        <v>16</v>
      </c>
      <c r="AG121" s="102">
        <f t="shared" si="156"/>
        <v>19</v>
      </c>
      <c r="AH121" s="102">
        <f t="shared" si="157"/>
        <v>20</v>
      </c>
      <c r="AI121" s="102">
        <f t="shared" si="158"/>
        <v>18</v>
      </c>
      <c r="AJ121" s="102">
        <f t="shared" si="159"/>
        <v>19</v>
      </c>
      <c r="AK121" s="102">
        <f t="shared" si="160"/>
        <v>18</v>
      </c>
      <c r="AL121" s="102">
        <f>VLOOKUP($AE121,Usinas!$B$3:$F$241,5,FALSE)</f>
        <v>1</v>
      </c>
      <c r="AM121" s="102" t="str">
        <f>VLOOKUP($AE121,Usinas!$B$3:$H$241,7,FALSE)</f>
        <v>SUDESTE</v>
      </c>
      <c r="AN121" s="102" t="str">
        <f>VLOOKUP($AE121,Usinas!$B$3:$D$241,3,FALSE)</f>
        <v>PARAÍBA DO SUL</v>
      </c>
      <c r="AP121" s="103">
        <v>101</v>
      </c>
      <c r="AQ121" s="103" t="str">
        <f>IF(BA121=1,VLOOKUP($AP121,Usinas!$B$3:$F$244,2,0),"")</f>
        <v>SALTO PILAO</v>
      </c>
      <c r="AR121" s="103" t="str">
        <f>IF(BA121=1,VLOOKUP($AP121,Usinas!$B$3:$F$241,3,0),"")</f>
        <v>ITAJAÍ-AÇU</v>
      </c>
      <c r="AS121" s="103" t="str">
        <f>IF(BA121,VLOOKUP($AP121,Usinas!$B$3:$F$244,4,0),"")</f>
        <v>SUL</v>
      </c>
      <c r="AT121" s="103">
        <f t="shared" si="146"/>
        <v>1.7641</v>
      </c>
      <c r="AU121" s="104">
        <f t="shared" ref="AU121:AZ130" si="168">IF($BA121=1,IFERROR(VLOOKUP($AP121,$AE$21:$AK$211,AU$19,0),VLOOKUP($AP121,$BE$21:$BK$65,AU$19,0))*$AT121,"")</f>
        <v>246.97399999999999</v>
      </c>
      <c r="AV121" s="104">
        <f t="shared" si="168"/>
        <v>255.7945</v>
      </c>
      <c r="AW121" s="104">
        <f t="shared" si="168"/>
        <v>356.34820000000002</v>
      </c>
      <c r="AX121" s="104">
        <f t="shared" si="168"/>
        <v>324.59440000000001</v>
      </c>
      <c r="AY121" s="104">
        <f t="shared" si="168"/>
        <v>285.7842</v>
      </c>
      <c r="AZ121" s="104">
        <f t="shared" si="168"/>
        <v>229.333</v>
      </c>
      <c r="BA121" s="103">
        <f t="shared" si="147"/>
        <v>1</v>
      </c>
      <c r="BB121" s="103">
        <f t="shared" si="148"/>
        <v>0</v>
      </c>
      <c r="BC121" s="103" t="str">
        <f>IF(BA121=1,VLOOKUP($AP121,Usinas!$B$3:$H$244,7,0),"")</f>
        <v>SUL</v>
      </c>
      <c r="BM121" s="105">
        <f t="shared" si="161"/>
        <v>103</v>
      </c>
      <c r="BN121" s="105">
        <f t="shared" si="162"/>
        <v>201</v>
      </c>
      <c r="BO121" s="151">
        <f>IF($BP$15=1,IFERROR(VLOOKUP(BN121,$BZ$20:CA284,2,0),0),VALUE(RIGHT(LEFT($B130,21),10)))</f>
        <v>12</v>
      </c>
      <c r="BP121" s="105">
        <f t="shared" si="163"/>
        <v>14</v>
      </c>
      <c r="BQ121" s="105">
        <f t="shared" si="164"/>
        <v>15</v>
      </c>
      <c r="BR121" s="105">
        <f t="shared" si="165"/>
        <v>13</v>
      </c>
      <c r="BS121" s="105">
        <f t="shared" si="166"/>
        <v>14</v>
      </c>
      <c r="BT121" s="105">
        <f t="shared" si="167"/>
        <v>13</v>
      </c>
      <c r="BU121" s="85"/>
      <c r="BV121" s="97" t="s">
        <v>331</v>
      </c>
      <c r="BW121" s="98">
        <f t="shared" si="151"/>
        <v>118</v>
      </c>
      <c r="BX121" s="97" t="str">
        <f t="shared" si="149"/>
        <v>PST 117</v>
      </c>
      <c r="BZ121" s="147">
        <v>123</v>
      </c>
      <c r="CA121" s="148">
        <v>248</v>
      </c>
      <c r="CB121" s="87"/>
      <c r="CC121" s="87"/>
      <c r="CF121" s="110"/>
      <c r="CG121" s="111"/>
      <c r="CH121" s="87"/>
      <c r="CI121" s="87"/>
      <c r="CJ121" s="87"/>
      <c r="CK121" s="87"/>
      <c r="CL121" s="87"/>
      <c r="CM121" s="87"/>
    </row>
    <row r="122" spans="2:91" ht="15.6" x14ac:dyDescent="0.3">
      <c r="B122" s="99" t="s">
        <v>787</v>
      </c>
      <c r="C122" s="99"/>
      <c r="D122" s="99"/>
      <c r="E122" s="99"/>
      <c r="F122" s="99"/>
      <c r="G122" s="99"/>
      <c r="H122" s="99"/>
      <c r="I122" s="43"/>
      <c r="J122" s="99" t="str">
        <f t="shared" si="152"/>
        <v xml:space="preserve">    95  178      2742      2839      3076      3436      3359      3248</v>
      </c>
      <c r="T122" s="42"/>
      <c r="U122" s="135"/>
      <c r="V122" s="191"/>
      <c r="W122" s="187">
        <v>222</v>
      </c>
      <c r="X122" s="187">
        <v>0.55959999999999999</v>
      </c>
      <c r="Z122" s="101">
        <v>102</v>
      </c>
      <c r="AA122" s="101">
        <v>1</v>
      </c>
      <c r="AB122" s="101">
        <v>0.18779999999999999</v>
      </c>
      <c r="AD122" s="102">
        <f t="shared" si="132"/>
        <v>104</v>
      </c>
      <c r="AE122" s="102">
        <f t="shared" si="132"/>
        <v>202</v>
      </c>
      <c r="AF122" s="102">
        <f t="shared" si="155"/>
        <v>8</v>
      </c>
      <c r="AG122" s="102">
        <f t="shared" si="156"/>
        <v>10</v>
      </c>
      <c r="AH122" s="102">
        <f t="shared" si="157"/>
        <v>10</v>
      </c>
      <c r="AI122" s="102">
        <f t="shared" si="158"/>
        <v>8</v>
      </c>
      <c r="AJ122" s="102">
        <f t="shared" si="159"/>
        <v>10</v>
      </c>
      <c r="AK122" s="102">
        <f t="shared" si="160"/>
        <v>10</v>
      </c>
      <c r="AL122" s="102">
        <f>VLOOKUP($AE122,Usinas!$B$3:$F$241,5,FALSE)</f>
        <v>1</v>
      </c>
      <c r="AM122" s="102" t="str">
        <f>VLOOKUP($AE122,Usinas!$B$3:$H$241,7,FALSE)</f>
        <v>SUDESTE</v>
      </c>
      <c r="AN122" s="102" t="str">
        <f>VLOOKUP($AE122,Usinas!$B$3:$D$241,3,FALSE)</f>
        <v>PARAÍBA DO SUL</v>
      </c>
      <c r="AP122" s="103">
        <v>102</v>
      </c>
      <c r="AQ122" s="103" t="str">
        <f>IF(BA122=1,VLOOKUP($AP122,Usinas!$B$3:$F$244,2,0),"")</f>
        <v>SÃO JOSÉ</v>
      </c>
      <c r="AR122" s="103" t="str">
        <f>IF(BA122=1,VLOOKUP($AP122,Usinas!$B$3:$F$241,3,0),"")</f>
        <v>URUGUAI</v>
      </c>
      <c r="AS122" s="103" t="str">
        <f>IF(BA122,VLOOKUP($AP122,Usinas!$B$3:$F$244,4,0),"")</f>
        <v>SUL</v>
      </c>
      <c r="AT122" s="103">
        <f t="shared" si="146"/>
        <v>0.18779999999999999</v>
      </c>
      <c r="AU122" s="104">
        <f t="shared" si="168"/>
        <v>60.283799999999999</v>
      </c>
      <c r="AV122" s="104">
        <f t="shared" si="168"/>
        <v>58.405799999999999</v>
      </c>
      <c r="AW122" s="104">
        <f t="shared" si="168"/>
        <v>58.405799999999999</v>
      </c>
      <c r="AX122" s="104">
        <f t="shared" si="168"/>
        <v>60.659399999999998</v>
      </c>
      <c r="AY122" s="104">
        <f t="shared" si="168"/>
        <v>57.466799999999999</v>
      </c>
      <c r="AZ122" s="104">
        <f t="shared" si="168"/>
        <v>43.9452</v>
      </c>
      <c r="BA122" s="103">
        <f t="shared" si="147"/>
        <v>1</v>
      </c>
      <c r="BB122" s="103">
        <f t="shared" si="148"/>
        <v>0</v>
      </c>
      <c r="BC122" s="103" t="str">
        <f>IF(BA122=1,VLOOKUP($AP122,Usinas!$B$3:$H$244,7,0),"")</f>
        <v>SUL</v>
      </c>
      <c r="BM122" s="105">
        <f t="shared" si="161"/>
        <v>104</v>
      </c>
      <c r="BN122" s="105">
        <f t="shared" si="162"/>
        <v>202</v>
      </c>
      <c r="BO122" s="151">
        <f>IF($BP$15=1,IFERROR(VLOOKUP(BN122,$BZ$20:CA285,2,0),0),VALUE(RIGHT(LEFT($B131,21),10)))</f>
        <v>6</v>
      </c>
      <c r="BP122" s="105">
        <f t="shared" si="163"/>
        <v>7</v>
      </c>
      <c r="BQ122" s="105">
        <f t="shared" si="164"/>
        <v>7</v>
      </c>
      <c r="BR122" s="105">
        <f t="shared" si="165"/>
        <v>6</v>
      </c>
      <c r="BS122" s="105">
        <f t="shared" si="166"/>
        <v>7</v>
      </c>
      <c r="BT122" s="105">
        <f t="shared" si="167"/>
        <v>7</v>
      </c>
      <c r="BU122" s="85"/>
      <c r="BV122" s="97" t="s">
        <v>331</v>
      </c>
      <c r="BW122" s="98">
        <f t="shared" si="151"/>
        <v>119</v>
      </c>
      <c r="BX122" s="97" t="str">
        <f t="shared" si="149"/>
        <v>PST 118</v>
      </c>
      <c r="BZ122" s="147">
        <v>125</v>
      </c>
      <c r="CA122" s="148">
        <v>289</v>
      </c>
      <c r="CB122" s="87"/>
      <c r="CC122" s="87"/>
      <c r="CF122" s="110"/>
      <c r="CG122" s="111"/>
      <c r="CH122" s="87"/>
      <c r="CI122" s="87"/>
      <c r="CJ122" s="87"/>
      <c r="CK122" s="87"/>
      <c r="CL122" s="87"/>
      <c r="CM122" s="87"/>
    </row>
    <row r="123" spans="2:91" ht="15.6" x14ac:dyDescent="0.3">
      <c r="B123" s="99" t="s">
        <v>788</v>
      </c>
      <c r="C123" s="99"/>
      <c r="D123" s="99"/>
      <c r="E123" s="99"/>
      <c r="F123" s="99"/>
      <c r="G123" s="99"/>
      <c r="H123" s="99"/>
      <c r="I123" s="43"/>
      <c r="J123" s="99" t="str">
        <f t="shared" si="152"/>
        <v xml:space="preserve">    96  183       153       191       157       131       147       101</v>
      </c>
      <c r="T123" s="42"/>
      <c r="U123" s="135"/>
      <c r="V123" s="191"/>
      <c r="W123" s="187">
        <v>227</v>
      </c>
      <c r="X123" s="187">
        <v>0.24310000000000001</v>
      </c>
      <c r="Z123" s="101">
        <v>103</v>
      </c>
      <c r="AA123" s="101">
        <v>1</v>
      </c>
      <c r="AB123" s="101">
        <v>0.2545</v>
      </c>
      <c r="AD123" s="102">
        <f t="shared" si="132"/>
        <v>105</v>
      </c>
      <c r="AE123" s="102">
        <f t="shared" si="132"/>
        <v>203</v>
      </c>
      <c r="AF123" s="102">
        <f t="shared" si="155"/>
        <v>26</v>
      </c>
      <c r="AG123" s="102">
        <f t="shared" si="156"/>
        <v>29</v>
      </c>
      <c r="AH123" s="102">
        <f t="shared" si="157"/>
        <v>30</v>
      </c>
      <c r="AI123" s="102">
        <f t="shared" si="158"/>
        <v>26</v>
      </c>
      <c r="AJ123" s="102">
        <f t="shared" si="159"/>
        <v>29</v>
      </c>
      <c r="AK123" s="102">
        <f t="shared" si="160"/>
        <v>26</v>
      </c>
      <c r="AL123" s="102">
        <f>VLOOKUP($AE123,Usinas!$B$3:$F$241,5,FALSE)</f>
        <v>1</v>
      </c>
      <c r="AM123" s="102" t="str">
        <f>VLOOKUP($AE123,Usinas!$B$3:$H$241,7,FALSE)</f>
        <v>SUDESTE</v>
      </c>
      <c r="AN123" s="102" t="str">
        <f>VLOOKUP($AE123,Usinas!$B$3:$D$241,3,FALSE)</f>
        <v>PARAÍBA DO SUL</v>
      </c>
      <c r="AP123" s="103">
        <v>103</v>
      </c>
      <c r="AQ123" s="103" t="str">
        <f>IF(BA123=1,VLOOKUP($AP123,Usinas!$B$3:$F$244,2,0),"")</f>
        <v>PASSO SÃO JOÃO</v>
      </c>
      <c r="AR123" s="103" t="str">
        <f>IF(BA123=1,VLOOKUP($AP123,Usinas!$B$3:$F$241,3,0),"")</f>
        <v>URUGUAI</v>
      </c>
      <c r="AS123" s="103" t="str">
        <f>IF(BA123,VLOOKUP($AP123,Usinas!$B$3:$F$244,4,0),"")</f>
        <v>SUL</v>
      </c>
      <c r="AT123" s="103">
        <f t="shared" si="146"/>
        <v>0.2545</v>
      </c>
      <c r="AU123" s="104">
        <f t="shared" si="168"/>
        <v>85.512</v>
      </c>
      <c r="AV123" s="104">
        <f t="shared" si="168"/>
        <v>82.457999999999998</v>
      </c>
      <c r="AW123" s="104">
        <f t="shared" si="168"/>
        <v>82.457999999999998</v>
      </c>
      <c r="AX123" s="104">
        <f t="shared" si="168"/>
        <v>84.494</v>
      </c>
      <c r="AY123" s="104">
        <f t="shared" si="168"/>
        <v>81.185500000000005</v>
      </c>
      <c r="AZ123" s="104">
        <f t="shared" si="168"/>
        <v>62.861499999999999</v>
      </c>
      <c r="BA123" s="103">
        <f t="shared" si="147"/>
        <v>1</v>
      </c>
      <c r="BB123" s="103">
        <f t="shared" si="148"/>
        <v>0</v>
      </c>
      <c r="BC123" s="103" t="str">
        <f>IF(BA123=1,VLOOKUP($AP123,Usinas!$B$3:$H$244,7,0),"")</f>
        <v>SUL</v>
      </c>
      <c r="BM123" s="105">
        <f t="shared" si="161"/>
        <v>105</v>
      </c>
      <c r="BN123" s="105">
        <f t="shared" si="162"/>
        <v>203</v>
      </c>
      <c r="BO123" s="151">
        <f>IF($BP$15=1,IFERROR(VLOOKUP(BN123,$BZ$20:CA286,2,0),0),VALUE(RIGHT(LEFT($B132,21),10)))</f>
        <v>19</v>
      </c>
      <c r="BP123" s="105">
        <f t="shared" si="163"/>
        <v>21</v>
      </c>
      <c r="BQ123" s="105">
        <f t="shared" si="164"/>
        <v>22</v>
      </c>
      <c r="BR123" s="105">
        <f t="shared" si="165"/>
        <v>19</v>
      </c>
      <c r="BS123" s="105">
        <f t="shared" si="166"/>
        <v>21</v>
      </c>
      <c r="BT123" s="105">
        <f t="shared" si="167"/>
        <v>19</v>
      </c>
      <c r="BU123" s="85"/>
      <c r="BV123" s="97" t="s">
        <v>331</v>
      </c>
      <c r="BW123" s="98">
        <f t="shared" ref="BW123:BW154" si="169">AE85</f>
        <v>120</v>
      </c>
      <c r="BX123" s="97" t="str">
        <f t="shared" si="149"/>
        <v>PST 119</v>
      </c>
      <c r="BZ123" s="147">
        <v>197</v>
      </c>
      <c r="CA123" s="148">
        <v>30</v>
      </c>
      <c r="CB123" s="87"/>
      <c r="CC123" s="87"/>
      <c r="CF123" s="110"/>
      <c r="CG123" s="111"/>
      <c r="CH123" s="87"/>
      <c r="CI123" s="87"/>
      <c r="CJ123" s="87"/>
      <c r="CK123" s="87"/>
      <c r="CL123" s="87"/>
      <c r="CM123" s="87"/>
    </row>
    <row r="124" spans="2:91" ht="15.6" x14ac:dyDescent="0.3">
      <c r="B124" s="99" t="s">
        <v>789</v>
      </c>
      <c r="C124" s="99"/>
      <c r="D124" s="99"/>
      <c r="E124" s="99"/>
      <c r="F124" s="99"/>
      <c r="G124" s="99"/>
      <c r="H124" s="99"/>
      <c r="I124" s="43"/>
      <c r="J124" s="99" t="str">
        <f t="shared" si="152"/>
        <v xml:space="preserve">    97  188       664       532       372       423       493       373</v>
      </c>
      <c r="T124" s="42"/>
      <c r="U124" s="135"/>
      <c r="V124" s="191"/>
      <c r="W124" s="187">
        <v>228</v>
      </c>
      <c r="X124" s="187">
        <v>0.20780000000000001</v>
      </c>
      <c r="Z124" s="101">
        <v>104</v>
      </c>
      <c r="AA124" s="101">
        <v>0</v>
      </c>
      <c r="AB124" s="101">
        <v>0</v>
      </c>
      <c r="AD124" s="102">
        <f t="shared" si="132"/>
        <v>106</v>
      </c>
      <c r="AE124" s="102">
        <f t="shared" si="132"/>
        <v>204</v>
      </c>
      <c r="AF124" s="102">
        <f t="shared" si="155"/>
        <v>358</v>
      </c>
      <c r="AG124" s="102">
        <f t="shared" si="156"/>
        <v>420</v>
      </c>
      <c r="AH124" s="102">
        <f t="shared" si="157"/>
        <v>489</v>
      </c>
      <c r="AI124" s="102">
        <f t="shared" si="158"/>
        <v>550</v>
      </c>
      <c r="AJ124" s="102">
        <f t="shared" si="159"/>
        <v>658</v>
      </c>
      <c r="AK124" s="102">
        <f t="shared" si="160"/>
        <v>774</v>
      </c>
      <c r="AL124" s="102">
        <f>VLOOKUP($AE124,Usinas!$B$3:$F$241,5,FALSE)</f>
        <v>4</v>
      </c>
      <c r="AM124" s="102" t="str">
        <f>VLOOKUP($AE124,Usinas!$B$3:$H$241,7,FALSE)</f>
        <v>MANAUS</v>
      </c>
      <c r="AN124" s="102" t="str">
        <f>VLOOKUP($AE124,Usinas!$B$3:$D$241,3,FALSE)</f>
        <v>ARAGUARI</v>
      </c>
      <c r="AP124" s="103">
        <v>104</v>
      </c>
      <c r="AQ124" s="103" t="str">
        <f>IF(BA124=1,VLOOKUP($AP124,Usinas!$B$3:$F$244,2,0),"")</f>
        <v/>
      </c>
      <c r="AR124" s="103" t="str">
        <f>IF(BA124=1,VLOOKUP($AP124,Usinas!$B$3:$F$241,3,0),"")</f>
        <v/>
      </c>
      <c r="AS124" s="103" t="str">
        <f>IF(BA124,VLOOKUP($AP124,Usinas!$B$3:$F$244,4,0),"")</f>
        <v/>
      </c>
      <c r="AT124" s="103" t="str">
        <f t="shared" si="146"/>
        <v/>
      </c>
      <c r="AU124" s="104" t="str">
        <f t="shared" si="168"/>
        <v/>
      </c>
      <c r="AV124" s="104" t="str">
        <f t="shared" si="168"/>
        <v/>
      </c>
      <c r="AW124" s="104" t="str">
        <f t="shared" si="168"/>
        <v/>
      </c>
      <c r="AX124" s="104" t="str">
        <f t="shared" si="168"/>
        <v/>
      </c>
      <c r="AY124" s="104" t="str">
        <f t="shared" si="168"/>
        <v/>
      </c>
      <c r="AZ124" s="104" t="str">
        <f t="shared" si="168"/>
        <v/>
      </c>
      <c r="BA124" s="103">
        <f t="shared" si="147"/>
        <v>0</v>
      </c>
      <c r="BB124" s="103">
        <f t="shared" si="148"/>
        <v>0</v>
      </c>
      <c r="BC124" s="103" t="str">
        <f>IF(BA124=1,VLOOKUP($AP124,Usinas!$B$3:$H$244,7,0),"")</f>
        <v/>
      </c>
      <c r="BM124" s="105">
        <f t="shared" si="161"/>
        <v>106</v>
      </c>
      <c r="BN124" s="105">
        <f t="shared" si="162"/>
        <v>204</v>
      </c>
      <c r="BO124" s="151">
        <f>IF($BP$15=1,IFERROR(VLOOKUP(BN124,$BZ$20:CA287,2,0),0),VALUE(RIGHT(LEFT($B133,21),10)))</f>
        <v>387</v>
      </c>
      <c r="BP124" s="105">
        <f t="shared" si="163"/>
        <v>454</v>
      </c>
      <c r="BQ124" s="105">
        <f t="shared" si="164"/>
        <v>528</v>
      </c>
      <c r="BR124" s="105">
        <f t="shared" si="165"/>
        <v>594</v>
      </c>
      <c r="BS124" s="105">
        <f t="shared" si="166"/>
        <v>710</v>
      </c>
      <c r="BT124" s="105">
        <f t="shared" si="167"/>
        <v>836</v>
      </c>
      <c r="BU124" s="85"/>
      <c r="BV124" s="97" t="s">
        <v>331</v>
      </c>
      <c r="BW124" s="98">
        <f t="shared" si="169"/>
        <v>121</v>
      </c>
      <c r="BX124" s="97" t="str">
        <f t="shared" si="149"/>
        <v>PST 120</v>
      </c>
      <c r="BZ124" s="147">
        <v>198</v>
      </c>
      <c r="CA124" s="148">
        <v>48</v>
      </c>
      <c r="CB124" s="87"/>
      <c r="CC124" s="87"/>
      <c r="CF124" s="110"/>
      <c r="CG124" s="111"/>
      <c r="CH124" s="87"/>
      <c r="CI124" s="87"/>
      <c r="CJ124" s="87"/>
      <c r="CK124" s="87"/>
      <c r="CL124" s="87"/>
      <c r="CM124" s="87"/>
    </row>
    <row r="125" spans="2:91" ht="15.6" x14ac:dyDescent="0.3">
      <c r="B125" s="99" t="s">
        <v>790</v>
      </c>
      <c r="C125" s="99"/>
      <c r="D125" s="99"/>
      <c r="E125" s="99"/>
      <c r="F125" s="99"/>
      <c r="G125" s="99"/>
      <c r="H125" s="99"/>
      <c r="I125" s="43"/>
      <c r="J125" s="99" t="str">
        <f t="shared" si="152"/>
        <v xml:space="preserve">    98  190       368       407       446       448       562       649</v>
      </c>
      <c r="T125" s="42"/>
      <c r="U125" s="135"/>
      <c r="V125" s="191"/>
      <c r="W125" s="187">
        <v>229</v>
      </c>
      <c r="X125" s="187">
        <v>0.50539999999999996</v>
      </c>
      <c r="Z125" s="101">
        <v>105</v>
      </c>
      <c r="AA125" s="101">
        <v>0</v>
      </c>
      <c r="AB125" s="101">
        <v>0</v>
      </c>
      <c r="AD125" s="102">
        <f t="shared" si="132"/>
        <v>107</v>
      </c>
      <c r="AE125" s="102">
        <f t="shared" si="132"/>
        <v>205</v>
      </c>
      <c r="AF125" s="102">
        <f t="shared" si="155"/>
        <v>180</v>
      </c>
      <c r="AG125" s="102">
        <f t="shared" si="156"/>
        <v>200</v>
      </c>
      <c r="AH125" s="102">
        <f t="shared" si="157"/>
        <v>217</v>
      </c>
      <c r="AI125" s="102">
        <f t="shared" si="158"/>
        <v>209</v>
      </c>
      <c r="AJ125" s="102">
        <f t="shared" si="159"/>
        <v>240</v>
      </c>
      <c r="AK125" s="102">
        <f t="shared" si="160"/>
        <v>241</v>
      </c>
      <c r="AL125" s="102">
        <f>VLOOKUP($AE125,Usinas!$B$3:$F$241,5,FALSE)</f>
        <v>1</v>
      </c>
      <c r="AM125" s="102" t="str">
        <f>VLOOKUP($AE125,Usinas!$B$3:$H$241,7,FALSE)</f>
        <v>PARANA</v>
      </c>
      <c r="AN125" s="102" t="str">
        <f>VLOOKUP($AE125,Usinas!$B$3:$D$241,3,FALSE)</f>
        <v>PARANAÍBA</v>
      </c>
      <c r="AP125" s="103">
        <v>105</v>
      </c>
      <c r="AQ125" s="103" t="str">
        <f>IF(BA125=1,VLOOKUP($AP125,Usinas!$B$3:$F$244,2,0),"")</f>
        <v/>
      </c>
      <c r="AR125" s="103" t="str">
        <f>IF(BA125=1,VLOOKUP($AP125,Usinas!$B$3:$F$241,3,0),"")</f>
        <v/>
      </c>
      <c r="AS125" s="103" t="str">
        <f>IF(BA125,VLOOKUP($AP125,Usinas!$B$3:$F$244,4,0),"")</f>
        <v/>
      </c>
      <c r="AT125" s="103" t="str">
        <f t="shared" si="146"/>
        <v/>
      </c>
      <c r="AU125" s="104" t="str">
        <f t="shared" si="168"/>
        <v/>
      </c>
      <c r="AV125" s="104" t="str">
        <f t="shared" si="168"/>
        <v/>
      </c>
      <c r="AW125" s="104" t="str">
        <f t="shared" si="168"/>
        <v/>
      </c>
      <c r="AX125" s="104" t="str">
        <f t="shared" si="168"/>
        <v/>
      </c>
      <c r="AY125" s="104" t="str">
        <f t="shared" si="168"/>
        <v/>
      </c>
      <c r="AZ125" s="104" t="str">
        <f t="shared" si="168"/>
        <v/>
      </c>
      <c r="BA125" s="103">
        <f t="shared" si="147"/>
        <v>0</v>
      </c>
      <c r="BB125" s="103">
        <f t="shared" si="148"/>
        <v>0</v>
      </c>
      <c r="BC125" s="103" t="str">
        <f>IF(BA125=1,VLOOKUP($AP125,Usinas!$B$3:$H$244,7,0),"")</f>
        <v/>
      </c>
      <c r="BM125" s="105">
        <f t="shared" si="161"/>
        <v>107</v>
      </c>
      <c r="BN125" s="105">
        <f t="shared" si="162"/>
        <v>205</v>
      </c>
      <c r="BO125" s="151">
        <f>IF($BP$15=1,IFERROR(VLOOKUP(BN125,$BZ$20:CA288,2,0),0),VALUE(RIGHT(LEFT($B134,21),10)))</f>
        <v>132</v>
      </c>
      <c r="BP125" s="105">
        <f t="shared" si="163"/>
        <v>147</v>
      </c>
      <c r="BQ125" s="105">
        <f t="shared" si="164"/>
        <v>159</v>
      </c>
      <c r="BR125" s="105">
        <f t="shared" si="165"/>
        <v>153</v>
      </c>
      <c r="BS125" s="105">
        <f t="shared" si="166"/>
        <v>176</v>
      </c>
      <c r="BT125" s="105">
        <f t="shared" si="167"/>
        <v>177</v>
      </c>
      <c r="BU125" s="85"/>
      <c r="BV125" s="97" t="s">
        <v>331</v>
      </c>
      <c r="BW125" s="98">
        <f t="shared" si="169"/>
        <v>122</v>
      </c>
      <c r="BX125" s="97" t="str">
        <f t="shared" si="149"/>
        <v>PST 121</v>
      </c>
      <c r="BZ125" s="147">
        <v>129</v>
      </c>
      <c r="CA125" s="148">
        <v>455</v>
      </c>
      <c r="CB125" s="87"/>
      <c r="CC125" s="87"/>
      <c r="CF125" s="110"/>
      <c r="CG125" s="111"/>
      <c r="CH125" s="87"/>
      <c r="CI125" s="87"/>
      <c r="CJ125" s="87"/>
      <c r="CK125" s="87"/>
      <c r="CL125" s="87"/>
      <c r="CM125" s="87"/>
    </row>
    <row r="126" spans="2:91" ht="15.6" x14ac:dyDescent="0.3">
      <c r="B126" s="99" t="s">
        <v>791</v>
      </c>
      <c r="C126" s="99"/>
      <c r="D126" s="99"/>
      <c r="E126" s="99"/>
      <c r="F126" s="99"/>
      <c r="G126" s="99"/>
      <c r="H126" s="99"/>
      <c r="I126" s="43"/>
      <c r="J126" s="99" t="str">
        <f t="shared" ref="J126:J157" si="170">IF(B126&lt;&gt;0,RIGHT("      "&amp;ROUND(AD117,0),6)&amp;(RIGHT("     "&amp;ROUND(AE117,0),5))&amp;RIGHT("          "&amp;ROUND(AF117,0),10)&amp;RIGHT("          "&amp;ROUND(AG117,),10)&amp;RIGHT("         "&amp;ROUND(AH117,0),10)&amp;RIGHT("          "&amp;ROUND(AI117,0),10)&amp;RIGHT("          "&amp;ROUND(AJ117,0),10)&amp;RIGHT("          "&amp;ROUND(AK117,0),10),"")</f>
        <v xml:space="preserve">    99  191      1079      1306      1241      1204      1451      1272</v>
      </c>
      <c r="T126" s="42"/>
      <c r="U126" s="135"/>
      <c r="V126" s="191"/>
      <c r="W126" s="187">
        <v>230</v>
      </c>
      <c r="X126" s="187">
        <v>0.22670000000000001</v>
      </c>
      <c r="Z126" s="101">
        <v>106</v>
      </c>
      <c r="AA126" s="101">
        <v>0</v>
      </c>
      <c r="AB126" s="101">
        <v>0</v>
      </c>
      <c r="AD126" s="102">
        <f t="shared" si="132"/>
        <v>108</v>
      </c>
      <c r="AE126" s="102">
        <f t="shared" si="132"/>
        <v>206</v>
      </c>
      <c r="AF126" s="102">
        <f t="shared" si="155"/>
        <v>468</v>
      </c>
      <c r="AG126" s="102">
        <f t="shared" si="156"/>
        <v>562</v>
      </c>
      <c r="AH126" s="102">
        <f t="shared" si="157"/>
        <v>494</v>
      </c>
      <c r="AI126" s="102">
        <f t="shared" si="158"/>
        <v>524</v>
      </c>
      <c r="AJ126" s="102">
        <f t="shared" si="159"/>
        <v>637</v>
      </c>
      <c r="AK126" s="102">
        <f t="shared" si="160"/>
        <v>600</v>
      </c>
      <c r="AL126" s="102">
        <f>VLOOKUP($AE126,Usinas!$B$3:$F$241,5,FALSE)</f>
        <v>1</v>
      </c>
      <c r="AM126" s="102" t="str">
        <f>VLOOKUP($AE126,Usinas!$B$3:$H$241,7,FALSE)</f>
        <v>PARANA</v>
      </c>
      <c r="AN126" s="102" t="str">
        <f>VLOOKUP($AE126,Usinas!$B$3:$D$241,3,FALSE)</f>
        <v>PARANAÍBA</v>
      </c>
      <c r="AP126" s="103">
        <v>106</v>
      </c>
      <c r="AQ126" s="103" t="str">
        <f>IF(BA126=1,VLOOKUP($AP126,Usinas!$B$3:$F$244,2,0),"")</f>
        <v/>
      </c>
      <c r="AR126" s="103" t="str">
        <f>IF(BA126=1,VLOOKUP($AP126,Usinas!$B$3:$F$241,3,0),"")</f>
        <v/>
      </c>
      <c r="AS126" s="103" t="str">
        <f>IF(BA126,VLOOKUP($AP126,Usinas!$B$3:$F$244,4,0),"")</f>
        <v/>
      </c>
      <c r="AT126" s="103" t="str">
        <f t="shared" si="146"/>
        <v/>
      </c>
      <c r="AU126" s="104" t="str">
        <f t="shared" si="168"/>
        <v/>
      </c>
      <c r="AV126" s="104" t="str">
        <f t="shared" si="168"/>
        <v/>
      </c>
      <c r="AW126" s="104" t="str">
        <f t="shared" si="168"/>
        <v/>
      </c>
      <c r="AX126" s="104" t="str">
        <f t="shared" si="168"/>
        <v/>
      </c>
      <c r="AY126" s="104" t="str">
        <f t="shared" si="168"/>
        <v/>
      </c>
      <c r="AZ126" s="104" t="str">
        <f t="shared" si="168"/>
        <v/>
      </c>
      <c r="BA126" s="103">
        <f t="shared" si="147"/>
        <v>0</v>
      </c>
      <c r="BB126" s="103">
        <f t="shared" si="148"/>
        <v>0</v>
      </c>
      <c r="BC126" s="103" t="str">
        <f>IF(BA126=1,VLOOKUP($AP126,Usinas!$B$3:$H$244,7,0),"")</f>
        <v/>
      </c>
      <c r="BM126" s="105">
        <f t="shared" si="161"/>
        <v>108</v>
      </c>
      <c r="BN126" s="105">
        <f t="shared" si="162"/>
        <v>206</v>
      </c>
      <c r="BO126" s="151">
        <f>IF($BP$15=1,IFERROR(VLOOKUP(BN126,$BZ$20:CA289,2,0),0),VALUE(RIGHT(LEFT($B135,21),10)))</f>
        <v>343</v>
      </c>
      <c r="BP126" s="105">
        <f t="shared" si="163"/>
        <v>412</v>
      </c>
      <c r="BQ126" s="105">
        <f t="shared" si="164"/>
        <v>362</v>
      </c>
      <c r="BR126" s="105">
        <f t="shared" si="165"/>
        <v>384</v>
      </c>
      <c r="BS126" s="105">
        <f t="shared" si="166"/>
        <v>467</v>
      </c>
      <c r="BT126" s="105">
        <f t="shared" si="167"/>
        <v>440</v>
      </c>
      <c r="BU126" s="85"/>
      <c r="BV126" s="97" t="s">
        <v>331</v>
      </c>
      <c r="BW126" s="98">
        <f t="shared" si="169"/>
        <v>123</v>
      </c>
      <c r="BX126" s="97" t="str">
        <f t="shared" si="149"/>
        <v>PST 122</v>
      </c>
      <c r="BZ126" s="147">
        <v>126</v>
      </c>
      <c r="CA126" s="148">
        <v>101</v>
      </c>
      <c r="CB126" s="87"/>
      <c r="CC126" s="87"/>
      <c r="CF126" s="110"/>
      <c r="CG126" s="111"/>
      <c r="CH126" s="87"/>
      <c r="CI126" s="87"/>
      <c r="CJ126" s="87"/>
      <c r="CK126" s="87"/>
      <c r="CL126" s="87"/>
      <c r="CM126" s="87"/>
    </row>
    <row r="127" spans="2:91" ht="15.6" x14ac:dyDescent="0.3">
      <c r="B127" s="99" t="s">
        <v>792</v>
      </c>
      <c r="C127" s="99"/>
      <c r="D127" s="99"/>
      <c r="E127" s="99"/>
      <c r="F127" s="99"/>
      <c r="G127" s="99"/>
      <c r="H127" s="99"/>
      <c r="I127" s="43"/>
      <c r="J127" s="99" t="str">
        <f t="shared" si="170"/>
        <v xml:space="preserve">   100  196        89       101        72        70        70        59</v>
      </c>
      <c r="T127" s="42"/>
      <c r="U127" s="135"/>
      <c r="V127" s="191"/>
      <c r="W127" s="187">
        <v>241</v>
      </c>
      <c r="X127" s="187">
        <v>0.37419999999999998</v>
      </c>
      <c r="Z127" s="101">
        <v>107</v>
      </c>
      <c r="AA127" s="101">
        <v>0</v>
      </c>
      <c r="AB127" s="101">
        <v>0</v>
      </c>
      <c r="AD127" s="102">
        <f t="shared" si="132"/>
        <v>109</v>
      </c>
      <c r="AE127" s="102">
        <f t="shared" si="132"/>
        <v>207</v>
      </c>
      <c r="AF127" s="102">
        <f t="shared" si="155"/>
        <v>468</v>
      </c>
      <c r="AG127" s="102">
        <f t="shared" si="156"/>
        <v>563</v>
      </c>
      <c r="AH127" s="102">
        <f t="shared" si="157"/>
        <v>499</v>
      </c>
      <c r="AI127" s="102">
        <f t="shared" si="158"/>
        <v>525</v>
      </c>
      <c r="AJ127" s="102">
        <f t="shared" si="159"/>
        <v>635</v>
      </c>
      <c r="AK127" s="102">
        <f t="shared" si="160"/>
        <v>605</v>
      </c>
      <c r="AL127" s="102">
        <f>VLOOKUP($AE127,Usinas!$B$3:$F$241,5,FALSE)</f>
        <v>1</v>
      </c>
      <c r="AM127" s="102" t="str">
        <f>VLOOKUP($AE127,Usinas!$B$3:$H$241,7,FALSE)</f>
        <v>PARANA</v>
      </c>
      <c r="AN127" s="102" t="str">
        <f>VLOOKUP($AE127,Usinas!$B$3:$D$241,3,FALSE)</f>
        <v>PARANAÍBA</v>
      </c>
      <c r="AP127" s="103">
        <v>107</v>
      </c>
      <c r="AQ127" s="103" t="str">
        <f>IF(BA127=1,VLOOKUP($AP127,Usinas!$B$3:$F$244,2,0),"")</f>
        <v/>
      </c>
      <c r="AR127" s="103" t="str">
        <f>IF(BA127=1,VLOOKUP($AP127,Usinas!$B$3:$F$241,3,0),"")</f>
        <v/>
      </c>
      <c r="AS127" s="103" t="str">
        <f>IF(BA127,VLOOKUP($AP127,Usinas!$B$3:$F$244,4,0),"")</f>
        <v/>
      </c>
      <c r="AT127" s="103" t="str">
        <f t="shared" si="146"/>
        <v/>
      </c>
      <c r="AU127" s="104" t="str">
        <f t="shared" si="168"/>
        <v/>
      </c>
      <c r="AV127" s="104" t="str">
        <f t="shared" si="168"/>
        <v/>
      </c>
      <c r="AW127" s="104" t="str">
        <f t="shared" si="168"/>
        <v/>
      </c>
      <c r="AX127" s="104" t="str">
        <f t="shared" si="168"/>
        <v/>
      </c>
      <c r="AY127" s="104" t="str">
        <f t="shared" si="168"/>
        <v/>
      </c>
      <c r="AZ127" s="104" t="str">
        <f t="shared" si="168"/>
        <v/>
      </c>
      <c r="BA127" s="103">
        <f t="shared" si="147"/>
        <v>0</v>
      </c>
      <c r="BB127" s="103">
        <f t="shared" si="148"/>
        <v>0</v>
      </c>
      <c r="BC127" s="103" t="str">
        <f>IF(BA127=1,VLOOKUP($AP127,Usinas!$B$3:$H$244,7,0),"")</f>
        <v/>
      </c>
      <c r="BM127" s="105">
        <f t="shared" si="161"/>
        <v>109</v>
      </c>
      <c r="BN127" s="105">
        <f t="shared" si="162"/>
        <v>207</v>
      </c>
      <c r="BO127" s="151">
        <f>IF($BP$15=1,IFERROR(VLOOKUP(BN127,$BZ$20:CA290,2,0),0),VALUE(RIGHT(LEFT($B136,21),10)))</f>
        <v>343</v>
      </c>
      <c r="BP127" s="105">
        <f t="shared" si="163"/>
        <v>413</v>
      </c>
      <c r="BQ127" s="105">
        <f t="shared" si="164"/>
        <v>366</v>
      </c>
      <c r="BR127" s="105">
        <f t="shared" si="165"/>
        <v>385</v>
      </c>
      <c r="BS127" s="105">
        <f t="shared" si="166"/>
        <v>466</v>
      </c>
      <c r="BT127" s="105">
        <f t="shared" si="167"/>
        <v>444</v>
      </c>
      <c r="BU127" s="85"/>
      <c r="BV127" s="97" t="s">
        <v>331</v>
      </c>
      <c r="BW127" s="98">
        <f t="shared" si="169"/>
        <v>125</v>
      </c>
      <c r="BX127" s="97" t="str">
        <f t="shared" si="149"/>
        <v>PST 123</v>
      </c>
      <c r="BZ127" s="147">
        <v>130</v>
      </c>
      <c r="CA127" s="148">
        <v>531</v>
      </c>
      <c r="CB127" s="87"/>
      <c r="CC127" s="87"/>
      <c r="CF127" s="110"/>
      <c r="CG127" s="111"/>
      <c r="CH127" s="87"/>
      <c r="CI127" s="87"/>
      <c r="CJ127" s="87"/>
      <c r="CK127" s="87"/>
      <c r="CL127" s="87"/>
      <c r="CM127" s="87"/>
    </row>
    <row r="128" spans="2:91" ht="15.6" x14ac:dyDescent="0.3">
      <c r="B128" s="99" t="s">
        <v>793</v>
      </c>
      <c r="C128" s="99"/>
      <c r="D128" s="99"/>
      <c r="E128" s="99"/>
      <c r="F128" s="99"/>
      <c r="G128" s="99"/>
      <c r="H128" s="99"/>
      <c r="I128" s="43"/>
      <c r="J128" s="99" t="str">
        <f t="shared" si="170"/>
        <v xml:space="preserve">   101  197        57        61        68        59        52        52</v>
      </c>
      <c r="T128" s="42"/>
      <c r="U128" s="135"/>
      <c r="V128" s="191"/>
      <c r="W128" s="187">
        <v>247</v>
      </c>
      <c r="X128" s="187">
        <v>0.2442</v>
      </c>
      <c r="Z128" s="101">
        <v>108</v>
      </c>
      <c r="AA128" s="101">
        <v>0</v>
      </c>
      <c r="AB128" s="101">
        <v>0</v>
      </c>
      <c r="AD128" s="102">
        <f t="shared" si="132"/>
        <v>110</v>
      </c>
      <c r="AE128" s="102">
        <f t="shared" si="132"/>
        <v>209</v>
      </c>
      <c r="AF128" s="102">
        <f t="shared" si="155"/>
        <v>537</v>
      </c>
      <c r="AG128" s="102">
        <f t="shared" si="156"/>
        <v>667</v>
      </c>
      <c r="AH128" s="102">
        <f t="shared" si="157"/>
        <v>675</v>
      </c>
      <c r="AI128" s="102">
        <f t="shared" si="158"/>
        <v>708</v>
      </c>
      <c r="AJ128" s="102">
        <f t="shared" si="159"/>
        <v>761</v>
      </c>
      <c r="AK128" s="102">
        <f t="shared" si="160"/>
        <v>738</v>
      </c>
      <c r="AL128" s="102">
        <f>VLOOKUP($AE128,Usinas!$B$3:$F$241,5,FALSE)</f>
        <v>1</v>
      </c>
      <c r="AM128" s="102" t="str">
        <f>VLOOKUP($AE128,Usinas!$B$3:$H$241,7,FALSE)</f>
        <v>PARANA</v>
      </c>
      <c r="AN128" s="102" t="str">
        <f>VLOOKUP($AE128,Usinas!$B$3:$D$241,3,FALSE)</f>
        <v>PARANAÍBA</v>
      </c>
      <c r="AP128" s="103">
        <v>108</v>
      </c>
      <c r="AQ128" s="103" t="str">
        <f>IF(BA128=1,VLOOKUP($AP128,Usinas!$B$3:$F$244,2,0),"")</f>
        <v/>
      </c>
      <c r="AR128" s="103" t="str">
        <f>IF(BA128=1,VLOOKUP($AP128,Usinas!$B$3:$F$241,3,0),"")</f>
        <v/>
      </c>
      <c r="AS128" s="103" t="str">
        <f>IF(BA128,VLOOKUP($AP128,Usinas!$B$3:$F$244,4,0),"")</f>
        <v/>
      </c>
      <c r="AT128" s="103" t="str">
        <f t="shared" si="146"/>
        <v/>
      </c>
      <c r="AU128" s="104" t="str">
        <f t="shared" si="168"/>
        <v/>
      </c>
      <c r="AV128" s="104" t="str">
        <f t="shared" si="168"/>
        <v/>
      </c>
      <c r="AW128" s="104" t="str">
        <f t="shared" si="168"/>
        <v/>
      </c>
      <c r="AX128" s="104" t="str">
        <f t="shared" si="168"/>
        <v/>
      </c>
      <c r="AY128" s="104" t="str">
        <f t="shared" si="168"/>
        <v/>
      </c>
      <c r="AZ128" s="104" t="str">
        <f t="shared" si="168"/>
        <v/>
      </c>
      <c r="BA128" s="103">
        <f t="shared" si="147"/>
        <v>0</v>
      </c>
      <c r="BB128" s="103">
        <f t="shared" si="148"/>
        <v>0</v>
      </c>
      <c r="BC128" s="103" t="str">
        <f>IF(BA128=1,VLOOKUP($AP128,Usinas!$B$3:$H$244,7,0),"")</f>
        <v/>
      </c>
      <c r="BM128" s="105">
        <f t="shared" si="161"/>
        <v>110</v>
      </c>
      <c r="BN128" s="105">
        <f t="shared" si="162"/>
        <v>209</v>
      </c>
      <c r="BO128" s="151">
        <f>IF($BP$15=1,IFERROR(VLOOKUP(BN128,$BZ$20:CA291,2,0),0),VALUE(RIGHT(LEFT($B137,21),10)))</f>
        <v>394</v>
      </c>
      <c r="BP128" s="105">
        <f t="shared" si="163"/>
        <v>489</v>
      </c>
      <c r="BQ128" s="105">
        <f t="shared" si="164"/>
        <v>495</v>
      </c>
      <c r="BR128" s="105">
        <f t="shared" si="165"/>
        <v>519</v>
      </c>
      <c r="BS128" s="105">
        <f t="shared" si="166"/>
        <v>558</v>
      </c>
      <c r="BT128" s="105">
        <f t="shared" si="167"/>
        <v>541</v>
      </c>
      <c r="BU128" s="85"/>
      <c r="BV128" s="97" t="s">
        <v>331</v>
      </c>
      <c r="BW128" s="98">
        <f t="shared" si="169"/>
        <v>129</v>
      </c>
      <c r="BX128" s="97" t="str">
        <f t="shared" si="149"/>
        <v>PST 125</v>
      </c>
      <c r="BZ128" s="147">
        <v>201</v>
      </c>
      <c r="CA128" s="148">
        <v>8</v>
      </c>
      <c r="CB128" s="87"/>
      <c r="CC128" s="87"/>
      <c r="CF128" s="110"/>
      <c r="CG128" s="111"/>
      <c r="CH128" s="87"/>
      <c r="CI128" s="87"/>
      <c r="CJ128" s="87"/>
      <c r="CK128" s="87"/>
      <c r="CL128" s="87"/>
      <c r="CM128" s="87"/>
    </row>
    <row r="129" spans="2:91" ht="15.6" x14ac:dyDescent="0.3">
      <c r="B129" s="99" t="s">
        <v>794</v>
      </c>
      <c r="C129" s="99"/>
      <c r="D129" s="99"/>
      <c r="E129" s="99"/>
      <c r="F129" s="99"/>
      <c r="G129" s="99"/>
      <c r="H129" s="99"/>
      <c r="I129" s="43"/>
      <c r="J129" s="99" t="str">
        <f t="shared" si="170"/>
        <v xml:space="preserve">   102  198       131       140       154       123       112       112</v>
      </c>
      <c r="T129" s="42"/>
      <c r="U129" s="135"/>
      <c r="V129" s="191"/>
      <c r="W129" s="187">
        <v>248</v>
      </c>
      <c r="X129" s="187">
        <v>0.32140000000000002</v>
      </c>
      <c r="Z129" s="101">
        <v>109</v>
      </c>
      <c r="AA129" s="101">
        <v>0</v>
      </c>
      <c r="AB129" s="101">
        <v>0</v>
      </c>
      <c r="AD129" s="102">
        <f t="shared" si="132"/>
        <v>111</v>
      </c>
      <c r="AE129" s="102">
        <f t="shared" si="132"/>
        <v>211</v>
      </c>
      <c r="AF129" s="102">
        <f t="shared" si="155"/>
        <v>494</v>
      </c>
      <c r="AG129" s="102">
        <f t="shared" si="156"/>
        <v>560</v>
      </c>
      <c r="AH129" s="102">
        <f t="shared" si="157"/>
        <v>619</v>
      </c>
      <c r="AI129" s="102">
        <f t="shared" si="158"/>
        <v>588</v>
      </c>
      <c r="AJ129" s="102">
        <f t="shared" si="159"/>
        <v>509</v>
      </c>
      <c r="AK129" s="102">
        <f t="shared" si="160"/>
        <v>480</v>
      </c>
      <c r="AL129" s="102">
        <f>VLOOKUP($AE129,Usinas!$B$3:$F$241,5,FALSE)</f>
        <v>1</v>
      </c>
      <c r="AM129" s="102" t="str">
        <f>VLOOKUP($AE129,Usinas!$B$3:$H$241,7,FALSE)</f>
        <v>PARANA</v>
      </c>
      <c r="AN129" s="102" t="str">
        <f>VLOOKUP($AE129,Usinas!$B$3:$D$241,3,FALSE)</f>
        <v>GRANDE</v>
      </c>
      <c r="AP129" s="103">
        <v>109</v>
      </c>
      <c r="AQ129" s="103" t="str">
        <f>IF(BA129=1,VLOOKUP($AP129,Usinas!$B$3:$F$244,2,0),"")</f>
        <v/>
      </c>
      <c r="AR129" s="103" t="str">
        <f>IF(BA129=1,VLOOKUP($AP129,Usinas!$B$3:$F$241,3,0),"")</f>
        <v/>
      </c>
      <c r="AS129" s="103" t="str">
        <f>IF(BA129,VLOOKUP($AP129,Usinas!$B$3:$F$244,4,0),"")</f>
        <v/>
      </c>
      <c r="AT129" s="103" t="str">
        <f t="shared" si="146"/>
        <v/>
      </c>
      <c r="AU129" s="104" t="str">
        <f t="shared" si="168"/>
        <v/>
      </c>
      <c r="AV129" s="104" t="str">
        <f t="shared" si="168"/>
        <v/>
      </c>
      <c r="AW129" s="104" t="str">
        <f t="shared" si="168"/>
        <v/>
      </c>
      <c r="AX129" s="104" t="str">
        <f t="shared" si="168"/>
        <v/>
      </c>
      <c r="AY129" s="104" t="str">
        <f t="shared" si="168"/>
        <v/>
      </c>
      <c r="AZ129" s="104" t="str">
        <f t="shared" si="168"/>
        <v/>
      </c>
      <c r="BA129" s="103">
        <f t="shared" si="147"/>
        <v>0</v>
      </c>
      <c r="BB129" s="103">
        <f t="shared" si="148"/>
        <v>0</v>
      </c>
      <c r="BC129" s="103" t="str">
        <f>IF(BA129=1,VLOOKUP($AP129,Usinas!$B$3:$H$244,7,0),"")</f>
        <v/>
      </c>
      <c r="BM129" s="105">
        <f t="shared" si="161"/>
        <v>111</v>
      </c>
      <c r="BN129" s="105">
        <f t="shared" si="162"/>
        <v>211</v>
      </c>
      <c r="BO129" s="151">
        <f>IF($BP$15=1,IFERROR(VLOOKUP(BN129,$BZ$20:CA292,2,0),0),VALUE(RIGHT(LEFT($B138,21),10)))</f>
        <v>362</v>
      </c>
      <c r="BP129" s="105">
        <f t="shared" si="163"/>
        <v>411</v>
      </c>
      <c r="BQ129" s="105">
        <f t="shared" si="164"/>
        <v>454</v>
      </c>
      <c r="BR129" s="105">
        <f t="shared" si="165"/>
        <v>431</v>
      </c>
      <c r="BS129" s="105">
        <f t="shared" si="166"/>
        <v>373</v>
      </c>
      <c r="BT129" s="105">
        <f t="shared" si="167"/>
        <v>352</v>
      </c>
      <c r="BU129" s="85"/>
      <c r="BV129" s="97" t="s">
        <v>331</v>
      </c>
      <c r="BW129" s="98">
        <f t="shared" si="169"/>
        <v>130</v>
      </c>
      <c r="BX129" s="97" t="str">
        <f t="shared" si="149"/>
        <v>PST 129</v>
      </c>
      <c r="BZ129" s="147">
        <v>202</v>
      </c>
      <c r="CA129" s="148">
        <v>3</v>
      </c>
      <c r="CB129" s="87"/>
      <c r="CC129" s="87"/>
      <c r="CF129" s="110"/>
      <c r="CG129" s="111"/>
      <c r="CH129" s="87"/>
      <c r="CI129" s="87"/>
      <c r="CJ129" s="87"/>
      <c r="CK129" s="87"/>
      <c r="CL129" s="87"/>
      <c r="CM129" s="87"/>
    </row>
    <row r="130" spans="2:91" ht="15.6" x14ac:dyDescent="0.3">
      <c r="B130" s="99" t="s">
        <v>795</v>
      </c>
      <c r="C130" s="99"/>
      <c r="D130" s="99"/>
      <c r="E130" s="99"/>
      <c r="F130" s="99"/>
      <c r="G130" s="99"/>
      <c r="H130" s="99"/>
      <c r="I130" s="43"/>
      <c r="J130" s="99" t="str">
        <f t="shared" si="170"/>
        <v xml:space="preserve">   103  201        16        19        20        18        19        18</v>
      </c>
      <c r="T130" s="42"/>
      <c r="U130" s="135"/>
      <c r="V130" s="191"/>
      <c r="W130" s="187">
        <v>249</v>
      </c>
      <c r="X130" s="187">
        <v>9.6199999999999994E-2</v>
      </c>
      <c r="Z130" s="101">
        <v>110</v>
      </c>
      <c r="AA130" s="101">
        <v>0</v>
      </c>
      <c r="AB130" s="101">
        <v>0</v>
      </c>
      <c r="AD130" s="102">
        <f t="shared" si="132"/>
        <v>112</v>
      </c>
      <c r="AE130" s="102">
        <f t="shared" si="132"/>
        <v>213</v>
      </c>
      <c r="AF130" s="102">
        <f t="shared" si="155"/>
        <v>14</v>
      </c>
      <c r="AG130" s="102">
        <f t="shared" si="156"/>
        <v>15</v>
      </c>
      <c r="AH130" s="102">
        <f t="shared" si="157"/>
        <v>11</v>
      </c>
      <c r="AI130" s="102">
        <f t="shared" si="158"/>
        <v>8</v>
      </c>
      <c r="AJ130" s="102">
        <f t="shared" si="159"/>
        <v>8</v>
      </c>
      <c r="AK130" s="102">
        <f t="shared" si="160"/>
        <v>7</v>
      </c>
      <c r="AL130" s="102">
        <f>VLOOKUP($AE130,Usinas!$B$3:$F$241,5,FALSE)</f>
        <v>1</v>
      </c>
      <c r="AM130" s="102" t="str">
        <f>VLOOKUP($AE130,Usinas!$B$3:$H$241,7,FALSE)</f>
        <v>SUDESTE</v>
      </c>
      <c r="AN130" s="102" t="str">
        <f>VLOOKUP($AE130,Usinas!$B$3:$D$241,3,FALSE)</f>
        <v>GRANDE</v>
      </c>
      <c r="AP130" s="103">
        <v>110</v>
      </c>
      <c r="AQ130" s="103" t="str">
        <f>IF(BA130=1,VLOOKUP($AP130,Usinas!$B$3:$F$244,2,0),"")</f>
        <v/>
      </c>
      <c r="AR130" s="103" t="str">
        <f>IF(BA130=1,VLOOKUP($AP130,Usinas!$B$3:$F$241,3,0),"")</f>
        <v/>
      </c>
      <c r="AS130" s="103" t="str">
        <f>IF(BA130,VLOOKUP($AP130,Usinas!$B$3:$F$244,4,0),"")</f>
        <v/>
      </c>
      <c r="AT130" s="103" t="str">
        <f t="shared" si="146"/>
        <v/>
      </c>
      <c r="AU130" s="104" t="str">
        <f t="shared" si="168"/>
        <v/>
      </c>
      <c r="AV130" s="104" t="str">
        <f t="shared" si="168"/>
        <v/>
      </c>
      <c r="AW130" s="104" t="str">
        <f t="shared" si="168"/>
        <v/>
      </c>
      <c r="AX130" s="104" t="str">
        <f t="shared" si="168"/>
        <v/>
      </c>
      <c r="AY130" s="104" t="str">
        <f t="shared" si="168"/>
        <v/>
      </c>
      <c r="AZ130" s="104" t="str">
        <f t="shared" si="168"/>
        <v/>
      </c>
      <c r="BA130" s="103">
        <f t="shared" si="147"/>
        <v>0</v>
      </c>
      <c r="BB130" s="103">
        <f t="shared" si="148"/>
        <v>0</v>
      </c>
      <c r="BC130" s="103" t="str">
        <f>IF(BA130=1,VLOOKUP($AP130,Usinas!$B$3:$H$244,7,0),"")</f>
        <v/>
      </c>
      <c r="BM130" s="105">
        <f t="shared" si="161"/>
        <v>112</v>
      </c>
      <c r="BN130" s="105">
        <f t="shared" si="162"/>
        <v>213</v>
      </c>
      <c r="BO130" s="151">
        <f>IF($BP$15=1,IFERROR(VLOOKUP(BN130,$BZ$20:CA293,2,0),0),VALUE(RIGHT(LEFT($B139,21),10)))</f>
        <v>10</v>
      </c>
      <c r="BP130" s="105">
        <f t="shared" si="163"/>
        <v>11</v>
      </c>
      <c r="BQ130" s="105">
        <f t="shared" si="164"/>
        <v>8</v>
      </c>
      <c r="BR130" s="105">
        <f t="shared" si="165"/>
        <v>6</v>
      </c>
      <c r="BS130" s="105">
        <f t="shared" si="166"/>
        <v>6</v>
      </c>
      <c r="BT130" s="105">
        <f t="shared" si="167"/>
        <v>5</v>
      </c>
      <c r="BU130" s="85"/>
      <c r="BV130" s="97" t="s">
        <v>331</v>
      </c>
      <c r="BW130" s="98">
        <f t="shared" si="169"/>
        <v>134</v>
      </c>
      <c r="BX130" s="97" t="str">
        <f t="shared" si="149"/>
        <v>PST 130</v>
      </c>
      <c r="BZ130" s="147">
        <v>203</v>
      </c>
      <c r="CA130" s="148">
        <v>11</v>
      </c>
      <c r="CB130" s="87"/>
      <c r="CC130" s="87"/>
      <c r="CF130" s="110"/>
      <c r="CG130" s="111"/>
      <c r="CH130" s="87"/>
      <c r="CI130" s="87"/>
      <c r="CJ130" s="87"/>
      <c r="CK130" s="87"/>
      <c r="CL130" s="87"/>
      <c r="CM130" s="87"/>
    </row>
    <row r="131" spans="2:91" ht="15.6" x14ac:dyDescent="0.3">
      <c r="B131" s="99" t="s">
        <v>796</v>
      </c>
      <c r="C131" s="99"/>
      <c r="D131" s="99"/>
      <c r="E131" s="99"/>
      <c r="F131" s="99"/>
      <c r="G131" s="99"/>
      <c r="H131" s="99"/>
      <c r="I131" s="43"/>
      <c r="J131" s="99" t="str">
        <f t="shared" si="170"/>
        <v xml:space="preserve">   104  202         8        10        10         8        10        10</v>
      </c>
      <c r="T131" s="42"/>
      <c r="U131" s="135"/>
      <c r="V131" s="191"/>
      <c r="W131" s="187">
        <v>251</v>
      </c>
      <c r="X131" s="187">
        <v>0.64890000000000003</v>
      </c>
      <c r="Z131" s="101">
        <v>111</v>
      </c>
      <c r="AA131" s="101">
        <v>1</v>
      </c>
      <c r="AB131" s="101">
        <v>0.36820000000000003</v>
      </c>
      <c r="AD131" s="102">
        <f t="shared" si="132"/>
        <v>113</v>
      </c>
      <c r="AE131" s="102">
        <f t="shared" si="132"/>
        <v>215</v>
      </c>
      <c r="AF131" s="102">
        <f t="shared" si="155"/>
        <v>222</v>
      </c>
      <c r="AG131" s="102">
        <f t="shared" si="156"/>
        <v>245</v>
      </c>
      <c r="AH131" s="102">
        <f t="shared" si="157"/>
        <v>267</v>
      </c>
      <c r="AI131" s="102">
        <f t="shared" si="158"/>
        <v>285</v>
      </c>
      <c r="AJ131" s="102">
        <f t="shared" si="159"/>
        <v>277</v>
      </c>
      <c r="AK131" s="102">
        <f t="shared" si="160"/>
        <v>258</v>
      </c>
      <c r="AL131" s="102">
        <f>VLOOKUP($AE131,Usinas!$B$3:$F$241,5,FALSE)</f>
        <v>2</v>
      </c>
      <c r="AM131" s="102" t="str">
        <f>VLOOKUP($AE131,Usinas!$B$3:$H$241,7,FALSE)</f>
        <v>SUL</v>
      </c>
      <c r="AN131" s="102" t="str">
        <f>VLOOKUP($AE131,Usinas!$B$3:$D$241,3,FALSE)</f>
        <v>URUGUAI</v>
      </c>
      <c r="AP131" s="103">
        <v>111</v>
      </c>
      <c r="AQ131" s="103" t="str">
        <f>IF(BA131=1,VLOOKUP($AP131,Usinas!$B$3:$F$244,2,0),"")</f>
        <v xml:space="preserve">PASSO REAL  </v>
      </c>
      <c r="AR131" s="103" t="str">
        <f>IF(BA131=1,VLOOKUP($AP131,Usinas!$B$3:$F$241,3,0),"")</f>
        <v>JACUÍ</v>
      </c>
      <c r="AS131" s="103" t="str">
        <f>IF(BA131,VLOOKUP($AP131,Usinas!$B$3:$F$244,4,0),"")</f>
        <v>SUL</v>
      </c>
      <c r="AT131" s="103">
        <f t="shared" si="146"/>
        <v>0.36820000000000003</v>
      </c>
      <c r="AU131" s="104">
        <f t="shared" ref="AU131:AZ140" si="171">IF($BA131=1,IFERROR(VLOOKUP($AP131,$AE$21:$AK$211,AU$19,0),VLOOKUP($AP131,$BE$21:$BK$65,AU$19,0))*$AT131,"")</f>
        <v>65.171400000000006</v>
      </c>
      <c r="AV131" s="104">
        <f t="shared" si="171"/>
        <v>65.907800000000009</v>
      </c>
      <c r="AW131" s="104">
        <f t="shared" si="171"/>
        <v>63.330400000000004</v>
      </c>
      <c r="AX131" s="104">
        <f t="shared" si="171"/>
        <v>64.435000000000002</v>
      </c>
      <c r="AY131" s="104">
        <f t="shared" si="171"/>
        <v>57.807400000000001</v>
      </c>
      <c r="AZ131" s="104">
        <f t="shared" si="171"/>
        <v>48.970600000000005</v>
      </c>
      <c r="BA131" s="103">
        <f t="shared" si="147"/>
        <v>1</v>
      </c>
      <c r="BB131" s="103">
        <f t="shared" si="148"/>
        <v>0</v>
      </c>
      <c r="BC131" s="103" t="str">
        <f>IF(BA131=1,VLOOKUP($AP131,Usinas!$B$3:$H$244,7,0),"")</f>
        <v>SUL</v>
      </c>
      <c r="BM131" s="105">
        <f t="shared" si="161"/>
        <v>113</v>
      </c>
      <c r="BN131" s="105">
        <f t="shared" si="162"/>
        <v>215</v>
      </c>
      <c r="BO131" s="151">
        <f>IF($BP$15=1,IFERROR(VLOOKUP(BN131,$BZ$20:CA294,2,0),0),VALUE(RIGHT(LEFT($B140,21),10)))</f>
        <v>187</v>
      </c>
      <c r="BP131" s="105">
        <f t="shared" si="163"/>
        <v>207</v>
      </c>
      <c r="BQ131" s="105">
        <f t="shared" si="164"/>
        <v>225</v>
      </c>
      <c r="BR131" s="105">
        <f t="shared" si="165"/>
        <v>240</v>
      </c>
      <c r="BS131" s="105">
        <f t="shared" si="166"/>
        <v>234</v>
      </c>
      <c r="BT131" s="105">
        <f t="shared" si="167"/>
        <v>218</v>
      </c>
      <c r="BU131" s="85"/>
      <c r="BV131" s="97" t="s">
        <v>331</v>
      </c>
      <c r="BW131" s="98">
        <f t="shared" si="169"/>
        <v>135</v>
      </c>
      <c r="BX131" s="97" t="str">
        <f t="shared" si="149"/>
        <v>PST 134</v>
      </c>
      <c r="BZ131" s="147">
        <v>315</v>
      </c>
      <c r="CA131" s="148">
        <v>164</v>
      </c>
      <c r="CB131" s="87"/>
      <c r="CC131" s="87"/>
      <c r="CF131" s="110"/>
      <c r="CG131" s="111"/>
      <c r="CH131" s="87"/>
      <c r="CI131" s="87"/>
      <c r="CJ131" s="87"/>
      <c r="CK131" s="87"/>
      <c r="CL131" s="87"/>
      <c r="CM131" s="87"/>
    </row>
    <row r="132" spans="2:91" ht="15.6" x14ac:dyDescent="0.3">
      <c r="B132" s="99" t="s">
        <v>797</v>
      </c>
      <c r="C132" s="99"/>
      <c r="D132" s="99"/>
      <c r="E132" s="99"/>
      <c r="F132" s="99"/>
      <c r="G132" s="99"/>
      <c r="H132" s="99"/>
      <c r="I132" s="43"/>
      <c r="J132" s="99" t="str">
        <f t="shared" si="170"/>
        <v xml:space="preserve">   105  203        26        29        30        26        29        26</v>
      </c>
      <c r="T132" s="42"/>
      <c r="U132" s="135"/>
      <c r="V132" s="191"/>
      <c r="W132" s="187">
        <v>252</v>
      </c>
      <c r="X132" s="187">
        <v>1.2239</v>
      </c>
      <c r="Z132" s="101">
        <v>112</v>
      </c>
      <c r="AA132" s="101">
        <v>1</v>
      </c>
      <c r="AB132" s="101">
        <v>0.79510000000000003</v>
      </c>
      <c r="AD132" s="102">
        <f t="shared" si="132"/>
        <v>114</v>
      </c>
      <c r="AE132" s="102">
        <f t="shared" si="132"/>
        <v>216</v>
      </c>
      <c r="AF132" s="102">
        <f t="shared" si="155"/>
        <v>276</v>
      </c>
      <c r="AG132" s="102">
        <f t="shared" si="156"/>
        <v>273</v>
      </c>
      <c r="AH132" s="102">
        <f t="shared" si="157"/>
        <v>312</v>
      </c>
      <c r="AI132" s="102">
        <f t="shared" si="158"/>
        <v>337</v>
      </c>
      <c r="AJ132" s="102">
        <f t="shared" si="159"/>
        <v>343</v>
      </c>
      <c r="AK132" s="102">
        <f t="shared" si="160"/>
        <v>296</v>
      </c>
      <c r="AL132" s="102">
        <f>VLOOKUP($AE132,Usinas!$B$3:$F$241,5,FALSE)</f>
        <v>2</v>
      </c>
      <c r="AM132" s="102" t="str">
        <f>VLOOKUP($AE132,Usinas!$B$3:$H$241,7,FALSE)</f>
        <v>SUL</v>
      </c>
      <c r="AN132" s="102" t="str">
        <f>VLOOKUP($AE132,Usinas!$B$3:$D$241,3,FALSE)</f>
        <v>URUGUAI</v>
      </c>
      <c r="AP132" s="103">
        <v>112</v>
      </c>
      <c r="AQ132" s="103" t="str">
        <f>IF(BA132=1,VLOOKUP($AP132,Usinas!$B$3:$F$244,2,0),"")</f>
        <v xml:space="preserve">JACUI       </v>
      </c>
      <c r="AR132" s="103" t="str">
        <f>IF(BA132=1,VLOOKUP($AP132,Usinas!$B$3:$F$241,3,0),"")</f>
        <v>JACUÍ</v>
      </c>
      <c r="AS132" s="103" t="str">
        <f>IF(BA132,VLOOKUP($AP132,Usinas!$B$3:$F$244,4,0),"")</f>
        <v>SUL</v>
      </c>
      <c r="AT132" s="103">
        <f t="shared" si="146"/>
        <v>0.79510000000000003</v>
      </c>
      <c r="AU132" s="104">
        <f t="shared" si="171"/>
        <v>141.52780000000001</v>
      </c>
      <c r="AV132" s="104">
        <f t="shared" si="171"/>
        <v>143.91310000000001</v>
      </c>
      <c r="AW132" s="104">
        <f t="shared" si="171"/>
        <v>138.34739999999999</v>
      </c>
      <c r="AX132" s="104">
        <f t="shared" si="171"/>
        <v>141.52780000000001</v>
      </c>
      <c r="AY132" s="104">
        <f t="shared" si="171"/>
        <v>125.6258</v>
      </c>
      <c r="AZ132" s="104">
        <f t="shared" si="171"/>
        <v>106.54340000000001</v>
      </c>
      <c r="BA132" s="103">
        <f t="shared" si="147"/>
        <v>1</v>
      </c>
      <c r="BB132" s="103">
        <f t="shared" si="148"/>
        <v>0</v>
      </c>
      <c r="BC132" s="103" t="str">
        <f>IF(BA132=1,VLOOKUP($AP132,Usinas!$B$3:$H$244,7,0),"")</f>
        <v>SUL</v>
      </c>
      <c r="BM132" s="105">
        <f t="shared" si="161"/>
        <v>114</v>
      </c>
      <c r="BN132" s="105">
        <f t="shared" si="162"/>
        <v>216</v>
      </c>
      <c r="BO132" s="151">
        <f>IF($BP$15=1,IFERROR(VLOOKUP(BN132,$BZ$20:CA295,2,0),0),VALUE(RIGHT(LEFT($B141,21),10)))</f>
        <v>233</v>
      </c>
      <c r="BP132" s="105">
        <f t="shared" si="163"/>
        <v>230</v>
      </c>
      <c r="BQ132" s="105">
        <f t="shared" si="164"/>
        <v>263</v>
      </c>
      <c r="BR132" s="105">
        <f t="shared" si="165"/>
        <v>284</v>
      </c>
      <c r="BS132" s="105">
        <f t="shared" si="166"/>
        <v>289</v>
      </c>
      <c r="BT132" s="105">
        <f t="shared" si="167"/>
        <v>250</v>
      </c>
      <c r="BU132" s="85"/>
      <c r="BV132" s="97" t="s">
        <v>331</v>
      </c>
      <c r="BW132" s="98">
        <f t="shared" si="169"/>
        <v>141</v>
      </c>
      <c r="BX132" s="97" t="str">
        <f t="shared" si="149"/>
        <v>PST 135</v>
      </c>
      <c r="BZ132" s="147">
        <v>316</v>
      </c>
      <c r="CA132" s="148">
        <v>164</v>
      </c>
      <c r="CB132" s="87"/>
      <c r="CC132" s="87"/>
      <c r="CF132" s="110"/>
      <c r="CG132" s="111"/>
      <c r="CH132" s="87"/>
      <c r="CI132" s="87"/>
      <c r="CJ132" s="87"/>
      <c r="CK132" s="87"/>
      <c r="CL132" s="87"/>
      <c r="CM132" s="87"/>
    </row>
    <row r="133" spans="2:91" ht="15.6" x14ac:dyDescent="0.3">
      <c r="B133" s="99" t="s">
        <v>798</v>
      </c>
      <c r="C133" s="99"/>
      <c r="D133" s="99"/>
      <c r="E133" s="99"/>
      <c r="F133" s="99"/>
      <c r="G133" s="99"/>
      <c r="H133" s="99"/>
      <c r="I133" s="43"/>
      <c r="J133" s="99" t="str">
        <f t="shared" si="170"/>
        <v xml:space="preserve">   106  204       358       420       489       550       658       774</v>
      </c>
      <c r="T133" s="42"/>
      <c r="U133" s="135"/>
      <c r="V133" s="191"/>
      <c r="W133" s="187">
        <v>253</v>
      </c>
      <c r="X133" s="187">
        <v>0.21490000000000001</v>
      </c>
      <c r="Z133" s="101">
        <v>113</v>
      </c>
      <c r="AA133" s="101">
        <v>1</v>
      </c>
      <c r="AB133" s="101">
        <v>0.75539999999999996</v>
      </c>
      <c r="AD133" s="102">
        <f t="shared" si="132"/>
        <v>115</v>
      </c>
      <c r="AE133" s="102">
        <f t="shared" si="132"/>
        <v>217</v>
      </c>
      <c r="AF133" s="102">
        <f t="shared" si="155"/>
        <v>607</v>
      </c>
      <c r="AG133" s="102">
        <f t="shared" si="156"/>
        <v>636</v>
      </c>
      <c r="AH133" s="102">
        <f t="shared" si="157"/>
        <v>709</v>
      </c>
      <c r="AI133" s="102">
        <f t="shared" si="158"/>
        <v>736</v>
      </c>
      <c r="AJ133" s="102">
        <f t="shared" si="159"/>
        <v>735</v>
      </c>
      <c r="AK133" s="102">
        <f t="shared" si="160"/>
        <v>663</v>
      </c>
      <c r="AL133" s="102">
        <f>VLOOKUP($AE133,Usinas!$B$3:$F$241,5,FALSE)</f>
        <v>2</v>
      </c>
      <c r="AM133" s="102" t="str">
        <f>VLOOKUP($AE133,Usinas!$B$3:$H$241,7,FALSE)</f>
        <v>SUL</v>
      </c>
      <c r="AN133" s="102" t="str">
        <f>VLOOKUP($AE133,Usinas!$B$3:$D$241,3,FALSE)</f>
        <v>URUGUAI</v>
      </c>
      <c r="AP133" s="103">
        <v>113</v>
      </c>
      <c r="AQ133" s="103" t="str">
        <f>IF(BA133=1,VLOOKUP($AP133,Usinas!$B$3:$F$244,2,0),"")</f>
        <v xml:space="preserve">ITAUBA      </v>
      </c>
      <c r="AR133" s="103" t="str">
        <f>IF(BA133=1,VLOOKUP($AP133,Usinas!$B$3:$F$241,3,0),"")</f>
        <v>JACUÍ</v>
      </c>
      <c r="AS133" s="103" t="str">
        <f>IF(BA133,VLOOKUP($AP133,Usinas!$B$3:$F$244,4,0),"")</f>
        <v>SUL</v>
      </c>
      <c r="AT133" s="103">
        <f t="shared" si="146"/>
        <v>0.75539999999999996</v>
      </c>
      <c r="AU133" s="104">
        <f t="shared" si="171"/>
        <v>163.16639999999998</v>
      </c>
      <c r="AV133" s="104">
        <f t="shared" si="171"/>
        <v>178.27439999999999</v>
      </c>
      <c r="AW133" s="104">
        <f t="shared" si="171"/>
        <v>165.43259999999998</v>
      </c>
      <c r="AX133" s="104">
        <f t="shared" si="171"/>
        <v>181.29599999999999</v>
      </c>
      <c r="AY133" s="104">
        <f t="shared" si="171"/>
        <v>143.52599999999998</v>
      </c>
      <c r="AZ133" s="104">
        <f t="shared" si="171"/>
        <v>118.59779999999999</v>
      </c>
      <c r="BA133" s="103">
        <f t="shared" si="147"/>
        <v>1</v>
      </c>
      <c r="BB133" s="103">
        <f t="shared" si="148"/>
        <v>0</v>
      </c>
      <c r="BC133" s="103" t="str">
        <f>IF(BA133=1,VLOOKUP($AP133,Usinas!$B$3:$H$244,7,0),"")</f>
        <v>SUL</v>
      </c>
      <c r="BM133" s="105">
        <f t="shared" si="161"/>
        <v>115</v>
      </c>
      <c r="BN133" s="105">
        <f t="shared" si="162"/>
        <v>217</v>
      </c>
      <c r="BO133" s="151">
        <f>IF($BP$15=1,IFERROR(VLOOKUP(BN133,$BZ$20:CA296,2,0),0),VALUE(RIGHT(LEFT($B142,21),10)))</f>
        <v>512</v>
      </c>
      <c r="BP133" s="105">
        <f t="shared" si="163"/>
        <v>536</v>
      </c>
      <c r="BQ133" s="105">
        <f t="shared" si="164"/>
        <v>598</v>
      </c>
      <c r="BR133" s="105">
        <f t="shared" si="165"/>
        <v>621</v>
      </c>
      <c r="BS133" s="105">
        <f t="shared" si="166"/>
        <v>620</v>
      </c>
      <c r="BT133" s="105">
        <f t="shared" si="167"/>
        <v>559</v>
      </c>
      <c r="BU133" s="85"/>
      <c r="BV133" s="97" t="s">
        <v>331</v>
      </c>
      <c r="BW133" s="98">
        <f t="shared" si="169"/>
        <v>144</v>
      </c>
      <c r="BX133" s="97" t="str">
        <f t="shared" si="149"/>
        <v>PST 141</v>
      </c>
      <c r="BZ133" s="147">
        <v>303</v>
      </c>
      <c r="CA133" s="148">
        <v>30</v>
      </c>
      <c r="CB133" s="87"/>
      <c r="CC133" s="87"/>
      <c r="CF133" s="110"/>
      <c r="CG133" s="111"/>
      <c r="CH133" s="87"/>
      <c r="CI133" s="87"/>
      <c r="CJ133" s="87"/>
      <c r="CK133" s="87"/>
      <c r="CL133" s="87"/>
      <c r="CM133" s="87"/>
    </row>
    <row r="134" spans="2:91" ht="15.6" x14ac:dyDescent="0.3">
      <c r="B134" s="99" t="s">
        <v>864</v>
      </c>
      <c r="C134" s="99"/>
      <c r="D134" s="99"/>
      <c r="E134" s="99"/>
      <c r="F134" s="99"/>
      <c r="G134" s="99"/>
      <c r="H134" s="99"/>
      <c r="I134" s="43"/>
      <c r="J134" s="99" t="str">
        <f t="shared" si="170"/>
        <v xml:space="preserve">   107  205       180       200       217       209       240       241</v>
      </c>
      <c r="T134" s="42"/>
      <c r="U134" s="135"/>
      <c r="V134" s="191"/>
      <c r="W134" s="187">
        <v>254</v>
      </c>
      <c r="X134" s="187">
        <v>0.94830000000000003</v>
      </c>
      <c r="Z134" s="101">
        <v>114</v>
      </c>
      <c r="AA134" s="101">
        <v>1</v>
      </c>
      <c r="AB134" s="101">
        <v>0.33560000000000001</v>
      </c>
      <c r="AD134" s="102">
        <f t="shared" si="132"/>
        <v>116</v>
      </c>
      <c r="AE134" s="102">
        <f t="shared" si="132"/>
        <v>220</v>
      </c>
      <c r="AF134" s="102">
        <f t="shared" si="155"/>
        <v>87</v>
      </c>
      <c r="AG134" s="102">
        <f t="shared" si="156"/>
        <v>90</v>
      </c>
      <c r="AH134" s="102">
        <f t="shared" si="157"/>
        <v>84</v>
      </c>
      <c r="AI134" s="102">
        <f t="shared" si="158"/>
        <v>71</v>
      </c>
      <c r="AJ134" s="102">
        <f t="shared" si="159"/>
        <v>68</v>
      </c>
      <c r="AK134" s="102">
        <f t="shared" si="160"/>
        <v>68</v>
      </c>
      <c r="AL134" s="102">
        <f>VLOOKUP($AE134,Usinas!$B$3:$F$241,5,FALSE)</f>
        <v>2</v>
      </c>
      <c r="AM134" s="102" t="str">
        <f>VLOOKUP($AE134,Usinas!$B$3:$H$241,7,FALSE)</f>
        <v>SUL</v>
      </c>
      <c r="AN134" s="102" t="str">
        <f>VLOOKUP($AE134,Usinas!$B$3:$D$241,3,FALSE)</f>
        <v>URUGUAI</v>
      </c>
      <c r="AP134" s="103">
        <v>114</v>
      </c>
      <c r="AQ134" s="103" t="str">
        <f>IF(BA134=1,VLOOKUP($AP134,Usinas!$B$3:$F$244,2,0),"")</f>
        <v>D.FRANCISCA</v>
      </c>
      <c r="AR134" s="103" t="str">
        <f>IF(BA134=1,VLOOKUP($AP134,Usinas!$B$3:$F$241,3,0),"")</f>
        <v>JACUÍ</v>
      </c>
      <c r="AS134" s="103" t="str">
        <f>IF(BA134,VLOOKUP($AP134,Usinas!$B$3:$F$244,4,0),"")</f>
        <v>SUL</v>
      </c>
      <c r="AT134" s="103">
        <f t="shared" si="146"/>
        <v>0.33560000000000001</v>
      </c>
      <c r="AU134" s="104">
        <f t="shared" si="171"/>
        <v>86.249200000000002</v>
      </c>
      <c r="AV134" s="104">
        <f t="shared" si="171"/>
        <v>99.337600000000009</v>
      </c>
      <c r="AW134" s="104">
        <f t="shared" si="171"/>
        <v>90.27640000000001</v>
      </c>
      <c r="AX134" s="104">
        <f t="shared" si="171"/>
        <v>102.6936</v>
      </c>
      <c r="AY134" s="104">
        <f t="shared" si="171"/>
        <v>75.174400000000006</v>
      </c>
      <c r="AZ134" s="104">
        <f t="shared" si="171"/>
        <v>60.072400000000002</v>
      </c>
      <c r="BA134" s="103">
        <f t="shared" si="147"/>
        <v>1</v>
      </c>
      <c r="BB134" s="103">
        <f t="shared" si="148"/>
        <v>0</v>
      </c>
      <c r="BC134" s="103" t="str">
        <f>IF(BA134=1,VLOOKUP($AP134,Usinas!$B$3:$H$244,7,0),"")</f>
        <v>SUL</v>
      </c>
      <c r="BM134" s="105">
        <f t="shared" si="161"/>
        <v>116</v>
      </c>
      <c r="BN134" s="105">
        <f t="shared" si="162"/>
        <v>220</v>
      </c>
      <c r="BO134" s="151">
        <f>IF($BP$15=1,IFERROR(VLOOKUP(BN134,$BZ$20:CA297,2,0),0),VALUE(RIGHT(LEFT($B143,21),10)))</f>
        <v>73</v>
      </c>
      <c r="BP134" s="105">
        <f t="shared" si="163"/>
        <v>76</v>
      </c>
      <c r="BQ134" s="105">
        <f t="shared" si="164"/>
        <v>71</v>
      </c>
      <c r="BR134" s="105">
        <f t="shared" si="165"/>
        <v>60</v>
      </c>
      <c r="BS134" s="105">
        <f t="shared" si="166"/>
        <v>57</v>
      </c>
      <c r="BT134" s="105">
        <f t="shared" si="167"/>
        <v>57</v>
      </c>
      <c r="BU134" s="85"/>
      <c r="BV134" s="97" t="s">
        <v>331</v>
      </c>
      <c r="BW134" s="98">
        <f t="shared" si="169"/>
        <v>145</v>
      </c>
      <c r="BX134" s="97" t="str">
        <f t="shared" si="149"/>
        <v>PST 144</v>
      </c>
      <c r="BZ134" s="147">
        <v>131</v>
      </c>
      <c r="CA134" s="148">
        <v>144</v>
      </c>
      <c r="CB134" s="87"/>
      <c r="CC134" s="87"/>
      <c r="CF134" s="110"/>
      <c r="CG134" s="111"/>
      <c r="CH134" s="87"/>
      <c r="CI134" s="87"/>
      <c r="CJ134" s="87"/>
      <c r="CK134" s="87"/>
      <c r="CL134" s="87"/>
      <c r="CM134" s="87"/>
    </row>
    <row r="135" spans="2:91" ht="15.6" x14ac:dyDescent="0.3">
      <c r="B135" s="99" t="s">
        <v>865</v>
      </c>
      <c r="C135" s="99"/>
      <c r="D135" s="99"/>
      <c r="E135" s="99"/>
      <c r="F135" s="99"/>
      <c r="G135" s="99"/>
      <c r="H135" s="99"/>
      <c r="I135" s="43"/>
      <c r="J135" s="99" t="str">
        <f t="shared" si="170"/>
        <v xml:space="preserve">   108  206       468       562       494       524       637       600</v>
      </c>
      <c r="T135" s="42"/>
      <c r="U135" s="135"/>
      <c r="V135" s="191"/>
      <c r="W135" s="187">
        <v>255</v>
      </c>
      <c r="X135" s="187">
        <v>1.4533</v>
      </c>
      <c r="Z135" s="101">
        <v>115</v>
      </c>
      <c r="AA135" s="101">
        <v>1</v>
      </c>
      <c r="AB135" s="101">
        <v>6.3541999999999996</v>
      </c>
      <c r="AD135" s="102">
        <f t="shared" si="132"/>
        <v>117</v>
      </c>
      <c r="AE135" s="102">
        <f t="shared" si="132"/>
        <v>222</v>
      </c>
      <c r="AF135" s="102">
        <f t="shared" si="155"/>
        <v>1199</v>
      </c>
      <c r="AG135" s="102">
        <f t="shared" si="156"/>
        <v>1277</v>
      </c>
      <c r="AH135" s="102">
        <f t="shared" si="157"/>
        <v>1358</v>
      </c>
      <c r="AI135" s="102">
        <f t="shared" si="158"/>
        <v>1338</v>
      </c>
      <c r="AJ135" s="102">
        <f t="shared" si="159"/>
        <v>1270</v>
      </c>
      <c r="AK135" s="102">
        <f t="shared" si="160"/>
        <v>1211</v>
      </c>
      <c r="AL135" s="102">
        <f>VLOOKUP($AE135,Usinas!$B$3:$F$241,5,FALSE)</f>
        <v>2</v>
      </c>
      <c r="AM135" s="102" t="str">
        <f>VLOOKUP($AE135,Usinas!$B$3:$H$241,7,FALSE)</f>
        <v>IGUACU</v>
      </c>
      <c r="AN135" s="102" t="str">
        <f>VLOOKUP($AE135,Usinas!$B$3:$D$241,3,FALSE)</f>
        <v>IGUAÇU</v>
      </c>
      <c r="AP135" s="103">
        <v>115</v>
      </c>
      <c r="AQ135" s="103" t="str">
        <f>IF(BA135=1,VLOOKUP($AP135,Usinas!$B$3:$F$244,2,0),"")</f>
        <v>CAP.CACHOEIRA</v>
      </c>
      <c r="AR135" s="103" t="str">
        <f>IF(BA135=1,VLOOKUP($AP135,Usinas!$B$3:$F$241,3,0),"")</f>
        <v>CAPIVARI</v>
      </c>
      <c r="AS135" s="103" t="str">
        <f>IF(BA135,VLOOKUP($AP135,Usinas!$B$3:$F$244,4,0),"")</f>
        <v>SUL</v>
      </c>
      <c r="AT135" s="103">
        <f t="shared" si="146"/>
        <v>6.3541999999999996</v>
      </c>
      <c r="AU135" s="104">
        <f t="shared" si="171"/>
        <v>120.7298</v>
      </c>
      <c r="AV135" s="104">
        <f t="shared" si="171"/>
        <v>114.37559999999999</v>
      </c>
      <c r="AW135" s="104">
        <f t="shared" si="171"/>
        <v>133.43819999999999</v>
      </c>
      <c r="AX135" s="104">
        <f t="shared" si="171"/>
        <v>133.43819999999999</v>
      </c>
      <c r="AY135" s="104">
        <f t="shared" si="171"/>
        <v>146.14659999999998</v>
      </c>
      <c r="AZ135" s="104">
        <f t="shared" si="171"/>
        <v>114.37559999999999</v>
      </c>
      <c r="BA135" s="103">
        <f t="shared" si="147"/>
        <v>1</v>
      </c>
      <c r="BB135" s="103">
        <f t="shared" si="148"/>
        <v>0</v>
      </c>
      <c r="BC135" s="103" t="str">
        <f>IF(BA135=1,VLOOKUP($AP135,Usinas!$B$3:$H$244,7,0),"")</f>
        <v>SUL</v>
      </c>
      <c r="BM135" s="105">
        <f t="shared" si="161"/>
        <v>117</v>
      </c>
      <c r="BN135" s="105">
        <f t="shared" si="162"/>
        <v>222</v>
      </c>
      <c r="BO135" s="151">
        <f>IF($BP$15=1,IFERROR(VLOOKUP(BN135,$BZ$20:CA298,2,0),0),VALUE(RIGHT(LEFT($B144,21),10)))</f>
        <v>1011</v>
      </c>
      <c r="BP135" s="105">
        <f t="shared" si="163"/>
        <v>1077</v>
      </c>
      <c r="BQ135" s="105">
        <f t="shared" si="164"/>
        <v>1145</v>
      </c>
      <c r="BR135" s="105">
        <f t="shared" si="165"/>
        <v>1128</v>
      </c>
      <c r="BS135" s="105">
        <f t="shared" si="166"/>
        <v>1071</v>
      </c>
      <c r="BT135" s="105">
        <f t="shared" si="167"/>
        <v>1021</v>
      </c>
      <c r="BU135" s="85"/>
      <c r="BV135" s="97" t="s">
        <v>331</v>
      </c>
      <c r="BW135" s="98">
        <f t="shared" si="169"/>
        <v>148</v>
      </c>
      <c r="BX135" s="97" t="str">
        <f t="shared" si="149"/>
        <v>PST 145</v>
      </c>
      <c r="BZ135" s="147">
        <v>306</v>
      </c>
      <c r="CA135" s="148">
        <v>174</v>
      </c>
      <c r="CB135" s="87"/>
      <c r="CC135" s="87"/>
      <c r="CF135" s="110"/>
      <c r="CG135" s="111"/>
      <c r="CH135" s="87"/>
      <c r="CI135" s="87"/>
      <c r="CJ135" s="87"/>
      <c r="CK135" s="87"/>
      <c r="CL135" s="87"/>
      <c r="CM135" s="87"/>
    </row>
    <row r="136" spans="2:91" ht="15.6" x14ac:dyDescent="0.3">
      <c r="B136" s="99" t="s">
        <v>866</v>
      </c>
      <c r="C136" s="99"/>
      <c r="D136" s="99"/>
      <c r="E136" s="99"/>
      <c r="F136" s="99"/>
      <c r="G136" s="99"/>
      <c r="H136" s="99"/>
      <c r="I136" s="43"/>
      <c r="J136" s="99" t="str">
        <f t="shared" si="170"/>
        <v xml:space="preserve">   109  207       468       563       499       525       635       605</v>
      </c>
      <c r="T136" s="42"/>
      <c r="U136" s="135"/>
      <c r="V136" s="191"/>
      <c r="W136" s="187">
        <v>257</v>
      </c>
      <c r="X136" s="187">
        <v>0.24079999999999999</v>
      </c>
      <c r="Z136" s="101">
        <v>116</v>
      </c>
      <c r="AA136" s="101">
        <v>0</v>
      </c>
      <c r="AB136" s="101">
        <v>0</v>
      </c>
      <c r="AD136" s="102">
        <f t="shared" si="132"/>
        <v>118</v>
      </c>
      <c r="AE136" s="102">
        <f t="shared" si="132"/>
        <v>227</v>
      </c>
      <c r="AF136" s="102">
        <f t="shared" si="155"/>
        <v>1313</v>
      </c>
      <c r="AG136" s="102">
        <f t="shared" si="156"/>
        <v>1385</v>
      </c>
      <c r="AH136" s="102">
        <f t="shared" si="157"/>
        <v>1505</v>
      </c>
      <c r="AI136" s="102">
        <f t="shared" si="158"/>
        <v>1550</v>
      </c>
      <c r="AJ136" s="102">
        <f t="shared" si="159"/>
        <v>1549</v>
      </c>
      <c r="AK136" s="102">
        <f t="shared" si="160"/>
        <v>1619</v>
      </c>
      <c r="AL136" s="102">
        <f>VLOOKUP($AE136,Usinas!$B$3:$F$241,5,FALSE)</f>
        <v>1</v>
      </c>
      <c r="AM136" s="102" t="str">
        <f>VLOOKUP($AE136,Usinas!$B$3:$H$241,7,FALSE)</f>
        <v>TELES PIRES</v>
      </c>
      <c r="AN136" s="102" t="str">
        <f>VLOOKUP($AE136,Usinas!$B$3:$D$241,3,FALSE)</f>
        <v>AMAZONAS (SE)</v>
      </c>
      <c r="AP136" s="103">
        <v>116</v>
      </c>
      <c r="AQ136" s="103" t="str">
        <f>IF(BA136=1,VLOOKUP($AP136,Usinas!$B$3:$F$244,2,0),"")</f>
        <v/>
      </c>
      <c r="AR136" s="103" t="str">
        <f>IF(BA136=1,VLOOKUP($AP136,Usinas!$B$3:$F$241,3,0),"")</f>
        <v/>
      </c>
      <c r="AS136" s="103" t="str">
        <f>IF(BA136,VLOOKUP($AP136,Usinas!$B$3:$F$244,4,0),"")</f>
        <v/>
      </c>
      <c r="AT136" s="103" t="str">
        <f t="shared" si="146"/>
        <v/>
      </c>
      <c r="AU136" s="104" t="str">
        <f t="shared" si="171"/>
        <v/>
      </c>
      <c r="AV136" s="104" t="str">
        <f t="shared" si="171"/>
        <v/>
      </c>
      <c r="AW136" s="104" t="str">
        <f t="shared" si="171"/>
        <v/>
      </c>
      <c r="AX136" s="104" t="str">
        <f t="shared" si="171"/>
        <v/>
      </c>
      <c r="AY136" s="104" t="str">
        <f t="shared" si="171"/>
        <v/>
      </c>
      <c r="AZ136" s="104" t="str">
        <f t="shared" si="171"/>
        <v/>
      </c>
      <c r="BA136" s="103">
        <f t="shared" si="147"/>
        <v>0</v>
      </c>
      <c r="BB136" s="103">
        <f t="shared" si="148"/>
        <v>0</v>
      </c>
      <c r="BC136" s="103" t="str">
        <f>IF(BA136=1,VLOOKUP($AP136,Usinas!$B$3:$H$244,7,0),"")</f>
        <v/>
      </c>
      <c r="BM136" s="105">
        <f t="shared" si="161"/>
        <v>118</v>
      </c>
      <c r="BN136" s="105">
        <f t="shared" si="162"/>
        <v>227</v>
      </c>
      <c r="BO136" s="151">
        <f>IF($BP$15=1,IFERROR(VLOOKUP(BN136,$BZ$20:CA299,2,0),0),VALUE(RIGHT(LEFT($B145,21),10)))</f>
        <v>963</v>
      </c>
      <c r="BP136" s="105">
        <f t="shared" si="163"/>
        <v>1016</v>
      </c>
      <c r="BQ136" s="105">
        <f t="shared" si="164"/>
        <v>1104</v>
      </c>
      <c r="BR136" s="105">
        <f t="shared" si="165"/>
        <v>1137</v>
      </c>
      <c r="BS136" s="105">
        <f t="shared" si="166"/>
        <v>1136</v>
      </c>
      <c r="BT136" s="105">
        <f t="shared" si="167"/>
        <v>1187</v>
      </c>
      <c r="BU136" s="85"/>
      <c r="BV136" s="97" t="s">
        <v>331</v>
      </c>
      <c r="BW136" s="98">
        <f t="shared" si="169"/>
        <v>149</v>
      </c>
      <c r="BX136" s="97" t="str">
        <f t="shared" si="149"/>
        <v>PST 148</v>
      </c>
      <c r="BZ136" s="147">
        <v>262</v>
      </c>
      <c r="CA136" s="148">
        <v>31</v>
      </c>
      <c r="CB136" s="87"/>
      <c r="CC136" s="87"/>
      <c r="CF136" s="110"/>
      <c r="CG136" s="111"/>
      <c r="CH136" s="87"/>
      <c r="CI136" s="87"/>
      <c r="CJ136" s="87"/>
      <c r="CK136" s="87"/>
      <c r="CL136" s="87"/>
      <c r="CM136" s="87"/>
    </row>
    <row r="137" spans="2:91" ht="15.6" x14ac:dyDescent="0.3">
      <c r="B137" s="99" t="s">
        <v>867</v>
      </c>
      <c r="C137" s="99"/>
      <c r="D137" s="99"/>
      <c r="E137" s="99"/>
      <c r="F137" s="99"/>
      <c r="G137" s="99"/>
      <c r="H137" s="99"/>
      <c r="I137" s="43"/>
      <c r="J137" s="99" t="str">
        <f t="shared" si="170"/>
        <v xml:space="preserve">   110  209       537       667       675       708       761       738</v>
      </c>
      <c r="T137" s="42"/>
      <c r="U137" s="135"/>
      <c r="V137" s="191"/>
      <c r="W137" s="187">
        <v>259</v>
      </c>
      <c r="X137" s="187">
        <v>0.76849999999999996</v>
      </c>
      <c r="Z137" s="101">
        <v>117</v>
      </c>
      <c r="AA137" s="101">
        <v>0</v>
      </c>
      <c r="AB137" s="101">
        <v>0</v>
      </c>
      <c r="AD137" s="102">
        <f t="shared" si="132"/>
        <v>119</v>
      </c>
      <c r="AE137" s="102">
        <f t="shared" si="132"/>
        <v>228</v>
      </c>
      <c r="AF137" s="102">
        <f t="shared" si="155"/>
        <v>1145</v>
      </c>
      <c r="AG137" s="102">
        <f t="shared" si="156"/>
        <v>1205</v>
      </c>
      <c r="AH137" s="102">
        <f t="shared" si="157"/>
        <v>1306</v>
      </c>
      <c r="AI137" s="102">
        <f t="shared" si="158"/>
        <v>1355</v>
      </c>
      <c r="AJ137" s="102">
        <f t="shared" si="159"/>
        <v>1351</v>
      </c>
      <c r="AK137" s="102">
        <f t="shared" si="160"/>
        <v>1409</v>
      </c>
      <c r="AL137" s="102">
        <f>VLOOKUP($AE137,Usinas!$B$3:$F$241,5,FALSE)</f>
        <v>1</v>
      </c>
      <c r="AM137" s="102" t="str">
        <f>VLOOKUP($AE137,Usinas!$B$3:$H$241,7,FALSE)</f>
        <v>MADEIRA</v>
      </c>
      <c r="AN137" s="102" t="str">
        <f>VLOOKUP($AE137,Usinas!$B$3:$D$241,3,FALSE)</f>
        <v>AMAZONAS (SE)</v>
      </c>
      <c r="AP137" s="103">
        <v>117</v>
      </c>
      <c r="AQ137" s="103" t="str">
        <f>IF(BA137=1,VLOOKUP($AP137,Usinas!$B$3:$F$244,2,0),"")</f>
        <v/>
      </c>
      <c r="AR137" s="103" t="str">
        <f>IF(BA137=1,VLOOKUP($AP137,Usinas!$B$3:$F$241,3,0),"")</f>
        <v/>
      </c>
      <c r="AS137" s="103" t="str">
        <f>IF(BA137,VLOOKUP($AP137,Usinas!$B$3:$F$244,4,0),"")</f>
        <v/>
      </c>
      <c r="AT137" s="103" t="str">
        <f t="shared" si="146"/>
        <v/>
      </c>
      <c r="AU137" s="104" t="str">
        <f t="shared" si="171"/>
        <v/>
      </c>
      <c r="AV137" s="104" t="str">
        <f t="shared" si="171"/>
        <v/>
      </c>
      <c r="AW137" s="104" t="str">
        <f t="shared" si="171"/>
        <v/>
      </c>
      <c r="AX137" s="104" t="str">
        <f t="shared" si="171"/>
        <v/>
      </c>
      <c r="AY137" s="104" t="str">
        <f t="shared" si="171"/>
        <v/>
      </c>
      <c r="AZ137" s="104" t="str">
        <f t="shared" si="171"/>
        <v/>
      </c>
      <c r="BA137" s="103">
        <f t="shared" si="147"/>
        <v>0</v>
      </c>
      <c r="BB137" s="103">
        <f t="shared" si="148"/>
        <v>0</v>
      </c>
      <c r="BC137" s="103" t="str">
        <f>IF(BA137=1,VLOOKUP($AP137,Usinas!$B$3:$H$244,7,0),"")</f>
        <v/>
      </c>
      <c r="BM137" s="105">
        <f t="shared" si="161"/>
        <v>119</v>
      </c>
      <c r="BN137" s="105">
        <f t="shared" si="162"/>
        <v>228</v>
      </c>
      <c r="BO137" s="151">
        <f>IF($BP$15=1,IFERROR(VLOOKUP(BN137,$BZ$20:CA300,2,0),0),VALUE(RIGHT(LEFT($B146,21),10)))</f>
        <v>840</v>
      </c>
      <c r="BP137" s="105">
        <f t="shared" si="163"/>
        <v>884</v>
      </c>
      <c r="BQ137" s="105">
        <f t="shared" si="164"/>
        <v>958</v>
      </c>
      <c r="BR137" s="105">
        <f t="shared" si="165"/>
        <v>994</v>
      </c>
      <c r="BS137" s="105">
        <f t="shared" si="166"/>
        <v>991</v>
      </c>
      <c r="BT137" s="105">
        <f t="shared" si="167"/>
        <v>1033</v>
      </c>
      <c r="BU137" s="85"/>
      <c r="BV137" s="97" t="s">
        <v>331</v>
      </c>
      <c r="BW137" s="98">
        <f t="shared" si="169"/>
        <v>154</v>
      </c>
      <c r="BX137" s="97" t="str">
        <f t="shared" si="149"/>
        <v>PST 149</v>
      </c>
      <c r="BZ137" s="147">
        <v>183</v>
      </c>
      <c r="CA137" s="148">
        <v>34</v>
      </c>
      <c r="CB137" s="87"/>
      <c r="CC137" s="87"/>
      <c r="CF137" s="110"/>
      <c r="CG137" s="111"/>
      <c r="CH137" s="87"/>
      <c r="CI137" s="87"/>
      <c r="CJ137" s="87"/>
      <c r="CK137" s="87"/>
      <c r="CL137" s="87"/>
      <c r="CM137" s="87"/>
    </row>
    <row r="138" spans="2:91" ht="15.6" x14ac:dyDescent="0.3">
      <c r="B138" s="99" t="s">
        <v>868</v>
      </c>
      <c r="C138" s="99"/>
      <c r="D138" s="99"/>
      <c r="E138" s="99"/>
      <c r="F138" s="99"/>
      <c r="G138" s="99"/>
      <c r="H138" s="99"/>
      <c r="I138" s="43"/>
      <c r="J138" s="99" t="str">
        <f t="shared" si="170"/>
        <v xml:space="preserve">   111  211       494       560       619       588       509       480</v>
      </c>
      <c r="T138" s="42"/>
      <c r="U138" s="135"/>
      <c r="V138" s="191"/>
      <c r="W138" s="187">
        <v>261</v>
      </c>
      <c r="X138" s="187">
        <v>0.23949999999999999</v>
      </c>
      <c r="Z138" s="101">
        <v>118</v>
      </c>
      <c r="AA138" s="101">
        <v>0</v>
      </c>
      <c r="AB138" s="101">
        <v>0</v>
      </c>
      <c r="AD138" s="102">
        <f t="shared" si="132"/>
        <v>120</v>
      </c>
      <c r="AE138" s="102">
        <f t="shared" si="132"/>
        <v>229</v>
      </c>
      <c r="AF138" s="102">
        <f t="shared" si="155"/>
        <v>4339</v>
      </c>
      <c r="AG138" s="102">
        <f t="shared" si="156"/>
        <v>4557</v>
      </c>
      <c r="AH138" s="102">
        <f t="shared" si="157"/>
        <v>4864</v>
      </c>
      <c r="AI138" s="102">
        <f t="shared" si="158"/>
        <v>5094</v>
      </c>
      <c r="AJ138" s="102">
        <f t="shared" si="159"/>
        <v>5251</v>
      </c>
      <c r="AK138" s="102">
        <f t="shared" si="160"/>
        <v>5438</v>
      </c>
      <c r="AL138" s="102">
        <f>VLOOKUP($AE138,Usinas!$B$3:$F$241,5,FALSE)</f>
        <v>1</v>
      </c>
      <c r="AM138" s="102" t="str">
        <f>VLOOKUP($AE138,Usinas!$B$3:$H$241,7,FALSE)</f>
        <v>TELES PIRES</v>
      </c>
      <c r="AN138" s="102" t="str">
        <f>VLOOKUP($AE138,Usinas!$B$3:$D$241,3,FALSE)</f>
        <v>AMAZONAS (SE)</v>
      </c>
      <c r="AP138" s="103">
        <v>118</v>
      </c>
      <c r="AQ138" s="103" t="str">
        <f>IF(BA138=1,VLOOKUP($AP138,Usinas!$B$3:$F$244,2,0),"")</f>
        <v/>
      </c>
      <c r="AR138" s="103" t="str">
        <f>IF(BA138=1,VLOOKUP($AP138,Usinas!$B$3:$F$241,3,0),"")</f>
        <v/>
      </c>
      <c r="AS138" s="103" t="str">
        <f>IF(BA138,VLOOKUP($AP138,Usinas!$B$3:$F$244,4,0),"")</f>
        <v/>
      </c>
      <c r="AT138" s="103" t="str">
        <f t="shared" si="146"/>
        <v/>
      </c>
      <c r="AU138" s="104" t="str">
        <f t="shared" si="171"/>
        <v/>
      </c>
      <c r="AV138" s="104" t="str">
        <f t="shared" si="171"/>
        <v/>
      </c>
      <c r="AW138" s="104" t="str">
        <f t="shared" si="171"/>
        <v/>
      </c>
      <c r="AX138" s="104" t="str">
        <f t="shared" si="171"/>
        <v/>
      </c>
      <c r="AY138" s="104" t="str">
        <f t="shared" si="171"/>
        <v/>
      </c>
      <c r="AZ138" s="104" t="str">
        <f t="shared" si="171"/>
        <v/>
      </c>
      <c r="BA138" s="103">
        <f t="shared" si="147"/>
        <v>0</v>
      </c>
      <c r="BB138" s="103">
        <f t="shared" si="148"/>
        <v>0</v>
      </c>
      <c r="BC138" s="103" t="str">
        <f>IF(BA138=1,VLOOKUP($AP138,Usinas!$B$3:$H$244,7,0),"")</f>
        <v/>
      </c>
      <c r="BM138" s="105">
        <f t="shared" si="161"/>
        <v>120</v>
      </c>
      <c r="BN138" s="105">
        <f t="shared" si="162"/>
        <v>229</v>
      </c>
      <c r="BO138" s="151">
        <f>IF($BP$15=1,IFERROR(VLOOKUP(BN138,$BZ$20:CA301,2,0),0),VALUE(RIGHT(LEFT($B147,21),10)))</f>
        <v>3182</v>
      </c>
      <c r="BP138" s="105">
        <f t="shared" si="163"/>
        <v>3342</v>
      </c>
      <c r="BQ138" s="105">
        <f t="shared" si="164"/>
        <v>3567</v>
      </c>
      <c r="BR138" s="105">
        <f t="shared" si="165"/>
        <v>3736</v>
      </c>
      <c r="BS138" s="105">
        <f t="shared" si="166"/>
        <v>3851</v>
      </c>
      <c r="BT138" s="105">
        <f t="shared" si="167"/>
        <v>3988</v>
      </c>
      <c r="BU138" s="85"/>
      <c r="BV138" s="97" t="s">
        <v>331</v>
      </c>
      <c r="BW138" s="98">
        <f t="shared" si="169"/>
        <v>155</v>
      </c>
      <c r="BX138" s="97" t="str">
        <f t="shared" si="149"/>
        <v>PST 154</v>
      </c>
      <c r="BZ138" s="147">
        <v>134</v>
      </c>
      <c r="CA138" s="148">
        <v>45</v>
      </c>
      <c r="CB138" s="87"/>
      <c r="CC138" s="87"/>
      <c r="CF138" s="110"/>
      <c r="CG138" s="111"/>
      <c r="CH138" s="87"/>
      <c r="CI138" s="87"/>
      <c r="CJ138" s="87"/>
      <c r="CK138" s="87"/>
      <c r="CL138" s="87"/>
      <c r="CM138" s="87"/>
    </row>
    <row r="139" spans="2:91" ht="15.6" x14ac:dyDescent="0.3">
      <c r="B139" s="99" t="s">
        <v>799</v>
      </c>
      <c r="C139" s="99"/>
      <c r="D139" s="99"/>
      <c r="E139" s="99"/>
      <c r="F139" s="99"/>
      <c r="G139" s="99"/>
      <c r="H139" s="99"/>
      <c r="I139" s="43"/>
      <c r="J139" s="99" t="str">
        <f t="shared" si="170"/>
        <v xml:space="preserve">   112  213        14        15        11         8         8         7</v>
      </c>
      <c r="T139" s="42"/>
      <c r="U139" s="135"/>
      <c r="V139" s="191"/>
      <c r="W139" s="187">
        <v>262</v>
      </c>
      <c r="X139" s="187">
        <v>1.0065999999999999</v>
      </c>
      <c r="Z139" s="101">
        <v>119</v>
      </c>
      <c r="AA139" s="101">
        <v>0</v>
      </c>
      <c r="AB139" s="101">
        <v>0</v>
      </c>
      <c r="AD139" s="102">
        <f t="shared" si="132"/>
        <v>121</v>
      </c>
      <c r="AE139" s="102">
        <f t="shared" si="132"/>
        <v>230</v>
      </c>
      <c r="AF139" s="102">
        <f t="shared" si="155"/>
        <v>4358</v>
      </c>
      <c r="AG139" s="102">
        <f t="shared" si="156"/>
        <v>4572</v>
      </c>
      <c r="AH139" s="102">
        <f t="shared" si="157"/>
        <v>4886</v>
      </c>
      <c r="AI139" s="102">
        <f t="shared" si="158"/>
        <v>5116</v>
      </c>
      <c r="AJ139" s="102">
        <f t="shared" si="159"/>
        <v>5276</v>
      </c>
      <c r="AK139" s="102">
        <f t="shared" si="160"/>
        <v>5465</v>
      </c>
      <c r="AL139" s="102">
        <f>VLOOKUP($AE139,Usinas!$B$3:$F$241,5,FALSE)</f>
        <v>1</v>
      </c>
      <c r="AM139" s="102" t="str">
        <f>VLOOKUP($AE139,Usinas!$B$3:$H$241,7,FALSE)</f>
        <v>SUDESTE</v>
      </c>
      <c r="AN139" s="102" t="str">
        <f>VLOOKUP($AE139,Usinas!$B$3:$D$241,3,FALSE)</f>
        <v>AMAZONAS (SE)</v>
      </c>
      <c r="AP139" s="103">
        <v>119</v>
      </c>
      <c r="AQ139" s="103" t="str">
        <f>IF(BA139=1,VLOOKUP($AP139,Usinas!$B$3:$F$244,2,0),"")</f>
        <v/>
      </c>
      <c r="AR139" s="103" t="str">
        <f>IF(BA139=1,VLOOKUP($AP139,Usinas!$B$3:$F$241,3,0),"")</f>
        <v/>
      </c>
      <c r="AS139" s="103" t="str">
        <f>IF(BA139,VLOOKUP($AP139,Usinas!$B$3:$F$244,4,0),"")</f>
        <v/>
      </c>
      <c r="AT139" s="103" t="str">
        <f t="shared" si="146"/>
        <v/>
      </c>
      <c r="AU139" s="104" t="str">
        <f t="shared" si="171"/>
        <v/>
      </c>
      <c r="AV139" s="104" t="str">
        <f t="shared" si="171"/>
        <v/>
      </c>
      <c r="AW139" s="104" t="str">
        <f t="shared" si="171"/>
        <v/>
      </c>
      <c r="AX139" s="104" t="str">
        <f t="shared" si="171"/>
        <v/>
      </c>
      <c r="AY139" s="104" t="str">
        <f t="shared" si="171"/>
        <v/>
      </c>
      <c r="AZ139" s="104" t="str">
        <f t="shared" si="171"/>
        <v/>
      </c>
      <c r="BA139" s="103">
        <f t="shared" si="147"/>
        <v>0</v>
      </c>
      <c r="BB139" s="103">
        <f t="shared" si="148"/>
        <v>0</v>
      </c>
      <c r="BC139" s="103" t="str">
        <f>IF(BA139=1,VLOOKUP($AP139,Usinas!$B$3:$H$244,7,0),"")</f>
        <v/>
      </c>
      <c r="BM139" s="105">
        <f t="shared" si="161"/>
        <v>121</v>
      </c>
      <c r="BN139" s="105">
        <f t="shared" si="162"/>
        <v>230</v>
      </c>
      <c r="BO139" s="151">
        <f>IF($BP$15=1,IFERROR(VLOOKUP(BN139,$BZ$20:CA302,2,0),0),VALUE(RIGHT(LEFT($B148,21),10)))</f>
        <v>3196</v>
      </c>
      <c r="BP139" s="105">
        <f t="shared" si="163"/>
        <v>3353</v>
      </c>
      <c r="BQ139" s="105">
        <f t="shared" si="164"/>
        <v>3583</v>
      </c>
      <c r="BR139" s="105">
        <f t="shared" si="165"/>
        <v>3752</v>
      </c>
      <c r="BS139" s="105">
        <f t="shared" si="166"/>
        <v>3869</v>
      </c>
      <c r="BT139" s="105">
        <f t="shared" si="167"/>
        <v>4008</v>
      </c>
      <c r="BU139" s="85"/>
      <c r="BV139" s="97" t="s">
        <v>331</v>
      </c>
      <c r="BW139" s="98">
        <f t="shared" si="169"/>
        <v>156</v>
      </c>
      <c r="BX139" s="97" t="str">
        <f t="shared" si="149"/>
        <v>PST 155</v>
      </c>
      <c r="BZ139" s="147">
        <v>263</v>
      </c>
      <c r="CA139" s="148">
        <v>47</v>
      </c>
      <c r="CB139" s="87"/>
      <c r="CC139" s="87"/>
      <c r="CF139" s="110"/>
      <c r="CG139" s="111"/>
      <c r="CH139" s="87"/>
      <c r="CI139" s="87"/>
      <c r="CJ139" s="87"/>
      <c r="CK139" s="87"/>
      <c r="CL139" s="87"/>
      <c r="CM139" s="87"/>
    </row>
    <row r="140" spans="2:91" ht="15.6" x14ac:dyDescent="0.3">
      <c r="B140" s="99" t="s">
        <v>800</v>
      </c>
      <c r="C140" s="99"/>
      <c r="D140" s="99"/>
      <c r="E140" s="99"/>
      <c r="F140" s="99"/>
      <c r="G140" s="99"/>
      <c r="H140" s="99"/>
      <c r="I140" s="43"/>
      <c r="J140" s="99" t="str">
        <f t="shared" si="170"/>
        <v xml:space="preserve">   113  215       222       245       267       285       277       258</v>
      </c>
      <c r="T140" s="42"/>
      <c r="U140" s="135"/>
      <c r="V140" s="191"/>
      <c r="W140" s="187">
        <v>263</v>
      </c>
      <c r="X140" s="187">
        <v>0.41549999999999998</v>
      </c>
      <c r="Z140" s="101">
        <v>120</v>
      </c>
      <c r="AA140" s="101">
        <v>1</v>
      </c>
      <c r="AB140" s="101">
        <v>0.51629999999999998</v>
      </c>
      <c r="AD140" s="102">
        <f t="shared" si="132"/>
        <v>122</v>
      </c>
      <c r="AE140" s="102">
        <f t="shared" si="132"/>
        <v>237</v>
      </c>
      <c r="AF140" s="102">
        <f t="shared" si="155"/>
        <v>604</v>
      </c>
      <c r="AG140" s="102">
        <f t="shared" si="156"/>
        <v>843</v>
      </c>
      <c r="AH140" s="102">
        <f t="shared" si="157"/>
        <v>938</v>
      </c>
      <c r="AI140" s="102">
        <f t="shared" si="158"/>
        <v>1012</v>
      </c>
      <c r="AJ140" s="102">
        <f t="shared" si="159"/>
        <v>1043</v>
      </c>
      <c r="AK140" s="102">
        <f t="shared" si="160"/>
        <v>964</v>
      </c>
      <c r="AL140" s="102">
        <f>VLOOKUP($AE140,Usinas!$B$3:$F$241,5,FALSE)</f>
        <v>1</v>
      </c>
      <c r="AM140" s="102" t="str">
        <f>VLOOKUP($AE140,Usinas!$B$3:$H$241,7,FALSE)</f>
        <v>SUDESTE</v>
      </c>
      <c r="AN140" s="102" t="str">
        <f>VLOOKUP($AE140,Usinas!$B$3:$D$241,3,FALSE)</f>
        <v>TIETÊ</v>
      </c>
      <c r="AP140" s="103">
        <v>120</v>
      </c>
      <c r="AQ140" s="103" t="str">
        <f>IF(BA140=1,VLOOKUP($AP140,Usinas!$B$3:$F$244,2,0),"")</f>
        <v>JAGUARI</v>
      </c>
      <c r="AR140" s="103" t="str">
        <f>IF(BA140=1,VLOOKUP($AP140,Usinas!$B$3:$F$241,3,0),"")</f>
        <v>PARAÍBA DO SUL</v>
      </c>
      <c r="AS140" s="103" t="str">
        <f>IF(BA140,VLOOKUP($AP140,Usinas!$B$3:$F$244,4,0),"")</f>
        <v>SUDESTE</v>
      </c>
      <c r="AT140" s="103">
        <f t="shared" si="146"/>
        <v>0.51629999999999998</v>
      </c>
      <c r="AU140" s="104">
        <f t="shared" si="171"/>
        <v>19.619399999999999</v>
      </c>
      <c r="AV140" s="104">
        <f t="shared" si="171"/>
        <v>21.6846</v>
      </c>
      <c r="AW140" s="104">
        <f t="shared" si="171"/>
        <v>23.7498</v>
      </c>
      <c r="AX140" s="104">
        <f t="shared" si="171"/>
        <v>23.7498</v>
      </c>
      <c r="AY140" s="104">
        <f t="shared" si="171"/>
        <v>25.814999999999998</v>
      </c>
      <c r="AZ140" s="104">
        <f t="shared" si="171"/>
        <v>23.7498</v>
      </c>
      <c r="BA140" s="103">
        <f t="shared" si="147"/>
        <v>1</v>
      </c>
      <c r="BB140" s="103">
        <f t="shared" si="148"/>
        <v>0</v>
      </c>
      <c r="BC140" s="103" t="str">
        <f>IF(BA140=1,VLOOKUP($AP140,Usinas!$B$3:$H$244,7,0),"")</f>
        <v>SUDESTE</v>
      </c>
      <c r="BM140" s="105">
        <f t="shared" si="161"/>
        <v>122</v>
      </c>
      <c r="BN140" s="105">
        <f t="shared" si="162"/>
        <v>237</v>
      </c>
      <c r="BO140" s="151">
        <f>IF($BP$15=1,IFERROR(VLOOKUP(BN140,$BZ$20:CA303,2,0),0),VALUE(RIGHT(LEFT($B149,21),10)))</f>
        <v>443</v>
      </c>
      <c r="BP140" s="105">
        <f t="shared" si="163"/>
        <v>618</v>
      </c>
      <c r="BQ140" s="105">
        <f t="shared" si="164"/>
        <v>688</v>
      </c>
      <c r="BR140" s="105">
        <f t="shared" si="165"/>
        <v>742</v>
      </c>
      <c r="BS140" s="105">
        <f t="shared" si="166"/>
        <v>765</v>
      </c>
      <c r="BT140" s="105">
        <f t="shared" si="167"/>
        <v>707</v>
      </c>
      <c r="BU140" s="85"/>
      <c r="BV140" s="97" t="s">
        <v>331</v>
      </c>
      <c r="BW140" s="98">
        <f t="shared" si="169"/>
        <v>158</v>
      </c>
      <c r="BX140" s="97" t="str">
        <f t="shared" si="149"/>
        <v>PST 156</v>
      </c>
      <c r="BZ140" s="147">
        <v>149</v>
      </c>
      <c r="CA140" s="148">
        <v>60</v>
      </c>
      <c r="CB140" s="87"/>
      <c r="CC140" s="87"/>
      <c r="CF140" s="110"/>
      <c r="CG140" s="111"/>
      <c r="CH140" s="87"/>
      <c r="CI140" s="87"/>
      <c r="CJ140" s="87"/>
      <c r="CK140" s="87"/>
      <c r="CL140" s="87"/>
      <c r="CM140" s="87"/>
    </row>
    <row r="141" spans="2:91" ht="15.6" x14ac:dyDescent="0.3">
      <c r="B141" s="99" t="s">
        <v>801</v>
      </c>
      <c r="C141" s="99"/>
      <c r="D141" s="99"/>
      <c r="E141" s="99"/>
      <c r="F141" s="99"/>
      <c r="G141" s="99"/>
      <c r="H141" s="99"/>
      <c r="I141" s="43"/>
      <c r="J141" s="99" t="str">
        <f t="shared" si="170"/>
        <v xml:space="preserve">   114  216       276       273       312       337       343       296</v>
      </c>
      <c r="L141" s="87"/>
      <c r="M141" s="87"/>
      <c r="N141" s="87"/>
      <c r="O141" s="87"/>
      <c r="P141" s="87"/>
      <c r="Q141" s="87"/>
      <c r="T141" s="42"/>
      <c r="U141" s="135"/>
      <c r="V141" s="191"/>
      <c r="W141" s="187">
        <v>269</v>
      </c>
      <c r="X141" s="187">
        <v>0.20799999999999999</v>
      </c>
      <c r="Z141" s="101">
        <v>121</v>
      </c>
      <c r="AA141" s="101">
        <v>1</v>
      </c>
      <c r="AB141" s="101">
        <v>0.70069999999999999</v>
      </c>
      <c r="AD141" s="102">
        <f t="shared" si="132"/>
        <v>123</v>
      </c>
      <c r="AE141" s="102">
        <f t="shared" si="132"/>
        <v>238</v>
      </c>
      <c r="AF141" s="102">
        <f t="shared" si="155"/>
        <v>653</v>
      </c>
      <c r="AG141" s="102">
        <f t="shared" si="156"/>
        <v>907</v>
      </c>
      <c r="AH141" s="102">
        <f t="shared" si="157"/>
        <v>1025</v>
      </c>
      <c r="AI141" s="102">
        <f t="shared" si="158"/>
        <v>1092</v>
      </c>
      <c r="AJ141" s="102">
        <f t="shared" si="159"/>
        <v>1129</v>
      </c>
      <c r="AK141" s="102">
        <f t="shared" si="160"/>
        <v>1065</v>
      </c>
      <c r="AL141" s="102">
        <f>VLOOKUP($AE141,Usinas!$B$3:$F$241,5,FALSE)</f>
        <v>1</v>
      </c>
      <c r="AM141" s="102" t="str">
        <f>VLOOKUP($AE141,Usinas!$B$3:$H$241,7,FALSE)</f>
        <v>SUDESTE</v>
      </c>
      <c r="AN141" s="102" t="str">
        <f>VLOOKUP($AE141,Usinas!$B$3:$D$241,3,FALSE)</f>
        <v>TIETÊ</v>
      </c>
      <c r="AP141" s="103">
        <v>121</v>
      </c>
      <c r="AQ141" s="103" t="str">
        <f>IF(BA141=1,VLOOKUP($AP141,Usinas!$B$3:$F$244,2,0),"")</f>
        <v>PARAIBUNA</v>
      </c>
      <c r="AR141" s="103" t="str">
        <f>IF(BA141=1,VLOOKUP($AP141,Usinas!$B$3:$F$241,3,0),"")</f>
        <v>PARAÍBA DO SUL</v>
      </c>
      <c r="AS141" s="103" t="str">
        <f>IF(BA141,VLOOKUP($AP141,Usinas!$B$3:$F$244,4,0),"")</f>
        <v>SUDESTE</v>
      </c>
      <c r="AT141" s="103">
        <f t="shared" si="146"/>
        <v>0.70069999999999999</v>
      </c>
      <c r="AU141" s="104">
        <f t="shared" ref="AU141:AZ150" si="172">IF($BA141=1,IFERROR(VLOOKUP($AP141,$AE$21:$AK$211,AU$19,0),VLOOKUP($AP141,$BE$21:$BK$65,AU$19,0))*$AT141,"")</f>
        <v>71.471400000000003</v>
      </c>
      <c r="AV141" s="104">
        <f t="shared" si="172"/>
        <v>79.179100000000005</v>
      </c>
      <c r="AW141" s="104">
        <f t="shared" si="172"/>
        <v>88.988900000000001</v>
      </c>
      <c r="AX141" s="104">
        <f t="shared" si="172"/>
        <v>80.580500000000001</v>
      </c>
      <c r="AY141" s="104">
        <f t="shared" si="172"/>
        <v>88.988900000000001</v>
      </c>
      <c r="AZ141" s="104">
        <f t="shared" si="172"/>
        <v>84.084000000000003</v>
      </c>
      <c r="BA141" s="103">
        <f t="shared" si="147"/>
        <v>1</v>
      </c>
      <c r="BB141" s="103">
        <f t="shared" si="148"/>
        <v>0</v>
      </c>
      <c r="BC141" s="103" t="str">
        <f>IF(BA141=1,VLOOKUP($AP141,Usinas!$B$3:$H$244,7,0),"")</f>
        <v>SUDESTE</v>
      </c>
      <c r="BM141" s="105">
        <f t="shared" si="161"/>
        <v>123</v>
      </c>
      <c r="BN141" s="105">
        <f t="shared" si="162"/>
        <v>238</v>
      </c>
      <c r="BO141" s="151">
        <f>IF($BP$15=1,IFERROR(VLOOKUP(BN141,$BZ$20:CA304,2,0),0),VALUE(RIGHT(LEFT($B150,21),10)))</f>
        <v>479</v>
      </c>
      <c r="BP141" s="105">
        <f t="shared" si="163"/>
        <v>665</v>
      </c>
      <c r="BQ141" s="105">
        <f t="shared" si="164"/>
        <v>752</v>
      </c>
      <c r="BR141" s="105">
        <f t="shared" si="165"/>
        <v>801</v>
      </c>
      <c r="BS141" s="105">
        <f t="shared" si="166"/>
        <v>828</v>
      </c>
      <c r="BT141" s="105">
        <f t="shared" si="167"/>
        <v>781</v>
      </c>
      <c r="BU141" s="85"/>
      <c r="BV141" s="97" t="s">
        <v>331</v>
      </c>
      <c r="BW141" s="98">
        <f t="shared" si="169"/>
        <v>160</v>
      </c>
      <c r="BX141" s="97" t="str">
        <f t="shared" si="149"/>
        <v>PST 158</v>
      </c>
      <c r="BZ141" s="147">
        <v>141</v>
      </c>
      <c r="CA141" s="148">
        <v>187</v>
      </c>
      <c r="CB141" s="87"/>
      <c r="CC141" s="87"/>
      <c r="CF141" s="110"/>
      <c r="CG141" s="111"/>
      <c r="CH141" s="87"/>
      <c r="CI141" s="87"/>
      <c r="CJ141" s="87"/>
      <c r="CK141" s="87"/>
      <c r="CL141" s="87"/>
      <c r="CM141" s="87"/>
    </row>
    <row r="142" spans="2:91" ht="15.6" x14ac:dyDescent="0.3">
      <c r="B142" s="99" t="s">
        <v>802</v>
      </c>
      <c r="C142" s="99"/>
      <c r="D142" s="99"/>
      <c r="E142" s="99"/>
      <c r="F142" s="99"/>
      <c r="G142" s="99"/>
      <c r="H142" s="99"/>
      <c r="I142" s="43"/>
      <c r="J142" s="99" t="str">
        <f t="shared" si="170"/>
        <v xml:space="preserve">   115  217       607       636       709       736       735       663</v>
      </c>
      <c r="T142" s="42"/>
      <c r="U142" s="135"/>
      <c r="V142" s="191"/>
      <c r="W142" s="187">
        <v>270</v>
      </c>
      <c r="X142" s="187">
        <v>1.0404</v>
      </c>
      <c r="Z142" s="101">
        <v>122</v>
      </c>
      <c r="AA142" s="101">
        <v>1</v>
      </c>
      <c r="AB142" s="101">
        <v>0.3679</v>
      </c>
      <c r="AD142" s="102">
        <f t="shared" si="132"/>
        <v>124</v>
      </c>
      <c r="AE142" s="102">
        <f t="shared" si="132"/>
        <v>239</v>
      </c>
      <c r="AF142" s="102">
        <f t="shared" si="155"/>
        <v>755</v>
      </c>
      <c r="AG142" s="102">
        <f t="shared" si="156"/>
        <v>1034</v>
      </c>
      <c r="AH142" s="102">
        <f t="shared" si="157"/>
        <v>1204</v>
      </c>
      <c r="AI142" s="102">
        <f t="shared" si="158"/>
        <v>1248</v>
      </c>
      <c r="AJ142" s="102">
        <f t="shared" si="159"/>
        <v>1304</v>
      </c>
      <c r="AK142" s="102">
        <f t="shared" si="160"/>
        <v>1241</v>
      </c>
      <c r="AL142" s="102">
        <f>VLOOKUP($AE142,Usinas!$B$3:$F$241,5,FALSE)</f>
        <v>1</v>
      </c>
      <c r="AM142" s="102" t="str">
        <f>VLOOKUP($AE142,Usinas!$B$3:$H$241,7,FALSE)</f>
        <v>SUDESTE</v>
      </c>
      <c r="AN142" s="102" t="str">
        <f>VLOOKUP($AE142,Usinas!$B$3:$D$241,3,FALSE)</f>
        <v>TIETÊ</v>
      </c>
      <c r="AP142" s="103">
        <v>122</v>
      </c>
      <c r="AQ142" s="103" t="str">
        <f>IF(BA142=1,VLOOKUP($AP142,Usinas!$B$3:$F$244,2,0),"")</f>
        <v>SANTA BRANCA</v>
      </c>
      <c r="AR142" s="103" t="str">
        <f>IF(BA142=1,VLOOKUP($AP142,Usinas!$B$3:$F$241,3,0),"")</f>
        <v>PARAÍBA DO SUL</v>
      </c>
      <c r="AS142" s="103" t="str">
        <f>IF(BA142,VLOOKUP($AP142,Usinas!$B$3:$F$244,4,0),"")</f>
        <v>SUDESTE</v>
      </c>
      <c r="AT142" s="103">
        <f t="shared" si="146"/>
        <v>0.3679</v>
      </c>
      <c r="AU142" s="104">
        <f t="shared" si="172"/>
        <v>43.0443</v>
      </c>
      <c r="AV142" s="104">
        <f t="shared" si="172"/>
        <v>47.826999999999998</v>
      </c>
      <c r="AW142" s="104">
        <f t="shared" si="172"/>
        <v>53.345500000000001</v>
      </c>
      <c r="AX142" s="104">
        <f t="shared" si="172"/>
        <v>48.562800000000003</v>
      </c>
      <c r="AY142" s="104">
        <f t="shared" si="172"/>
        <v>53.7134</v>
      </c>
      <c r="AZ142" s="104">
        <f t="shared" si="172"/>
        <v>50.770200000000003</v>
      </c>
      <c r="BA142" s="103">
        <f t="shared" si="147"/>
        <v>1</v>
      </c>
      <c r="BB142" s="103">
        <f t="shared" si="148"/>
        <v>0</v>
      </c>
      <c r="BC142" s="103" t="str">
        <f>IF(BA142=1,VLOOKUP($AP142,Usinas!$B$3:$H$244,7,0),"")</f>
        <v>SUDESTE</v>
      </c>
      <c r="BM142" s="105">
        <f t="shared" si="161"/>
        <v>124</v>
      </c>
      <c r="BN142" s="105">
        <f t="shared" si="162"/>
        <v>239</v>
      </c>
      <c r="BO142" s="151">
        <f>IF($BP$15=1,IFERROR(VLOOKUP(BN142,$BZ$20:CA305,2,0),0),VALUE(RIGHT(LEFT($B151,21),10)))</f>
        <v>554</v>
      </c>
      <c r="BP142" s="105">
        <f t="shared" si="163"/>
        <v>758</v>
      </c>
      <c r="BQ142" s="105">
        <f t="shared" si="164"/>
        <v>883</v>
      </c>
      <c r="BR142" s="105">
        <f t="shared" si="165"/>
        <v>915</v>
      </c>
      <c r="BS142" s="105">
        <f t="shared" si="166"/>
        <v>956</v>
      </c>
      <c r="BT142" s="105">
        <f t="shared" si="167"/>
        <v>910</v>
      </c>
      <c r="BU142" s="85"/>
      <c r="BV142" s="97" t="s">
        <v>331</v>
      </c>
      <c r="BW142" s="98">
        <f t="shared" si="169"/>
        <v>161</v>
      </c>
      <c r="BX142" s="97" t="str">
        <f t="shared" si="149"/>
        <v>PST 160</v>
      </c>
      <c r="BZ142" s="147">
        <v>148</v>
      </c>
      <c r="CA142" s="148">
        <v>260</v>
      </c>
      <c r="CB142" s="87"/>
      <c r="CC142" s="87"/>
      <c r="CF142" s="110"/>
      <c r="CG142" s="111"/>
      <c r="CH142" s="87"/>
      <c r="CI142" s="87"/>
      <c r="CJ142" s="87"/>
      <c r="CK142" s="87"/>
      <c r="CL142" s="87"/>
      <c r="CM142" s="87"/>
    </row>
    <row r="143" spans="2:91" ht="15.6" x14ac:dyDescent="0.3">
      <c r="B143" s="99" t="s">
        <v>803</v>
      </c>
      <c r="C143" s="99"/>
      <c r="D143" s="99"/>
      <c r="E143" s="99"/>
      <c r="F143" s="99"/>
      <c r="G143" s="99"/>
      <c r="H143" s="99"/>
      <c r="I143" s="43"/>
      <c r="J143" s="99" t="str">
        <f t="shared" si="170"/>
        <v xml:space="preserve">   116  220        87        90        84        71        68        68</v>
      </c>
      <c r="T143" s="42"/>
      <c r="U143" s="135"/>
      <c r="V143" s="191"/>
      <c r="W143" s="187">
        <v>271</v>
      </c>
      <c r="X143" s="187">
        <v>0.21099999999999999</v>
      </c>
      <c r="Z143" s="101">
        <v>123</v>
      </c>
      <c r="AA143" s="101">
        <v>1</v>
      </c>
      <c r="AB143" s="101">
        <v>0.5575</v>
      </c>
      <c r="AD143" s="102">
        <f t="shared" si="132"/>
        <v>125</v>
      </c>
      <c r="AE143" s="102">
        <f t="shared" si="132"/>
        <v>240</v>
      </c>
      <c r="AF143" s="102">
        <f t="shared" si="155"/>
        <v>802</v>
      </c>
      <c r="AG143" s="102">
        <f t="shared" si="156"/>
        <v>1110</v>
      </c>
      <c r="AH143" s="102">
        <f t="shared" si="157"/>
        <v>1274</v>
      </c>
      <c r="AI143" s="102">
        <f t="shared" si="158"/>
        <v>1373</v>
      </c>
      <c r="AJ143" s="102">
        <f t="shared" si="159"/>
        <v>1420</v>
      </c>
      <c r="AK143" s="102">
        <f t="shared" si="160"/>
        <v>1433</v>
      </c>
      <c r="AL143" s="102">
        <f>VLOOKUP($AE143,Usinas!$B$3:$F$241,5,FALSE)</f>
        <v>1</v>
      </c>
      <c r="AM143" s="102" t="str">
        <f>VLOOKUP($AE143,Usinas!$B$3:$H$241,7,FALSE)</f>
        <v>SUDESTE</v>
      </c>
      <c r="AN143" s="102" t="str">
        <f>VLOOKUP($AE143,Usinas!$B$3:$D$241,3,FALSE)</f>
        <v>TIETÊ</v>
      </c>
      <c r="AP143" s="103">
        <v>123</v>
      </c>
      <c r="AQ143" s="103" t="str">
        <f>IF(BA143=1,VLOOKUP($AP143,Usinas!$B$3:$F$244,2,0),"")</f>
        <v>FUNIL</v>
      </c>
      <c r="AR143" s="103" t="str">
        <f>IF(BA143=1,VLOOKUP($AP143,Usinas!$B$3:$F$241,3,0),"")</f>
        <v>PARAÍBA DO SUL</v>
      </c>
      <c r="AS143" s="103" t="str">
        <f>IF(BA143,VLOOKUP($AP143,Usinas!$B$3:$F$244,4,0),"")</f>
        <v>SUDESTE</v>
      </c>
      <c r="AT143" s="103">
        <f t="shared" si="146"/>
        <v>0.5575</v>
      </c>
      <c r="AU143" s="104">
        <f t="shared" si="172"/>
        <v>192.89500000000001</v>
      </c>
      <c r="AV143" s="104">
        <f t="shared" si="172"/>
        <v>226.345</v>
      </c>
      <c r="AW143" s="104">
        <f t="shared" si="172"/>
        <v>250.3175</v>
      </c>
      <c r="AX143" s="104">
        <f t="shared" si="172"/>
        <v>250.875</v>
      </c>
      <c r="AY143" s="104">
        <f t="shared" si="172"/>
        <v>240.84</v>
      </c>
      <c r="AZ143" s="104">
        <f t="shared" si="172"/>
        <v>240.2825</v>
      </c>
      <c r="BA143" s="103">
        <f t="shared" si="147"/>
        <v>1</v>
      </c>
      <c r="BB143" s="103">
        <f t="shared" si="148"/>
        <v>0</v>
      </c>
      <c r="BC143" s="103" t="str">
        <f>IF(BA143=1,VLOOKUP($AP143,Usinas!$B$3:$H$244,7,0),"")</f>
        <v>SUDESTE</v>
      </c>
      <c r="BM143" s="105">
        <f t="shared" si="161"/>
        <v>125</v>
      </c>
      <c r="BN143" s="105">
        <f t="shared" si="162"/>
        <v>240</v>
      </c>
      <c r="BO143" s="151">
        <f>IF($BP$15=1,IFERROR(VLOOKUP(BN143,$BZ$20:CA306,2,0),0),VALUE(RIGHT(LEFT($B152,21),10)))</f>
        <v>588</v>
      </c>
      <c r="BP143" s="105">
        <f t="shared" si="163"/>
        <v>814</v>
      </c>
      <c r="BQ143" s="105">
        <f t="shared" si="164"/>
        <v>934</v>
      </c>
      <c r="BR143" s="105">
        <f t="shared" si="165"/>
        <v>1007</v>
      </c>
      <c r="BS143" s="105">
        <f t="shared" si="166"/>
        <v>1041</v>
      </c>
      <c r="BT143" s="105">
        <f t="shared" si="167"/>
        <v>1051</v>
      </c>
      <c r="BU143" s="85"/>
      <c r="BV143" s="97" t="s">
        <v>331</v>
      </c>
      <c r="BW143" s="98">
        <f t="shared" si="169"/>
        <v>166</v>
      </c>
      <c r="BX143" s="97" t="str">
        <f t="shared" si="149"/>
        <v>PST 161</v>
      </c>
      <c r="BZ143" s="147">
        <v>144</v>
      </c>
      <c r="CA143" s="148">
        <v>296</v>
      </c>
      <c r="CB143" s="87"/>
      <c r="CC143" s="87"/>
      <c r="CF143" s="110"/>
      <c r="CG143" s="111"/>
      <c r="CH143" s="87"/>
      <c r="CI143" s="87"/>
      <c r="CJ143" s="87"/>
      <c r="CK143" s="87"/>
      <c r="CL143" s="87"/>
      <c r="CM143" s="87"/>
    </row>
    <row r="144" spans="2:91" ht="15.6" x14ac:dyDescent="0.3">
      <c r="B144" s="99" t="s">
        <v>804</v>
      </c>
      <c r="C144" s="99"/>
      <c r="D144" s="99"/>
      <c r="E144" s="99"/>
      <c r="F144" s="99"/>
      <c r="G144" s="99"/>
      <c r="H144" s="99"/>
      <c r="I144" s="43"/>
      <c r="J144" s="99" t="str">
        <f t="shared" si="170"/>
        <v xml:space="preserve">   117  222      1199      1277      1358      1338      1270      1211</v>
      </c>
      <c r="T144" s="42"/>
      <c r="U144" s="135"/>
      <c r="V144" s="191"/>
      <c r="W144" s="187">
        <v>273</v>
      </c>
      <c r="X144" s="187">
        <v>0.33150000000000002</v>
      </c>
      <c r="Z144" s="101">
        <v>124</v>
      </c>
      <c r="AA144" s="101">
        <v>0</v>
      </c>
      <c r="AB144" s="101">
        <v>0</v>
      </c>
      <c r="AD144" s="102">
        <f t="shared" si="132"/>
        <v>126</v>
      </c>
      <c r="AE144" s="102">
        <f t="shared" si="132"/>
        <v>241</v>
      </c>
      <c r="AF144" s="102">
        <f t="shared" si="155"/>
        <v>243</v>
      </c>
      <c r="AG144" s="102">
        <f t="shared" si="156"/>
        <v>250</v>
      </c>
      <c r="AH144" s="102">
        <f t="shared" si="157"/>
        <v>274</v>
      </c>
      <c r="AI144" s="102">
        <f t="shared" si="158"/>
        <v>270</v>
      </c>
      <c r="AJ144" s="102">
        <f t="shared" si="159"/>
        <v>271</v>
      </c>
      <c r="AK144" s="102">
        <f t="shared" si="160"/>
        <v>269</v>
      </c>
      <c r="AL144" s="102">
        <f>VLOOKUP($AE144,Usinas!$B$3:$F$241,5,FALSE)</f>
        <v>1</v>
      </c>
      <c r="AM144" s="102" t="str">
        <f>VLOOKUP($AE144,Usinas!$B$3:$H$241,7,FALSE)</f>
        <v>PARANA</v>
      </c>
      <c r="AN144" s="102" t="str">
        <f>VLOOKUP($AE144,Usinas!$B$3:$D$241,3,FALSE)</f>
        <v>PARANAÍBA</v>
      </c>
      <c r="AP144" s="103">
        <v>124</v>
      </c>
      <c r="AQ144" s="103" t="str">
        <f>IF(BA144=1,VLOOKUP($AP144,Usinas!$B$3:$F$244,2,0),"")</f>
        <v/>
      </c>
      <c r="AR144" s="103" t="str">
        <f>IF(BA144=1,VLOOKUP($AP144,Usinas!$B$3:$F$241,3,0),"")</f>
        <v/>
      </c>
      <c r="AS144" s="103" t="str">
        <f>IF(BA144,VLOOKUP($AP144,Usinas!$B$3:$F$244,4,0),"")</f>
        <v/>
      </c>
      <c r="AT144" s="103" t="str">
        <f t="shared" si="146"/>
        <v/>
      </c>
      <c r="AU144" s="104" t="str">
        <f t="shared" si="172"/>
        <v/>
      </c>
      <c r="AV144" s="104" t="str">
        <f t="shared" si="172"/>
        <v/>
      </c>
      <c r="AW144" s="104" t="str">
        <f t="shared" si="172"/>
        <v/>
      </c>
      <c r="AX144" s="104" t="str">
        <f t="shared" si="172"/>
        <v/>
      </c>
      <c r="AY144" s="104" t="str">
        <f t="shared" si="172"/>
        <v/>
      </c>
      <c r="AZ144" s="104" t="str">
        <f t="shared" si="172"/>
        <v/>
      </c>
      <c r="BA144" s="103">
        <f t="shared" si="147"/>
        <v>0</v>
      </c>
      <c r="BB144" s="103">
        <f t="shared" si="148"/>
        <v>0</v>
      </c>
      <c r="BC144" s="103" t="str">
        <f>IF(BA144=1,VLOOKUP($AP144,Usinas!$B$3:$H$244,7,0),"")</f>
        <v/>
      </c>
      <c r="BM144" s="105">
        <f t="shared" si="161"/>
        <v>126</v>
      </c>
      <c r="BN144" s="105">
        <f t="shared" si="162"/>
        <v>241</v>
      </c>
      <c r="BO144" s="151">
        <f>IF($BP$15=1,IFERROR(VLOOKUP(BN144,$BZ$20:CA307,2,0),0),VALUE(RIGHT(LEFT($B153,21),10)))</f>
        <v>178</v>
      </c>
      <c r="BP144" s="105">
        <f t="shared" si="163"/>
        <v>183</v>
      </c>
      <c r="BQ144" s="105">
        <f t="shared" si="164"/>
        <v>201</v>
      </c>
      <c r="BR144" s="105">
        <f t="shared" si="165"/>
        <v>198</v>
      </c>
      <c r="BS144" s="105">
        <f t="shared" si="166"/>
        <v>199</v>
      </c>
      <c r="BT144" s="105">
        <f t="shared" si="167"/>
        <v>197</v>
      </c>
      <c r="BU144" s="85"/>
      <c r="BV144" s="97" t="s">
        <v>331</v>
      </c>
      <c r="BW144" s="98">
        <f t="shared" si="169"/>
        <v>168</v>
      </c>
      <c r="BX144" s="97" t="str">
        <f t="shared" si="149"/>
        <v>PST 166</v>
      </c>
      <c r="BZ144" s="147">
        <v>196</v>
      </c>
      <c r="CA144" s="148">
        <v>17</v>
      </c>
      <c r="CB144" s="87"/>
      <c r="CC144" s="87"/>
      <c r="CF144" s="110"/>
      <c r="CG144" s="111"/>
      <c r="CH144" s="87"/>
      <c r="CI144" s="87"/>
      <c r="CJ144" s="87"/>
      <c r="CK144" s="87"/>
      <c r="CL144" s="87"/>
      <c r="CM144" s="87"/>
    </row>
    <row r="145" spans="2:91" ht="15.6" x14ac:dyDescent="0.3">
      <c r="B145" s="99" t="s">
        <v>805</v>
      </c>
      <c r="C145" s="99"/>
      <c r="D145" s="99"/>
      <c r="E145" s="99"/>
      <c r="F145" s="99"/>
      <c r="G145" s="99"/>
      <c r="H145" s="99"/>
      <c r="I145" s="43"/>
      <c r="J145" s="99" t="str">
        <f t="shared" si="170"/>
        <v xml:space="preserve">   118  227      1313      1385      1505      1550      1549      1619</v>
      </c>
      <c r="T145" s="42"/>
      <c r="U145" s="135"/>
      <c r="V145" s="191"/>
      <c r="W145" s="187">
        <v>275</v>
      </c>
      <c r="X145" s="187">
        <v>0.54959999999999998</v>
      </c>
      <c r="Z145" s="101">
        <v>125</v>
      </c>
      <c r="AA145" s="101">
        <v>0</v>
      </c>
      <c r="AB145" s="101">
        <v>0</v>
      </c>
      <c r="AD145" s="102">
        <f t="shared" si="132"/>
        <v>127</v>
      </c>
      <c r="AE145" s="102">
        <f t="shared" si="132"/>
        <v>242</v>
      </c>
      <c r="AF145" s="102">
        <f t="shared" si="155"/>
        <v>818</v>
      </c>
      <c r="AG145" s="102">
        <f t="shared" si="156"/>
        <v>1130</v>
      </c>
      <c r="AH145" s="102">
        <f t="shared" si="157"/>
        <v>1298</v>
      </c>
      <c r="AI145" s="102">
        <f t="shared" si="158"/>
        <v>1428</v>
      </c>
      <c r="AJ145" s="102">
        <f t="shared" si="159"/>
        <v>1459</v>
      </c>
      <c r="AK145" s="102">
        <f t="shared" si="160"/>
        <v>1512</v>
      </c>
      <c r="AL145" s="102">
        <f>VLOOKUP($AE145,Usinas!$B$3:$F$241,5,FALSE)</f>
        <v>1</v>
      </c>
      <c r="AM145" s="102" t="str">
        <f>VLOOKUP($AE145,Usinas!$B$3:$H$241,7,FALSE)</f>
        <v>SUDESTE</v>
      </c>
      <c r="AN145" s="102" t="str">
        <f>VLOOKUP($AE145,Usinas!$B$3:$D$241,3,FALSE)</f>
        <v>TIETÊ</v>
      </c>
      <c r="AP145" s="103">
        <v>125</v>
      </c>
      <c r="AQ145" s="103" t="str">
        <f>IF(BA145=1,VLOOKUP($AP145,Usinas!$B$3:$F$244,2,0),"")</f>
        <v/>
      </c>
      <c r="AR145" s="103" t="str">
        <f>IF(BA145=1,VLOOKUP($AP145,Usinas!$B$3:$F$241,3,0),"")</f>
        <v/>
      </c>
      <c r="AS145" s="103" t="str">
        <f>IF(BA145,VLOOKUP($AP145,Usinas!$B$3:$F$244,4,0),"")</f>
        <v/>
      </c>
      <c r="AT145" s="103" t="str">
        <f t="shared" si="146"/>
        <v/>
      </c>
      <c r="AU145" s="104" t="str">
        <f t="shared" si="172"/>
        <v/>
      </c>
      <c r="AV145" s="104" t="str">
        <f t="shared" si="172"/>
        <v/>
      </c>
      <c r="AW145" s="104" t="str">
        <f t="shared" si="172"/>
        <v/>
      </c>
      <c r="AX145" s="104" t="str">
        <f t="shared" si="172"/>
        <v/>
      </c>
      <c r="AY145" s="104" t="str">
        <f t="shared" si="172"/>
        <v/>
      </c>
      <c r="AZ145" s="104" t="str">
        <f t="shared" si="172"/>
        <v/>
      </c>
      <c r="BA145" s="103">
        <f t="shared" si="147"/>
        <v>0</v>
      </c>
      <c r="BB145" s="103">
        <f t="shared" si="148"/>
        <v>0</v>
      </c>
      <c r="BC145" s="103" t="str">
        <f>IF(BA145=1,VLOOKUP($AP145,Usinas!$B$3:$H$244,7,0),"")</f>
        <v/>
      </c>
      <c r="BM145" s="105">
        <f t="shared" si="161"/>
        <v>127</v>
      </c>
      <c r="BN145" s="105">
        <f t="shared" si="162"/>
        <v>242</v>
      </c>
      <c r="BO145" s="151">
        <f>IF($BP$15=1,IFERROR(VLOOKUP(BN145,$BZ$20:CA308,2,0),0),VALUE(RIGHT(LEFT($B154,21),10)))</f>
        <v>600</v>
      </c>
      <c r="BP145" s="105">
        <f t="shared" si="163"/>
        <v>829</v>
      </c>
      <c r="BQ145" s="105">
        <f t="shared" si="164"/>
        <v>952</v>
      </c>
      <c r="BR145" s="105">
        <f t="shared" si="165"/>
        <v>1047</v>
      </c>
      <c r="BS145" s="105">
        <f t="shared" si="166"/>
        <v>1070</v>
      </c>
      <c r="BT145" s="105">
        <f t="shared" si="167"/>
        <v>1109</v>
      </c>
      <c r="BU145" s="85"/>
      <c r="BV145" s="97" t="s">
        <v>331</v>
      </c>
      <c r="BW145" s="98">
        <f t="shared" si="169"/>
        <v>169</v>
      </c>
      <c r="BX145" s="97" t="str">
        <f t="shared" si="149"/>
        <v>PST 168</v>
      </c>
      <c r="BZ145" s="147">
        <v>283</v>
      </c>
      <c r="CA145" s="148">
        <v>23</v>
      </c>
      <c r="CB145" s="87"/>
      <c r="CC145" s="87"/>
      <c r="CF145" s="110"/>
      <c r="CG145" s="111"/>
      <c r="CH145" s="87"/>
      <c r="CI145" s="87"/>
      <c r="CJ145" s="87"/>
      <c r="CK145" s="87"/>
      <c r="CL145" s="87"/>
      <c r="CM145" s="87"/>
    </row>
    <row r="146" spans="2:91" ht="15.6" x14ac:dyDescent="0.3">
      <c r="B146" s="99" t="s">
        <v>869</v>
      </c>
      <c r="C146" s="99"/>
      <c r="D146" s="99"/>
      <c r="E146" s="99"/>
      <c r="F146" s="99"/>
      <c r="G146" s="99"/>
      <c r="H146" s="99"/>
      <c r="I146" s="43"/>
      <c r="J146" s="99" t="str">
        <f t="shared" si="170"/>
        <v xml:space="preserve">   119  228      1145      1205      1306      1355      1351      1409</v>
      </c>
      <c r="T146" s="42"/>
      <c r="U146" s="135"/>
      <c r="V146" s="191"/>
      <c r="W146" s="187">
        <v>277</v>
      </c>
      <c r="X146" s="187">
        <v>0.16789999999999999</v>
      </c>
      <c r="Z146" s="101">
        <v>126</v>
      </c>
      <c r="AA146" s="101">
        <v>1</v>
      </c>
      <c r="AB146" s="101">
        <v>0.97619999999999996</v>
      </c>
      <c r="AD146" s="102">
        <f t="shared" si="132"/>
        <v>128</v>
      </c>
      <c r="AE146" s="102">
        <f t="shared" si="132"/>
        <v>243</v>
      </c>
      <c r="AF146" s="102">
        <f t="shared" si="155"/>
        <v>821</v>
      </c>
      <c r="AG146" s="102">
        <f t="shared" si="156"/>
        <v>1094</v>
      </c>
      <c r="AH146" s="102">
        <f t="shared" si="157"/>
        <v>1278</v>
      </c>
      <c r="AI146" s="102">
        <f t="shared" si="158"/>
        <v>1505</v>
      </c>
      <c r="AJ146" s="102">
        <f t="shared" si="159"/>
        <v>1456</v>
      </c>
      <c r="AK146" s="102">
        <f t="shared" si="160"/>
        <v>1636</v>
      </c>
      <c r="AL146" s="102">
        <f>VLOOKUP($AE146,Usinas!$B$3:$F$241,5,FALSE)</f>
        <v>1</v>
      </c>
      <c r="AM146" s="102" t="str">
        <f>VLOOKUP($AE146,Usinas!$B$3:$H$241,7,FALSE)</f>
        <v>SUDESTE</v>
      </c>
      <c r="AN146" s="102" t="str">
        <f>VLOOKUP($AE146,Usinas!$B$3:$D$241,3,FALSE)</f>
        <v>TIETÊ</v>
      </c>
      <c r="AP146" s="103">
        <v>126</v>
      </c>
      <c r="AQ146" s="103" t="str">
        <f>IF(BA146=1,VLOOKUP($AP146,Usinas!$B$3:$F$244,2,0),"")</f>
        <v>SIMPLÍCIO ART.</v>
      </c>
      <c r="AR146" s="103" t="str">
        <f>IF(BA146=1,VLOOKUP($AP146,Usinas!$B$3:$F$241,3,0),"")</f>
        <v>PARAÍBA DO SUL</v>
      </c>
      <c r="AS146" s="103" t="str">
        <f>IF(BA146,VLOOKUP($AP146,Usinas!$B$3:$F$244,4,0),"")</f>
        <v>SUDESTE</v>
      </c>
      <c r="AT146" s="103">
        <f t="shared" si="146"/>
        <v>0.97619999999999996</v>
      </c>
      <c r="AU146" s="104">
        <f t="shared" si="172"/>
        <v>331.90799999999996</v>
      </c>
      <c r="AV146" s="104">
        <f t="shared" si="172"/>
        <v>331.90799999999996</v>
      </c>
      <c r="AW146" s="104">
        <f t="shared" si="172"/>
        <v>331.90799999999996</v>
      </c>
      <c r="AX146" s="104">
        <f t="shared" si="172"/>
        <v>331.90799999999996</v>
      </c>
      <c r="AY146" s="104">
        <f t="shared" si="172"/>
        <v>331.90799999999996</v>
      </c>
      <c r="AZ146" s="104">
        <f t="shared" si="172"/>
        <v>331.90799999999996</v>
      </c>
      <c r="BA146" s="103">
        <f t="shared" si="147"/>
        <v>1</v>
      </c>
      <c r="BB146" s="103">
        <f t="shared" si="148"/>
        <v>0</v>
      </c>
      <c r="BC146" s="103" t="str">
        <f>IF(BA146=1,VLOOKUP($AP146,Usinas!$B$3:$H$244,7,0),"")</f>
        <v>SUDESTE</v>
      </c>
      <c r="BM146" s="105">
        <f t="shared" si="161"/>
        <v>128</v>
      </c>
      <c r="BN146" s="105">
        <f t="shared" si="162"/>
        <v>243</v>
      </c>
      <c r="BO146" s="151">
        <f>IF($BP$15=1,IFERROR(VLOOKUP(BN146,$BZ$20:CA309,2,0),0),VALUE(RIGHT(LEFT($B155,21),10)))</f>
        <v>602</v>
      </c>
      <c r="BP146" s="105">
        <f t="shared" si="163"/>
        <v>802</v>
      </c>
      <c r="BQ146" s="105">
        <f t="shared" si="164"/>
        <v>937</v>
      </c>
      <c r="BR146" s="105">
        <f t="shared" si="165"/>
        <v>1104</v>
      </c>
      <c r="BS146" s="105">
        <f t="shared" si="166"/>
        <v>1068</v>
      </c>
      <c r="BT146" s="105">
        <f t="shared" si="167"/>
        <v>1200</v>
      </c>
      <c r="BU146" s="85"/>
      <c r="BV146" s="97" t="s">
        <v>331</v>
      </c>
      <c r="BW146" s="98">
        <f t="shared" si="169"/>
        <v>171</v>
      </c>
      <c r="BX146" s="97" t="str">
        <f t="shared" si="149"/>
        <v>PST 169</v>
      </c>
      <c r="BZ146" s="147">
        <v>255</v>
      </c>
      <c r="CA146" s="148">
        <v>16</v>
      </c>
      <c r="CB146" s="87"/>
      <c r="CC146" s="87"/>
      <c r="CF146" s="110"/>
      <c r="CG146" s="111"/>
      <c r="CH146" s="87"/>
      <c r="CI146" s="87"/>
      <c r="CJ146" s="87"/>
      <c r="CK146" s="87"/>
      <c r="CL146" s="87"/>
      <c r="CM146" s="87"/>
    </row>
    <row r="147" spans="2:91" ht="15.6" x14ac:dyDescent="0.3">
      <c r="B147" s="99" t="s">
        <v>806</v>
      </c>
      <c r="C147" s="99"/>
      <c r="D147" s="99"/>
      <c r="E147" s="99"/>
      <c r="F147" s="99"/>
      <c r="G147" s="99"/>
      <c r="H147" s="99"/>
      <c r="I147" s="43"/>
      <c r="J147" s="99" t="str">
        <f t="shared" si="170"/>
        <v xml:space="preserve">   120  229      4339      4557      4864      5094      5251      5438</v>
      </c>
      <c r="T147" s="42"/>
      <c r="U147" s="135"/>
      <c r="V147" s="191"/>
      <c r="W147" s="187">
        <v>278</v>
      </c>
      <c r="X147" s="187">
        <v>0.50800000000000001</v>
      </c>
      <c r="Z147" s="101">
        <v>127</v>
      </c>
      <c r="AA147" s="101">
        <v>0</v>
      </c>
      <c r="AB147" s="101">
        <v>0</v>
      </c>
      <c r="AD147" s="102">
        <f t="shared" si="132"/>
        <v>129</v>
      </c>
      <c r="AE147" s="102">
        <f t="shared" si="132"/>
        <v>244</v>
      </c>
      <c r="AF147" s="102">
        <f t="shared" si="155"/>
        <v>8082</v>
      </c>
      <c r="AG147" s="102">
        <f t="shared" si="156"/>
        <v>9935</v>
      </c>
      <c r="AH147" s="102">
        <f t="shared" si="157"/>
        <v>11347</v>
      </c>
      <c r="AI147" s="102">
        <f t="shared" si="158"/>
        <v>12002</v>
      </c>
      <c r="AJ147" s="102">
        <f t="shared" si="159"/>
        <v>11994</v>
      </c>
      <c r="AK147" s="102">
        <f t="shared" si="160"/>
        <v>12294</v>
      </c>
      <c r="AL147" s="102">
        <f>VLOOKUP($AE147,Usinas!$B$3:$F$241,5,FALSE)</f>
        <v>1</v>
      </c>
      <c r="AM147" s="102" t="str">
        <f>VLOOKUP($AE147,Usinas!$B$3:$H$241,7,FALSE)</f>
        <v>PARANA</v>
      </c>
      <c r="AN147" s="102" t="str">
        <f>VLOOKUP($AE147,Usinas!$B$3:$D$241,3,FALSE)</f>
        <v>ALTO PARANÁ</v>
      </c>
      <c r="AP147" s="103">
        <v>127</v>
      </c>
      <c r="AQ147" s="103" t="str">
        <f>IF(BA147=1,VLOOKUP($AP147,Usinas!$B$3:$F$244,2,0),"")</f>
        <v/>
      </c>
      <c r="AR147" s="103" t="str">
        <f>IF(BA147=1,VLOOKUP($AP147,Usinas!$B$3:$F$241,3,0),"")</f>
        <v/>
      </c>
      <c r="AS147" s="103" t="str">
        <f>IF(BA147,VLOOKUP($AP147,Usinas!$B$3:$F$244,4,0),"")</f>
        <v/>
      </c>
      <c r="AT147" s="103" t="str">
        <f t="shared" si="146"/>
        <v/>
      </c>
      <c r="AU147" s="104" t="str">
        <f t="shared" si="172"/>
        <v/>
      </c>
      <c r="AV147" s="104" t="str">
        <f t="shared" si="172"/>
        <v/>
      </c>
      <c r="AW147" s="104" t="str">
        <f t="shared" si="172"/>
        <v/>
      </c>
      <c r="AX147" s="104" t="str">
        <f t="shared" si="172"/>
        <v/>
      </c>
      <c r="AY147" s="104" t="str">
        <f t="shared" si="172"/>
        <v/>
      </c>
      <c r="AZ147" s="104" t="str">
        <f t="shared" si="172"/>
        <v/>
      </c>
      <c r="BA147" s="103">
        <f t="shared" si="147"/>
        <v>0</v>
      </c>
      <c r="BB147" s="103">
        <f t="shared" si="148"/>
        <v>0</v>
      </c>
      <c r="BC147" s="103" t="str">
        <f>IF(BA147=1,VLOOKUP($AP147,Usinas!$B$3:$H$244,7,0),"")</f>
        <v/>
      </c>
      <c r="BM147" s="105">
        <f t="shared" si="161"/>
        <v>129</v>
      </c>
      <c r="BN147" s="105">
        <f t="shared" si="162"/>
        <v>244</v>
      </c>
      <c r="BO147" s="151">
        <f>IF($BP$15=1,IFERROR(VLOOKUP(BN147,$BZ$20:CA310,2,0),0),VALUE(RIGHT(LEFT($B156,21),10)))</f>
        <v>5927</v>
      </c>
      <c r="BP147" s="105">
        <f t="shared" si="163"/>
        <v>7286</v>
      </c>
      <c r="BQ147" s="105">
        <f t="shared" si="164"/>
        <v>8321</v>
      </c>
      <c r="BR147" s="105">
        <f t="shared" si="165"/>
        <v>8802</v>
      </c>
      <c r="BS147" s="105">
        <f t="shared" si="166"/>
        <v>8796</v>
      </c>
      <c r="BT147" s="105">
        <f t="shared" si="167"/>
        <v>9016</v>
      </c>
      <c r="BU147" s="85"/>
      <c r="BV147" s="97" t="s">
        <v>331</v>
      </c>
      <c r="BW147" s="98">
        <f t="shared" si="169"/>
        <v>172</v>
      </c>
      <c r="BX147" s="97" t="str">
        <f t="shared" si="149"/>
        <v>PST 171</v>
      </c>
      <c r="BZ147" s="147">
        <v>188</v>
      </c>
      <c r="CA147" s="148">
        <v>50</v>
      </c>
      <c r="CB147" s="87"/>
      <c r="CC147" s="87"/>
      <c r="CF147" s="110"/>
      <c r="CG147" s="111"/>
      <c r="CH147" s="87"/>
      <c r="CI147" s="87"/>
      <c r="CJ147" s="87"/>
      <c r="CK147" s="87"/>
      <c r="CL147" s="87"/>
      <c r="CM147" s="87"/>
    </row>
    <row r="148" spans="2:91" ht="15.6" x14ac:dyDescent="0.3">
      <c r="B148" s="99" t="s">
        <v>807</v>
      </c>
      <c r="C148" s="99"/>
      <c r="D148" s="99"/>
      <c r="E148" s="99"/>
      <c r="F148" s="99"/>
      <c r="G148" s="99"/>
      <c r="H148" s="99"/>
      <c r="I148" s="43"/>
      <c r="J148" s="99" t="str">
        <f t="shared" si="170"/>
        <v xml:space="preserve">   121  230      4358      4572      4886      5116      5276      5465</v>
      </c>
      <c r="T148" s="42"/>
      <c r="U148" s="135"/>
      <c r="V148" s="191"/>
      <c r="W148" s="187">
        <v>279</v>
      </c>
      <c r="X148" s="187">
        <v>0.2762</v>
      </c>
      <c r="Z148" s="101">
        <v>128</v>
      </c>
      <c r="AA148" s="101">
        <v>0</v>
      </c>
      <c r="AB148" s="101">
        <v>0</v>
      </c>
      <c r="AD148" s="102">
        <f t="shared" si="132"/>
        <v>130</v>
      </c>
      <c r="AE148" s="102">
        <f t="shared" si="132"/>
        <v>245</v>
      </c>
      <c r="AF148" s="102">
        <f t="shared" si="155"/>
        <v>7864</v>
      </c>
      <c r="AG148" s="102">
        <f t="shared" si="156"/>
        <v>9537</v>
      </c>
      <c r="AH148" s="102">
        <f t="shared" si="157"/>
        <v>10918</v>
      </c>
      <c r="AI148" s="102">
        <f t="shared" si="158"/>
        <v>11563</v>
      </c>
      <c r="AJ148" s="102">
        <f t="shared" si="159"/>
        <v>11552</v>
      </c>
      <c r="AK148" s="102">
        <f t="shared" si="160"/>
        <v>11846</v>
      </c>
      <c r="AL148" s="102">
        <f>VLOOKUP($AE148,Usinas!$B$3:$F$241,5,FALSE)</f>
        <v>1</v>
      </c>
      <c r="AM148" s="102" t="str">
        <f>VLOOKUP($AE148,Usinas!$B$3:$H$241,7,FALSE)</f>
        <v>ITAIPU</v>
      </c>
      <c r="AN148" s="102" t="str">
        <f>VLOOKUP($AE148,Usinas!$B$3:$D$241,3,FALSE)</f>
        <v>ALTO PARANÁ</v>
      </c>
      <c r="AP148" s="103">
        <v>128</v>
      </c>
      <c r="AQ148" s="103" t="str">
        <f>IF(BA148=1,VLOOKUP($AP148,Usinas!$B$3:$F$244,2,0),"")</f>
        <v/>
      </c>
      <c r="AR148" s="103" t="str">
        <f>IF(BA148=1,VLOOKUP($AP148,Usinas!$B$3:$F$241,3,0),"")</f>
        <v/>
      </c>
      <c r="AS148" s="103" t="str">
        <f>IF(BA148,VLOOKUP($AP148,Usinas!$B$3:$F$244,4,0),"")</f>
        <v/>
      </c>
      <c r="AT148" s="103" t="str">
        <f t="shared" si="146"/>
        <v/>
      </c>
      <c r="AU148" s="104" t="str">
        <f t="shared" si="172"/>
        <v/>
      </c>
      <c r="AV148" s="104" t="str">
        <f t="shared" si="172"/>
        <v/>
      </c>
      <c r="AW148" s="104" t="str">
        <f t="shared" si="172"/>
        <v/>
      </c>
      <c r="AX148" s="104" t="str">
        <f t="shared" si="172"/>
        <v/>
      </c>
      <c r="AY148" s="104" t="str">
        <f t="shared" si="172"/>
        <v/>
      </c>
      <c r="AZ148" s="104" t="str">
        <f t="shared" si="172"/>
        <v/>
      </c>
      <c r="BA148" s="103">
        <f t="shared" si="147"/>
        <v>0</v>
      </c>
      <c r="BB148" s="103">
        <f t="shared" si="148"/>
        <v>0</v>
      </c>
      <c r="BC148" s="103" t="str">
        <f>IF(BA148=1,VLOOKUP($AP148,Usinas!$B$3:$H$244,7,0),"")</f>
        <v/>
      </c>
      <c r="BM148" s="105">
        <f t="shared" si="161"/>
        <v>130</v>
      </c>
      <c r="BN148" s="105">
        <f t="shared" si="162"/>
        <v>245</v>
      </c>
      <c r="BO148" s="151">
        <f>IF($BP$15=1,IFERROR(VLOOKUP(BN148,$BZ$20:CA311,2,0),0),VALUE(RIGHT(LEFT($B157,21),10)))</f>
        <v>5767</v>
      </c>
      <c r="BP148" s="105">
        <f t="shared" si="163"/>
        <v>6994</v>
      </c>
      <c r="BQ148" s="105">
        <f t="shared" si="164"/>
        <v>8007</v>
      </c>
      <c r="BR148" s="105">
        <f t="shared" si="165"/>
        <v>8480</v>
      </c>
      <c r="BS148" s="105">
        <f t="shared" si="166"/>
        <v>8472</v>
      </c>
      <c r="BT148" s="105">
        <f t="shared" si="167"/>
        <v>8687</v>
      </c>
      <c r="BU148" s="85"/>
      <c r="BV148" s="97" t="s">
        <v>331</v>
      </c>
      <c r="BW148" s="98">
        <f t="shared" si="169"/>
        <v>173</v>
      </c>
      <c r="BX148" s="97" t="str">
        <f t="shared" si="149"/>
        <v>PST 172</v>
      </c>
      <c r="BZ148" s="147">
        <v>254</v>
      </c>
      <c r="CA148" s="148">
        <v>5</v>
      </c>
      <c r="CB148" s="87"/>
      <c r="CC148" s="87"/>
      <c r="CF148" s="110"/>
      <c r="CG148" s="111"/>
      <c r="CH148" s="87"/>
      <c r="CI148" s="87"/>
      <c r="CJ148" s="87"/>
      <c r="CK148" s="87"/>
      <c r="CL148" s="87"/>
      <c r="CM148" s="87"/>
    </row>
    <row r="149" spans="2:91" ht="15.6" x14ac:dyDescent="0.3">
      <c r="B149" s="99" t="s">
        <v>808</v>
      </c>
      <c r="C149" s="99"/>
      <c r="D149" s="99"/>
      <c r="E149" s="99"/>
      <c r="F149" s="99"/>
      <c r="G149" s="99"/>
      <c r="H149" s="99"/>
      <c r="I149" s="43"/>
      <c r="J149" s="99" t="str">
        <f t="shared" si="170"/>
        <v xml:space="preserve">   122  237       604       843       938      1012      1043       964</v>
      </c>
      <c r="T149" s="42"/>
      <c r="U149" s="135"/>
      <c r="V149" s="191"/>
      <c r="W149" s="187">
        <v>280</v>
      </c>
      <c r="X149" s="187">
        <v>0.17949999999999999</v>
      </c>
      <c r="Z149" s="101">
        <v>129</v>
      </c>
      <c r="AA149" s="101">
        <v>0</v>
      </c>
      <c r="AB149" s="101">
        <v>0</v>
      </c>
      <c r="AD149" s="102">
        <f t="shared" ref="AD149:AE211" si="173">BM149</f>
        <v>131</v>
      </c>
      <c r="AE149" s="102">
        <f t="shared" si="173"/>
        <v>246</v>
      </c>
      <c r="AF149" s="102">
        <f t="shared" ref="AF149:AF180" si="174">ROUND(BO149*(1+VLOOKUP($AL149,$B$3:$H$6,AF$19,FALSE)+_xlfn.IFNA(VLOOKUP("REE "&amp;$AM149,$B$11:$H$23,AF$19,FALSE),0)+_xlfn.IFNA(VLOOKUP("BCA "&amp;$AN149,$B$11:$H$23,AF$19,0),0)+_xlfn.IFNA(VLOOKUP("PST "&amp;$AE149,$B$11:$H$23,AF$19,0),0)),0)</f>
        <v>8757</v>
      </c>
      <c r="AG149" s="102">
        <f t="shared" ref="AG149:AG180" si="175">ROUND(BP149*(1+VLOOKUP($AL149,$B$3:$H$6,AG$19,FALSE)+_xlfn.IFNA(VLOOKUP("REE "&amp;$AM149,$B$11:$H$23,AG$19,FALSE),0)+_xlfn.IFNA(VLOOKUP("BCA "&amp;$AN149,$B$11:$H$23,AG$19,0),0)+_xlfn.IFNA(VLOOKUP("PST "&amp;$AE149,$B$11:$H$23,AG$19,0),0)),0)</f>
        <v>10039</v>
      </c>
      <c r="AH149" s="102">
        <f t="shared" ref="AH149:AH180" si="176">ROUND(BQ149*(1+VLOOKUP($AL149,$B$3:$H$6,AH$19,FALSE)+_xlfn.IFNA(VLOOKUP("REE "&amp;$AM149,$B$11:$H$23,AH$19,FALSE),0)+_xlfn.IFNA(VLOOKUP("BCA "&amp;$AN149,$B$11:$H$23,AH$19,0),0)+_xlfn.IFNA(VLOOKUP("PST "&amp;$AE149,$B$11:$H$23,AH$19,0),0)),0)</f>
        <v>11863</v>
      </c>
      <c r="AI149" s="102">
        <f t="shared" ref="AI149:AI180" si="177">ROUND(BR149*(1+VLOOKUP($AL149,$B$3:$H$6,AI$19,FALSE)+_xlfn.IFNA(VLOOKUP("REE "&amp;$AM149,$B$11:$H$23,AI$19,FALSE),0)+_xlfn.IFNA(VLOOKUP("BCA "&amp;$AN149,$B$11:$H$23,AI$19,0),0)+_xlfn.IFNA(VLOOKUP("PST "&amp;$AE149,$B$11:$H$23,AI$19,0),0)),0)</f>
        <v>12676</v>
      </c>
      <c r="AJ149" s="102">
        <f t="shared" ref="AJ149:AJ180" si="178">ROUND(BS149*(1+VLOOKUP($AL149,$B$3:$H$6,AJ$19,FALSE)+_xlfn.IFNA(VLOOKUP("REE "&amp;$AM149,$B$11:$H$23,AJ$19,FALSE),0)+_xlfn.IFNA(VLOOKUP("BCA "&amp;$AN149,$B$11:$H$23,AJ$19,0),0)+_xlfn.IFNA(VLOOKUP("PST "&amp;$AE149,$B$11:$H$23,AJ$19,0),0)),0)</f>
        <v>12807</v>
      </c>
      <c r="AK149" s="102">
        <f t="shared" ref="AK149:AK180" si="179">ROUND(BT149*(1+VLOOKUP($AL149,$B$3:$H$6,AK$19,FALSE)+_xlfn.IFNA(VLOOKUP("REE "&amp;$AM149,$B$11:$H$23,AK$19,FALSE),0)+_xlfn.IFNA(VLOOKUP("BCA "&amp;$AN149,$B$11:$H$23,AK$19,0),0)+_xlfn.IFNA(VLOOKUP("PST "&amp;$AE149,$B$11:$H$23,AK$19,0),0)),0)</f>
        <v>13284</v>
      </c>
      <c r="AL149" s="102">
        <f>VLOOKUP($AE149,Usinas!$B$3:$F$241,5,FALSE)</f>
        <v>1</v>
      </c>
      <c r="AM149" s="102" t="str">
        <f>VLOOKUP($AE149,Usinas!$B$3:$H$241,7,FALSE)</f>
        <v>ITAIPU</v>
      </c>
      <c r="AN149" s="102" t="str">
        <f>VLOOKUP($AE149,Usinas!$B$3:$D$241,3,FALSE)</f>
        <v>BAIXO PARANÁ</v>
      </c>
      <c r="AP149" s="103">
        <v>129</v>
      </c>
      <c r="AQ149" s="103" t="str">
        <f>IF(BA149=1,VLOOKUP($AP149,Usinas!$B$3:$F$244,2,0),"")</f>
        <v/>
      </c>
      <c r="AR149" s="103" t="str">
        <f>IF(BA149=1,VLOOKUP($AP149,Usinas!$B$3:$F$241,3,0),"")</f>
        <v/>
      </c>
      <c r="AS149" s="103" t="str">
        <f>IF(BA149,VLOOKUP($AP149,Usinas!$B$3:$F$244,4,0),"")</f>
        <v/>
      </c>
      <c r="AT149" s="103" t="str">
        <f t="shared" si="146"/>
        <v/>
      </c>
      <c r="AU149" s="104" t="str">
        <f t="shared" si="172"/>
        <v/>
      </c>
      <c r="AV149" s="104" t="str">
        <f t="shared" si="172"/>
        <v/>
      </c>
      <c r="AW149" s="104" t="str">
        <f t="shared" si="172"/>
        <v/>
      </c>
      <c r="AX149" s="104" t="str">
        <f t="shared" si="172"/>
        <v/>
      </c>
      <c r="AY149" s="104" t="str">
        <f t="shared" si="172"/>
        <v/>
      </c>
      <c r="AZ149" s="104" t="str">
        <f t="shared" si="172"/>
        <v/>
      </c>
      <c r="BA149" s="103">
        <f t="shared" si="147"/>
        <v>0</v>
      </c>
      <c r="BB149" s="103">
        <f t="shared" si="148"/>
        <v>0</v>
      </c>
      <c r="BC149" s="103" t="str">
        <f>IF(BA149=1,VLOOKUP($AP149,Usinas!$B$3:$H$244,7,0),"")</f>
        <v/>
      </c>
      <c r="BM149" s="105">
        <f t="shared" ref="BM149:BM180" si="180">VALUE(LEFT($B158,6))</f>
        <v>131</v>
      </c>
      <c r="BN149" s="105">
        <f t="shared" ref="BN149:BN180" si="181">VALUE(RIGHT(LEFT($B158,11),5))</f>
        <v>246</v>
      </c>
      <c r="BO149" s="151">
        <f>IF($BP$15=1,IFERROR(VLOOKUP(BN149,$BZ$20:CA312,2,0),0),VALUE(RIGHT(LEFT($B158,21),10)))</f>
        <v>6422</v>
      </c>
      <c r="BP149" s="105">
        <f t="shared" ref="BP149:BP180" si="182">VALUE(RIGHT(LEFT($B158,31),10))</f>
        <v>7362</v>
      </c>
      <c r="BQ149" s="105">
        <f t="shared" ref="BQ149:BQ180" si="183">VALUE(RIGHT(LEFT($B158,41),10))</f>
        <v>8700</v>
      </c>
      <c r="BR149" s="105">
        <f t="shared" ref="BR149:BR180" si="184">VALUE(RIGHT(LEFT($B158,51),10))</f>
        <v>9296</v>
      </c>
      <c r="BS149" s="105">
        <f t="shared" ref="BS149:BS180" si="185">VALUE(RIGHT(LEFT($B158,61),10))</f>
        <v>9392</v>
      </c>
      <c r="BT149" s="105">
        <f t="shared" ref="BT149:BT180" si="186">VALUE(RIGHT(LEFT($B158,71),10))</f>
        <v>9742</v>
      </c>
      <c r="BU149" s="85"/>
      <c r="BV149" s="97" t="s">
        <v>331</v>
      </c>
      <c r="BW149" s="98">
        <f t="shared" si="169"/>
        <v>175</v>
      </c>
      <c r="BX149" s="97" t="str">
        <f t="shared" si="149"/>
        <v>PST 173</v>
      </c>
      <c r="BZ149" s="147">
        <v>155</v>
      </c>
      <c r="CA149" s="148">
        <v>39</v>
      </c>
      <c r="CB149" s="87"/>
      <c r="CC149" s="87"/>
      <c r="CF149" s="110"/>
      <c r="CG149" s="111"/>
      <c r="CH149" s="87"/>
      <c r="CI149" s="87"/>
      <c r="CJ149" s="87"/>
      <c r="CK149" s="87"/>
      <c r="CL149" s="87"/>
      <c r="CM149" s="87"/>
    </row>
    <row r="150" spans="2:91" ht="15.6" x14ac:dyDescent="0.3">
      <c r="B150" s="99" t="s">
        <v>809</v>
      </c>
      <c r="C150" s="99"/>
      <c r="D150" s="99"/>
      <c r="E150" s="99"/>
      <c r="F150" s="99"/>
      <c r="G150" s="99"/>
      <c r="H150" s="99"/>
      <c r="I150" s="43"/>
      <c r="J150" s="99" t="str">
        <f t="shared" si="170"/>
        <v xml:space="preserve">   123  238       653       907      1025      1092      1129      1065</v>
      </c>
      <c r="T150" s="42"/>
      <c r="U150" s="135"/>
      <c r="V150" s="191"/>
      <c r="W150" s="187">
        <v>281</v>
      </c>
      <c r="X150" s="187">
        <v>2.2105999999999999</v>
      </c>
      <c r="Z150" s="101">
        <v>130</v>
      </c>
      <c r="AA150" s="101">
        <v>0</v>
      </c>
      <c r="AB150" s="101">
        <v>0</v>
      </c>
      <c r="AD150" s="102">
        <f t="shared" si="173"/>
        <v>132</v>
      </c>
      <c r="AE150" s="102">
        <f t="shared" si="173"/>
        <v>247</v>
      </c>
      <c r="AF150" s="102">
        <f t="shared" si="174"/>
        <v>299</v>
      </c>
      <c r="AG150" s="102">
        <f t="shared" si="175"/>
        <v>303</v>
      </c>
      <c r="AH150" s="102">
        <f t="shared" si="176"/>
        <v>352</v>
      </c>
      <c r="AI150" s="102">
        <f t="shared" si="177"/>
        <v>316</v>
      </c>
      <c r="AJ150" s="102">
        <f t="shared" si="178"/>
        <v>310</v>
      </c>
      <c r="AK150" s="102">
        <f t="shared" si="179"/>
        <v>307</v>
      </c>
      <c r="AL150" s="102">
        <f>VLOOKUP($AE150,Usinas!$B$3:$F$241,5,FALSE)</f>
        <v>1</v>
      </c>
      <c r="AM150" s="102" t="str">
        <f>VLOOKUP($AE150,Usinas!$B$3:$H$241,7,FALSE)</f>
        <v>PARANA</v>
      </c>
      <c r="AN150" s="102" t="str">
        <f>VLOOKUP($AE150,Usinas!$B$3:$D$241,3,FALSE)</f>
        <v>PARANAÍBA</v>
      </c>
      <c r="AP150" s="103">
        <v>130</v>
      </c>
      <c r="AQ150" s="103" t="str">
        <f>IF(BA150=1,VLOOKUP($AP150,Usinas!$B$3:$F$244,2,0),"")</f>
        <v/>
      </c>
      <c r="AR150" s="103" t="str">
        <f>IF(BA150=1,VLOOKUP($AP150,Usinas!$B$3:$F$241,3,0),"")</f>
        <v/>
      </c>
      <c r="AS150" s="103" t="str">
        <f>IF(BA150,VLOOKUP($AP150,Usinas!$B$3:$F$244,4,0),"")</f>
        <v/>
      </c>
      <c r="AT150" s="103" t="str">
        <f t="shared" ref="AT150:AT213" si="187">IF(BA150=1,VLOOKUP($AP150,$Z$21:$AB$372,3,0),"")</f>
        <v/>
      </c>
      <c r="AU150" s="104" t="str">
        <f t="shared" si="172"/>
        <v/>
      </c>
      <c r="AV150" s="104" t="str">
        <f t="shared" si="172"/>
        <v/>
      </c>
      <c r="AW150" s="104" t="str">
        <f t="shared" si="172"/>
        <v/>
      </c>
      <c r="AX150" s="104" t="str">
        <f t="shared" si="172"/>
        <v/>
      </c>
      <c r="AY150" s="104" t="str">
        <f t="shared" si="172"/>
        <v/>
      </c>
      <c r="AZ150" s="104" t="str">
        <f t="shared" si="172"/>
        <v/>
      </c>
      <c r="BA150" s="103">
        <f t="shared" ref="BA150:BA213" si="188">VLOOKUP(AP150,$Z$21:$AA$372,2,0)</f>
        <v>0</v>
      </c>
      <c r="BB150" s="103">
        <f t="shared" ref="BB150:BB213" si="189">IF(BA150=0,0,IF(OR(ISNA(AR150),ISNA(AS150),ISNA(AT150),ISNA(AU150),ISNA(AV150),ISNA(AW150),ISNA(AX150),ISNA(AY150),ISNA(AZ150)),1,0))</f>
        <v>0</v>
      </c>
      <c r="BC150" s="103" t="str">
        <f>IF(BA150=1,VLOOKUP($AP150,Usinas!$B$3:$H$244,7,0),"")</f>
        <v/>
      </c>
      <c r="BM150" s="105">
        <f t="shared" si="180"/>
        <v>132</v>
      </c>
      <c r="BN150" s="105">
        <f t="shared" si="181"/>
        <v>247</v>
      </c>
      <c r="BO150" s="151">
        <f>IF($BP$15=1,BO155,VALUE(RIGHT(LEFT($B159,21),10)))</f>
        <v>219</v>
      </c>
      <c r="BP150" s="105">
        <f t="shared" si="182"/>
        <v>222</v>
      </c>
      <c r="BQ150" s="105">
        <f t="shared" si="183"/>
        <v>258</v>
      </c>
      <c r="BR150" s="105">
        <f t="shared" si="184"/>
        <v>232</v>
      </c>
      <c r="BS150" s="105">
        <f t="shared" si="185"/>
        <v>227</v>
      </c>
      <c r="BT150" s="105">
        <f t="shared" si="186"/>
        <v>225</v>
      </c>
      <c r="BU150" s="85"/>
      <c r="BV150" s="97" t="s">
        <v>331</v>
      </c>
      <c r="BW150" s="98">
        <f t="shared" si="169"/>
        <v>176</v>
      </c>
      <c r="BX150" s="97" t="str">
        <f t="shared" ref="BX150:BX213" si="190">IFERROR(BV149&amp;" "&amp;BW149,"")</f>
        <v>PST 175</v>
      </c>
      <c r="BZ150" s="147">
        <v>156</v>
      </c>
      <c r="CA150" s="148">
        <v>293</v>
      </c>
      <c r="CB150" s="87"/>
      <c r="CC150" s="87"/>
      <c r="CF150" s="110"/>
      <c r="CG150" s="111"/>
      <c r="CH150" s="87"/>
      <c r="CI150" s="87"/>
      <c r="CJ150" s="87"/>
      <c r="CK150" s="87"/>
      <c r="CL150" s="87"/>
      <c r="CM150" s="87"/>
    </row>
    <row r="151" spans="2:91" ht="15.6" x14ac:dyDescent="0.3">
      <c r="B151" s="99" t="s">
        <v>810</v>
      </c>
      <c r="C151" s="99"/>
      <c r="D151" s="99"/>
      <c r="E151" s="99"/>
      <c r="F151" s="99"/>
      <c r="G151" s="99"/>
      <c r="H151" s="99"/>
      <c r="I151" s="43"/>
      <c r="J151" s="99" t="str">
        <f t="shared" si="170"/>
        <v xml:space="preserve">   124  239       755      1034      1204      1248      1304      1241</v>
      </c>
      <c r="T151" s="42"/>
      <c r="U151" s="195">
        <v>0.10290000000000001</v>
      </c>
      <c r="V151" s="191"/>
      <c r="W151" s="187">
        <v>283</v>
      </c>
      <c r="X151" s="187">
        <v>0.44950000000000001</v>
      </c>
      <c r="Z151" s="101">
        <v>131</v>
      </c>
      <c r="AA151" s="101">
        <v>1</v>
      </c>
      <c r="AB151" s="101">
        <v>2.6871</v>
      </c>
      <c r="AD151" s="102">
        <f t="shared" si="173"/>
        <v>133</v>
      </c>
      <c r="AE151" s="102">
        <f t="shared" si="173"/>
        <v>248</v>
      </c>
      <c r="AF151" s="102">
        <f t="shared" si="174"/>
        <v>311</v>
      </c>
      <c r="AG151" s="102">
        <f t="shared" si="175"/>
        <v>314</v>
      </c>
      <c r="AH151" s="102">
        <f t="shared" si="176"/>
        <v>364</v>
      </c>
      <c r="AI151" s="102">
        <f t="shared" si="177"/>
        <v>331</v>
      </c>
      <c r="AJ151" s="102">
        <f t="shared" si="178"/>
        <v>323</v>
      </c>
      <c r="AK151" s="102">
        <f t="shared" si="179"/>
        <v>320</v>
      </c>
      <c r="AL151" s="102">
        <f>VLOOKUP($AE151,Usinas!$B$3:$F$241,5,FALSE)</f>
        <v>1</v>
      </c>
      <c r="AM151" s="102" t="str">
        <f>VLOOKUP($AE151,Usinas!$B$3:$H$241,7,FALSE)</f>
        <v>PARANA</v>
      </c>
      <c r="AN151" s="102" t="str">
        <f>VLOOKUP($AE151,Usinas!$B$3:$D$241,3,FALSE)</f>
        <v>PARANAÍBA</v>
      </c>
      <c r="AP151" s="103">
        <v>131</v>
      </c>
      <c r="AQ151" s="103" t="str">
        <f>IF(BA151=1,VLOOKUP($AP151,Usinas!$B$3:$F$244,2,0),"")</f>
        <v>NILO PEÇANHA</v>
      </c>
      <c r="AR151" s="103" t="str">
        <f>IF(BA151=1,VLOOKUP($AP151,Usinas!$B$3:$F$241,3,0),"")</f>
        <v>PARAÍBA DO SUL</v>
      </c>
      <c r="AS151" s="103" t="str">
        <f>IF(BA151,VLOOKUP($AP151,Usinas!$B$3:$F$244,4,0),"")</f>
        <v>SUDESTE</v>
      </c>
      <c r="AT151" s="103">
        <f t="shared" si="187"/>
        <v>2.6871</v>
      </c>
      <c r="AU151" s="104">
        <f t="shared" ref="AU151:AZ160" si="191">IF($BA151=1,IFERROR(VLOOKUP($AP151,$AE$21:$AK$211,AU$19,0),VLOOKUP($AP151,$BE$21:$BK$65,AU$19,0))*$AT151,"")</f>
        <v>386.94240000000002</v>
      </c>
      <c r="AV151" s="104">
        <f t="shared" si="191"/>
        <v>386.94240000000002</v>
      </c>
      <c r="AW151" s="104">
        <f t="shared" si="191"/>
        <v>386.94240000000002</v>
      </c>
      <c r="AX151" s="104">
        <f t="shared" si="191"/>
        <v>386.94240000000002</v>
      </c>
      <c r="AY151" s="104">
        <f t="shared" si="191"/>
        <v>386.94240000000002</v>
      </c>
      <c r="AZ151" s="104">
        <f t="shared" si="191"/>
        <v>386.94240000000002</v>
      </c>
      <c r="BA151" s="103">
        <f t="shared" si="188"/>
        <v>1</v>
      </c>
      <c r="BB151" s="103">
        <f t="shared" si="189"/>
        <v>0</v>
      </c>
      <c r="BC151" s="103" t="str">
        <f>IF(BA151=1,VLOOKUP($AP151,Usinas!$B$3:$H$244,7,0),"")</f>
        <v>SUDESTE</v>
      </c>
      <c r="BM151" s="105">
        <f t="shared" si="180"/>
        <v>133</v>
      </c>
      <c r="BN151" s="105">
        <f t="shared" si="181"/>
        <v>248</v>
      </c>
      <c r="BO151" s="151">
        <f>IF($BP$15=1,IFERROR(VLOOKUP(BN151,$BZ$20:CA314,2,0),0),VALUE(RIGHT(LEFT($B160,21),10)))</f>
        <v>228</v>
      </c>
      <c r="BP151" s="105">
        <f t="shared" si="182"/>
        <v>230</v>
      </c>
      <c r="BQ151" s="105">
        <f t="shared" si="183"/>
        <v>267</v>
      </c>
      <c r="BR151" s="105">
        <f t="shared" si="184"/>
        <v>243</v>
      </c>
      <c r="BS151" s="105">
        <f t="shared" si="185"/>
        <v>237</v>
      </c>
      <c r="BT151" s="105">
        <f t="shared" si="186"/>
        <v>235</v>
      </c>
      <c r="BU151" s="85"/>
      <c r="BV151" s="97" t="s">
        <v>331</v>
      </c>
      <c r="BW151" s="98">
        <f t="shared" si="169"/>
        <v>178</v>
      </c>
      <c r="BX151" s="97" t="str">
        <f t="shared" si="190"/>
        <v>PST 176</v>
      </c>
      <c r="BZ151" s="147">
        <v>158</v>
      </c>
      <c r="CA151" s="148">
        <v>21</v>
      </c>
      <c r="CB151" s="87"/>
      <c r="CC151" s="87"/>
      <c r="CF151" s="110"/>
      <c r="CG151" s="111"/>
      <c r="CH151" s="87"/>
      <c r="CI151" s="87"/>
      <c r="CJ151" s="87"/>
      <c r="CK151" s="87"/>
      <c r="CL151" s="87"/>
      <c r="CM151" s="87"/>
    </row>
    <row r="152" spans="2:91" ht="15.6" x14ac:dyDescent="0.3">
      <c r="B152" s="99" t="s">
        <v>811</v>
      </c>
      <c r="C152" s="99"/>
      <c r="D152" s="99"/>
      <c r="E152" s="99"/>
      <c r="F152" s="99"/>
      <c r="G152" s="99"/>
      <c r="H152" s="99"/>
      <c r="I152" s="43"/>
      <c r="J152" s="99" t="str">
        <f t="shared" si="170"/>
        <v xml:space="preserve">   125  240       802      1110      1274      1373      1420      1433</v>
      </c>
      <c r="T152" s="42"/>
      <c r="U152" s="193" t="s">
        <v>691</v>
      </c>
      <c r="V152" s="192" t="s">
        <v>690</v>
      </c>
      <c r="W152" s="187">
        <v>284</v>
      </c>
      <c r="X152" s="187">
        <v>0.30159999999999998</v>
      </c>
      <c r="Z152" s="101">
        <v>132</v>
      </c>
      <c r="AA152" s="101">
        <v>0</v>
      </c>
      <c r="AB152" s="101">
        <v>0</v>
      </c>
      <c r="AD152" s="102">
        <f t="shared" si="173"/>
        <v>134</v>
      </c>
      <c r="AE152" s="102">
        <f t="shared" si="173"/>
        <v>249</v>
      </c>
      <c r="AF152" s="102">
        <f t="shared" si="174"/>
        <v>503</v>
      </c>
      <c r="AG152" s="102">
        <f t="shared" si="175"/>
        <v>567</v>
      </c>
      <c r="AH152" s="102">
        <f t="shared" si="176"/>
        <v>689</v>
      </c>
      <c r="AI152" s="102">
        <f t="shared" si="177"/>
        <v>775</v>
      </c>
      <c r="AJ152" s="102">
        <f t="shared" si="178"/>
        <v>862</v>
      </c>
      <c r="AK152" s="102">
        <f t="shared" si="179"/>
        <v>956</v>
      </c>
      <c r="AL152" s="102">
        <f>VLOOKUP($AE152,Usinas!$B$3:$F$241,5,FALSE)</f>
        <v>1</v>
      </c>
      <c r="AM152" s="102" t="str">
        <f>VLOOKUP($AE152,Usinas!$B$3:$H$241,7,FALSE)</f>
        <v>PRNPANEMA</v>
      </c>
      <c r="AN152" s="102" t="str">
        <f>VLOOKUP($AE152,Usinas!$B$3:$D$241,3,FALSE)</f>
        <v>PARANAPANEMA (SE)</v>
      </c>
      <c r="AP152" s="103">
        <v>132</v>
      </c>
      <c r="AQ152" s="103" t="str">
        <f>IF(BA152=1,VLOOKUP($AP152,Usinas!$B$3:$F$244,2,0),"")</f>
        <v/>
      </c>
      <c r="AR152" s="103" t="str">
        <f>IF(BA152=1,VLOOKUP($AP152,Usinas!$B$3:$F$241,3,0),"")</f>
        <v/>
      </c>
      <c r="AS152" s="103" t="str">
        <f>IF(BA152,VLOOKUP($AP152,Usinas!$B$3:$F$244,4,0),"")</f>
        <v/>
      </c>
      <c r="AT152" s="103" t="str">
        <f t="shared" si="187"/>
        <v/>
      </c>
      <c r="AU152" s="104" t="str">
        <f t="shared" si="191"/>
        <v/>
      </c>
      <c r="AV152" s="104" t="str">
        <f t="shared" si="191"/>
        <v/>
      </c>
      <c r="AW152" s="104" t="str">
        <f t="shared" si="191"/>
        <v/>
      </c>
      <c r="AX152" s="104" t="str">
        <f t="shared" si="191"/>
        <v/>
      </c>
      <c r="AY152" s="104" t="str">
        <f t="shared" si="191"/>
        <v/>
      </c>
      <c r="AZ152" s="104" t="str">
        <f t="shared" si="191"/>
        <v/>
      </c>
      <c r="BA152" s="103">
        <f t="shared" si="188"/>
        <v>0</v>
      </c>
      <c r="BB152" s="103">
        <f t="shared" si="189"/>
        <v>0</v>
      </c>
      <c r="BC152" s="103" t="str">
        <f>IF(BA152=1,VLOOKUP($AP152,Usinas!$B$3:$H$244,7,0),"")</f>
        <v/>
      </c>
      <c r="BM152" s="105">
        <f t="shared" si="180"/>
        <v>134</v>
      </c>
      <c r="BN152" s="105">
        <f t="shared" si="181"/>
        <v>249</v>
      </c>
      <c r="BO152" s="151">
        <f>IF($BP$15=1,IFERROR(VLOOKUP(BN152,$BZ$20:CA315,2,0),0),VALUE(RIGHT(LEFT($B161,21),10)))</f>
        <v>369</v>
      </c>
      <c r="BP152" s="105">
        <f t="shared" si="182"/>
        <v>416</v>
      </c>
      <c r="BQ152" s="105">
        <f t="shared" si="183"/>
        <v>505</v>
      </c>
      <c r="BR152" s="105">
        <f t="shared" si="184"/>
        <v>568</v>
      </c>
      <c r="BS152" s="105">
        <f t="shared" si="185"/>
        <v>632</v>
      </c>
      <c r="BT152" s="105">
        <f t="shared" si="186"/>
        <v>701</v>
      </c>
      <c r="BU152" s="85"/>
      <c r="BV152" s="97" t="s">
        <v>331</v>
      </c>
      <c r="BW152" s="98">
        <f t="shared" si="169"/>
        <v>183</v>
      </c>
      <c r="BX152" s="97" t="str">
        <f t="shared" si="190"/>
        <v>PST 178</v>
      </c>
      <c r="BZ152" s="147">
        <v>168</v>
      </c>
      <c r="CA152" s="148">
        <v>981</v>
      </c>
      <c r="CB152" s="87"/>
      <c r="CC152" s="87"/>
      <c r="CF152" s="110"/>
      <c r="CG152" s="111"/>
      <c r="CH152" s="87"/>
      <c r="CI152" s="87"/>
      <c r="CJ152" s="87"/>
      <c r="CK152" s="87"/>
      <c r="CL152" s="87"/>
      <c r="CM152" s="87"/>
    </row>
    <row r="153" spans="2:91" ht="15.6" x14ac:dyDescent="0.3">
      <c r="B153" s="99" t="s">
        <v>870</v>
      </c>
      <c r="C153" s="99"/>
      <c r="D153" s="99"/>
      <c r="E153" s="99"/>
      <c r="F153" s="99"/>
      <c r="G153" s="99"/>
      <c r="H153" s="99"/>
      <c r="I153" s="43"/>
      <c r="J153" s="99" t="str">
        <f t="shared" si="170"/>
        <v xml:space="preserve">   126  241       243       250       274       270       271       269</v>
      </c>
      <c r="T153" s="42">
        <v>285</v>
      </c>
      <c r="U153" s="195">
        <f>VLOOKUP(MONTH(R1),Enas!D22:J33,7,0)</f>
        <v>0.15008994000000001</v>
      </c>
      <c r="V153" s="191">
        <v>0.1522</v>
      </c>
      <c r="W153" s="187">
        <v>285</v>
      </c>
      <c r="X153" s="187">
        <v>0.155</v>
      </c>
      <c r="Z153" s="101">
        <v>133</v>
      </c>
      <c r="AA153" s="101">
        <v>0</v>
      </c>
      <c r="AB153" s="101">
        <v>0</v>
      </c>
      <c r="AD153" s="102">
        <f t="shared" si="173"/>
        <v>135</v>
      </c>
      <c r="AE153" s="102">
        <f t="shared" si="173"/>
        <v>251</v>
      </c>
      <c r="AF153" s="102">
        <f t="shared" si="174"/>
        <v>270</v>
      </c>
      <c r="AG153" s="102">
        <f t="shared" si="175"/>
        <v>348</v>
      </c>
      <c r="AH153" s="102">
        <f t="shared" si="176"/>
        <v>335</v>
      </c>
      <c r="AI153" s="102">
        <f t="shared" si="177"/>
        <v>333</v>
      </c>
      <c r="AJ153" s="102">
        <f t="shared" si="178"/>
        <v>356</v>
      </c>
      <c r="AK153" s="102">
        <f t="shared" si="179"/>
        <v>367</v>
      </c>
      <c r="AL153" s="102">
        <f>VLOOKUP($AE153,Usinas!$B$3:$F$241,5,FALSE)</f>
        <v>1</v>
      </c>
      <c r="AM153" s="102" t="str">
        <f>VLOOKUP($AE153,Usinas!$B$3:$H$241,7,FALSE)</f>
        <v>PARANA</v>
      </c>
      <c r="AN153" s="102" t="str">
        <f>VLOOKUP($AE153,Usinas!$B$3:$D$241,3,FALSE)</f>
        <v>PARANAÍBA</v>
      </c>
      <c r="AP153" s="103">
        <v>133</v>
      </c>
      <c r="AQ153" s="103" t="str">
        <f>IF(BA153=1,VLOOKUP($AP153,Usinas!$B$3:$F$244,2,0),"")</f>
        <v/>
      </c>
      <c r="AR153" s="103" t="str">
        <f>IF(BA153=1,VLOOKUP($AP153,Usinas!$B$3:$F$241,3,0),"")</f>
        <v/>
      </c>
      <c r="AS153" s="103" t="str">
        <f>IF(BA153,VLOOKUP($AP153,Usinas!$B$3:$F$244,4,0),"")</f>
        <v/>
      </c>
      <c r="AT153" s="103" t="str">
        <f t="shared" si="187"/>
        <v/>
      </c>
      <c r="AU153" s="104" t="str">
        <f t="shared" si="191"/>
        <v/>
      </c>
      <c r="AV153" s="104" t="str">
        <f t="shared" si="191"/>
        <v/>
      </c>
      <c r="AW153" s="104" t="str">
        <f t="shared" si="191"/>
        <v/>
      </c>
      <c r="AX153" s="104" t="str">
        <f t="shared" si="191"/>
        <v/>
      </c>
      <c r="AY153" s="104" t="str">
        <f t="shared" si="191"/>
        <v/>
      </c>
      <c r="AZ153" s="104" t="str">
        <f t="shared" si="191"/>
        <v/>
      </c>
      <c r="BA153" s="103">
        <f t="shared" si="188"/>
        <v>0</v>
      </c>
      <c r="BB153" s="103">
        <f t="shared" si="189"/>
        <v>0</v>
      </c>
      <c r="BC153" s="103" t="str">
        <f>IF(BA153=1,VLOOKUP($AP153,Usinas!$B$3:$H$244,7,0),"")</f>
        <v/>
      </c>
      <c r="BM153" s="105">
        <f t="shared" si="180"/>
        <v>135</v>
      </c>
      <c r="BN153" s="105">
        <f t="shared" si="181"/>
        <v>251</v>
      </c>
      <c r="BO153" s="151">
        <f>IF($BP$15=1,IFERROR(VLOOKUP(BN153,$BZ$20:CA316,2,0),0),VALUE(RIGHT(LEFT($B162,21),10)))</f>
        <v>198</v>
      </c>
      <c r="BP153" s="105">
        <f t="shared" si="182"/>
        <v>255</v>
      </c>
      <c r="BQ153" s="105">
        <f t="shared" si="183"/>
        <v>246</v>
      </c>
      <c r="BR153" s="105">
        <f t="shared" si="184"/>
        <v>244</v>
      </c>
      <c r="BS153" s="105">
        <f t="shared" si="185"/>
        <v>261</v>
      </c>
      <c r="BT153" s="105">
        <f t="shared" si="186"/>
        <v>269</v>
      </c>
      <c r="BU153" s="85"/>
      <c r="BV153" s="97" t="s">
        <v>331</v>
      </c>
      <c r="BW153" s="98">
        <f t="shared" si="169"/>
        <v>188</v>
      </c>
      <c r="BX153" s="97" t="str">
        <f t="shared" si="190"/>
        <v>PST 183</v>
      </c>
      <c r="BZ153" s="147">
        <v>169</v>
      </c>
      <c r="CA153" s="148">
        <v>1743</v>
      </c>
      <c r="CB153" s="87"/>
      <c r="CC153" s="87"/>
      <c r="CF153" s="110"/>
      <c r="CG153" s="111"/>
      <c r="CH153" s="87"/>
      <c r="CI153" s="87"/>
      <c r="CJ153" s="87"/>
      <c r="CK153" s="87"/>
      <c r="CL153" s="87"/>
      <c r="CM153" s="87"/>
    </row>
    <row r="154" spans="2:91" ht="15.6" x14ac:dyDescent="0.3">
      <c r="B154" s="99" t="s">
        <v>812</v>
      </c>
      <c r="C154" s="99"/>
      <c r="D154" s="99"/>
      <c r="E154" s="99"/>
      <c r="F154" s="99"/>
      <c r="G154" s="99"/>
      <c r="H154" s="99"/>
      <c r="I154" s="43"/>
      <c r="J154" s="99" t="str">
        <f t="shared" si="170"/>
        <v xml:space="preserve">   127  242       818      1130      1298      1428      1459      1512</v>
      </c>
      <c r="T154" s="42"/>
      <c r="U154" s="195"/>
      <c r="V154" s="191"/>
      <c r="W154" s="187">
        <v>286</v>
      </c>
      <c r="X154" s="187">
        <v>1.0349999999999999</v>
      </c>
      <c r="Z154" s="101">
        <v>134</v>
      </c>
      <c r="AA154" s="101">
        <v>1</v>
      </c>
      <c r="AB154" s="101">
        <v>0.80200000000000005</v>
      </c>
      <c r="AD154" s="102">
        <f t="shared" si="173"/>
        <v>136</v>
      </c>
      <c r="AE154" s="102">
        <f t="shared" si="173"/>
        <v>252</v>
      </c>
      <c r="AF154" s="102">
        <f t="shared" si="174"/>
        <v>76</v>
      </c>
      <c r="AG154" s="102">
        <f t="shared" si="175"/>
        <v>79</v>
      </c>
      <c r="AH154" s="102">
        <f t="shared" si="176"/>
        <v>93</v>
      </c>
      <c r="AI154" s="102">
        <f t="shared" si="177"/>
        <v>91</v>
      </c>
      <c r="AJ154" s="102">
        <f t="shared" si="178"/>
        <v>109</v>
      </c>
      <c r="AK154" s="102">
        <f t="shared" si="179"/>
        <v>109</v>
      </c>
      <c r="AL154" s="102">
        <f>VLOOKUP($AE154,Usinas!$B$3:$F$241,5,FALSE)</f>
        <v>1</v>
      </c>
      <c r="AM154" s="102" t="str">
        <f>VLOOKUP($AE154,Usinas!$B$3:$H$241,7,FALSE)</f>
        <v>SUDESTE</v>
      </c>
      <c r="AN154" s="102" t="str">
        <f>VLOOKUP($AE154,Usinas!$B$3:$D$241,3,FALSE)</f>
        <v>PARAGUAI</v>
      </c>
      <c r="AP154" s="103">
        <v>134</v>
      </c>
      <c r="AQ154" s="103" t="str">
        <f>IF(BA154=1,VLOOKUP($AP154,Usinas!$B$3:$F$244,2,0),"")</f>
        <v>SALTO GRANDE</v>
      </c>
      <c r="AR154" s="103" t="str">
        <f>IF(BA154=1,VLOOKUP($AP154,Usinas!$B$3:$F$241,3,0),"")</f>
        <v>DOCE</v>
      </c>
      <c r="AS154" s="103" t="str">
        <f>IF(BA154,VLOOKUP($AP154,Usinas!$B$3:$F$244,4,0),"")</f>
        <v>SUDESTE</v>
      </c>
      <c r="AT154" s="103">
        <f t="shared" si="187"/>
        <v>0.80200000000000005</v>
      </c>
      <c r="AU154" s="104">
        <f t="shared" si="191"/>
        <v>252.63000000000002</v>
      </c>
      <c r="AV154" s="104">
        <f t="shared" si="191"/>
        <v>249.42200000000003</v>
      </c>
      <c r="AW154" s="104">
        <f t="shared" si="191"/>
        <v>194.88600000000002</v>
      </c>
      <c r="AX154" s="104">
        <f t="shared" si="191"/>
        <v>226.16400000000002</v>
      </c>
      <c r="AY154" s="104">
        <f t="shared" si="191"/>
        <v>220.55</v>
      </c>
      <c r="AZ154" s="104">
        <f t="shared" si="191"/>
        <v>183.65800000000002</v>
      </c>
      <c r="BA154" s="103">
        <f t="shared" si="188"/>
        <v>1</v>
      </c>
      <c r="BB154" s="103">
        <f t="shared" si="189"/>
        <v>0</v>
      </c>
      <c r="BC154" s="103" t="str">
        <f>IF(BA154=1,VLOOKUP($AP154,Usinas!$B$3:$H$244,7,0),"")</f>
        <v>SUDESTE</v>
      </c>
      <c r="BM154" s="105">
        <f t="shared" si="180"/>
        <v>136</v>
      </c>
      <c r="BN154" s="105">
        <f t="shared" si="181"/>
        <v>252</v>
      </c>
      <c r="BO154" s="151">
        <f>IF($BP$15=1,IFERROR(VLOOKUP(BN154,$BZ$20:CA317,2,0),0),VALUE(RIGHT(LEFT($B163,21),10)))</f>
        <v>56</v>
      </c>
      <c r="BP154" s="105">
        <f t="shared" si="182"/>
        <v>58</v>
      </c>
      <c r="BQ154" s="105">
        <f t="shared" si="183"/>
        <v>68</v>
      </c>
      <c r="BR154" s="105">
        <f t="shared" si="184"/>
        <v>67</v>
      </c>
      <c r="BS154" s="105">
        <f t="shared" si="185"/>
        <v>80</v>
      </c>
      <c r="BT154" s="105">
        <f t="shared" si="186"/>
        <v>80</v>
      </c>
      <c r="BU154" s="85"/>
      <c r="BV154" s="97" t="s">
        <v>331</v>
      </c>
      <c r="BW154" s="98">
        <f t="shared" si="169"/>
        <v>190</v>
      </c>
      <c r="BX154" s="97" t="str">
        <f t="shared" si="190"/>
        <v>PST 188</v>
      </c>
      <c r="BZ154" s="147">
        <v>172</v>
      </c>
      <c r="CA154" s="148">
        <v>2081</v>
      </c>
      <c r="CB154" s="87"/>
      <c r="CC154" s="87"/>
      <c r="CF154" s="110"/>
      <c r="CG154" s="111"/>
      <c r="CH154" s="87"/>
      <c r="CI154" s="87"/>
      <c r="CJ154" s="87"/>
      <c r="CK154" s="87"/>
      <c r="CL154" s="87"/>
      <c r="CM154" s="87"/>
    </row>
    <row r="155" spans="2:91" ht="15.6" x14ac:dyDescent="0.3">
      <c r="B155" s="99" t="s">
        <v>813</v>
      </c>
      <c r="C155" s="99"/>
      <c r="D155" s="99"/>
      <c r="E155" s="99"/>
      <c r="F155" s="99"/>
      <c r="G155" s="99"/>
      <c r="H155" s="99"/>
      <c r="I155" s="43"/>
      <c r="J155" s="99" t="str">
        <f t="shared" si="170"/>
        <v xml:space="preserve">   128  243       821      1094      1278      1505      1456      1636</v>
      </c>
      <c r="T155" s="42">
        <v>287</v>
      </c>
      <c r="U155" s="195">
        <f>VLOOKUP(MONTH(R1),Enas!L22:R33,7)</f>
        <v>0.14073516000000003</v>
      </c>
      <c r="V155" s="191">
        <v>0.16009999999999999</v>
      </c>
      <c r="W155" s="187">
        <v>287</v>
      </c>
      <c r="X155" s="187">
        <v>0.15890000000000001</v>
      </c>
      <c r="Z155" s="101">
        <v>135</v>
      </c>
      <c r="AA155" s="101">
        <v>1</v>
      </c>
      <c r="AB155" s="101">
        <v>0.2094</v>
      </c>
      <c r="AD155" s="102">
        <f t="shared" si="173"/>
        <v>137</v>
      </c>
      <c r="AE155" s="102">
        <f t="shared" si="173"/>
        <v>253</v>
      </c>
      <c r="AF155" s="102">
        <f t="shared" si="174"/>
        <v>1207</v>
      </c>
      <c r="AG155" s="102">
        <f t="shared" si="175"/>
        <v>1455</v>
      </c>
      <c r="AH155" s="102">
        <f t="shared" si="176"/>
        <v>1392</v>
      </c>
      <c r="AI155" s="102">
        <f t="shared" si="177"/>
        <v>1353</v>
      </c>
      <c r="AJ155" s="102">
        <f t="shared" si="178"/>
        <v>1591</v>
      </c>
      <c r="AK155" s="102">
        <f t="shared" si="179"/>
        <v>1414</v>
      </c>
      <c r="AL155" s="102">
        <f>VLOOKUP($AE155,Usinas!$B$3:$F$241,5,FALSE)</f>
        <v>1</v>
      </c>
      <c r="AM155" s="102" t="str">
        <f>VLOOKUP($AE155,Usinas!$B$3:$H$241,7,FALSE)</f>
        <v>SUDESTE</v>
      </c>
      <c r="AN155" s="102" t="str">
        <f>VLOOKUP($AE155,Usinas!$B$3:$D$241,3,FALSE)</f>
        <v>TOCANTINS (SE)</v>
      </c>
      <c r="AP155" s="103">
        <v>135</v>
      </c>
      <c r="AQ155" s="103" t="str">
        <f>IF(BA155=1,VLOOKUP($AP155,Usinas!$B$3:$F$244,2,0),"")</f>
        <v>BARRA BRAUNA</v>
      </c>
      <c r="AR155" s="103" t="str">
        <f>IF(BA155=1,VLOOKUP($AP155,Usinas!$B$3:$F$241,3,0),"")</f>
        <v>PARAÍBA DO SUL</v>
      </c>
      <c r="AS155" s="103" t="str">
        <f>IF(BA155,VLOOKUP($AP155,Usinas!$B$3:$F$244,4,0),"")</f>
        <v>SUDESTE</v>
      </c>
      <c r="AT155" s="103">
        <f t="shared" si="187"/>
        <v>0.2094</v>
      </c>
      <c r="AU155" s="104">
        <f t="shared" si="191"/>
        <v>51.931200000000004</v>
      </c>
      <c r="AV155" s="104">
        <f t="shared" si="191"/>
        <v>58.8414</v>
      </c>
      <c r="AW155" s="104">
        <f t="shared" si="191"/>
        <v>51.721800000000002</v>
      </c>
      <c r="AX155" s="104">
        <f t="shared" si="191"/>
        <v>40.204799999999999</v>
      </c>
      <c r="AY155" s="104">
        <f t="shared" si="191"/>
        <v>41.461199999999998</v>
      </c>
      <c r="AZ155" s="104">
        <f t="shared" si="191"/>
        <v>37.063800000000001</v>
      </c>
      <c r="BA155" s="103">
        <f t="shared" si="188"/>
        <v>1</v>
      </c>
      <c r="BB155" s="103">
        <f t="shared" si="189"/>
        <v>0</v>
      </c>
      <c r="BC155" s="103" t="str">
        <f>IF(BA155=1,VLOOKUP($AP155,Usinas!$B$3:$H$244,7,0),"")</f>
        <v>SUDESTE</v>
      </c>
      <c r="BM155" s="105">
        <f t="shared" si="180"/>
        <v>137</v>
      </c>
      <c r="BN155" s="105">
        <f t="shared" si="181"/>
        <v>253</v>
      </c>
      <c r="BO155" s="151">
        <f>IF($BP$15=1,IFERROR(VLOOKUP(BN155,$BZ$20:CA318,2,0),0),VALUE(RIGHT(LEFT($B164,21),10)))</f>
        <v>885</v>
      </c>
      <c r="BP155" s="105">
        <f t="shared" si="182"/>
        <v>1067</v>
      </c>
      <c r="BQ155" s="105">
        <f t="shared" si="183"/>
        <v>1021</v>
      </c>
      <c r="BR155" s="105">
        <f t="shared" si="184"/>
        <v>992</v>
      </c>
      <c r="BS155" s="105">
        <f t="shared" si="185"/>
        <v>1167</v>
      </c>
      <c r="BT155" s="105">
        <f t="shared" si="186"/>
        <v>1037</v>
      </c>
      <c r="BU155" s="85"/>
      <c r="BV155" s="97" t="s">
        <v>331</v>
      </c>
      <c r="BW155" s="98">
        <f t="shared" ref="BW155:BW186" si="192">AE117</f>
        <v>191</v>
      </c>
      <c r="BX155" s="97" t="str">
        <f t="shared" si="190"/>
        <v>PST 190</v>
      </c>
      <c r="BZ155" s="147">
        <v>173</v>
      </c>
      <c r="CA155" s="148">
        <v>2081</v>
      </c>
      <c r="CB155" s="87"/>
      <c r="CC155" s="87"/>
      <c r="CF155" s="110"/>
      <c r="CG155" s="111"/>
      <c r="CH155" s="87"/>
      <c r="CI155" s="87"/>
      <c r="CJ155" s="87"/>
      <c r="CK155" s="87"/>
      <c r="CL155" s="87"/>
      <c r="CM155" s="87"/>
    </row>
    <row r="156" spans="2:91" ht="15.6" customHeight="1" x14ac:dyDescent="0.3">
      <c r="B156" s="99" t="s">
        <v>871</v>
      </c>
      <c r="C156" s="99"/>
      <c r="D156" s="99"/>
      <c r="E156" s="99"/>
      <c r="F156" s="99"/>
      <c r="G156" s="99"/>
      <c r="H156" s="99"/>
      <c r="I156" s="43"/>
      <c r="J156" s="99" t="str">
        <f t="shared" si="170"/>
        <v xml:space="preserve">   129  244      8082      9935     11347     12002     11994     12294</v>
      </c>
      <c r="T156" s="42"/>
      <c r="U156" s="135"/>
      <c r="V156" s="191"/>
      <c r="W156" s="187">
        <v>288</v>
      </c>
      <c r="X156" s="187">
        <v>0</v>
      </c>
      <c r="Z156" s="101">
        <v>136</v>
      </c>
      <c r="AA156" s="101">
        <v>0</v>
      </c>
      <c r="AB156" s="101">
        <v>0</v>
      </c>
      <c r="AD156" s="102">
        <f t="shared" si="173"/>
        <v>138</v>
      </c>
      <c r="AE156" s="102">
        <f t="shared" si="173"/>
        <v>254</v>
      </c>
      <c r="AF156" s="102">
        <f t="shared" si="174"/>
        <v>126</v>
      </c>
      <c r="AG156" s="102">
        <f t="shared" si="175"/>
        <v>109</v>
      </c>
      <c r="AH156" s="102">
        <f t="shared" si="176"/>
        <v>125</v>
      </c>
      <c r="AI156" s="102">
        <f t="shared" si="177"/>
        <v>204</v>
      </c>
      <c r="AJ156" s="102">
        <f t="shared" si="178"/>
        <v>306</v>
      </c>
      <c r="AK156" s="102">
        <f t="shared" si="179"/>
        <v>134</v>
      </c>
      <c r="AL156" s="102">
        <f>VLOOKUP($AE156,Usinas!$B$3:$F$241,5,FALSE)</f>
        <v>3</v>
      </c>
      <c r="AM156" s="102" t="str">
        <f>VLOOKUP($AE156,Usinas!$B$3:$H$241,7,FALSE)</f>
        <v>NORDESTE</v>
      </c>
      <c r="AN156" s="102" t="str">
        <f>VLOOKUP($AE156,Usinas!$B$3:$D$241,3,FALSE)</f>
        <v>PARAGUAÇU</v>
      </c>
      <c r="AP156" s="103">
        <v>136</v>
      </c>
      <c r="AQ156" s="103" t="str">
        <f>IF(BA156=1,VLOOKUP($AP156,Usinas!$B$3:$F$244,2,0),"")</f>
        <v/>
      </c>
      <c r="AR156" s="103" t="str">
        <f>IF(BA156=1,VLOOKUP($AP156,Usinas!$B$3:$F$241,3,0),"")</f>
        <v/>
      </c>
      <c r="AS156" s="103" t="str">
        <f>IF(BA156,VLOOKUP($AP156,Usinas!$B$3:$F$244,4,0),"")</f>
        <v/>
      </c>
      <c r="AT156" s="103" t="str">
        <f t="shared" si="187"/>
        <v/>
      </c>
      <c r="AU156" s="104" t="str">
        <f t="shared" si="191"/>
        <v/>
      </c>
      <c r="AV156" s="104" t="str">
        <f t="shared" si="191"/>
        <v/>
      </c>
      <c r="AW156" s="104" t="str">
        <f t="shared" si="191"/>
        <v/>
      </c>
      <c r="AX156" s="104" t="str">
        <f t="shared" si="191"/>
        <v/>
      </c>
      <c r="AY156" s="104" t="str">
        <f t="shared" si="191"/>
        <v/>
      </c>
      <c r="AZ156" s="104" t="str">
        <f t="shared" si="191"/>
        <v/>
      </c>
      <c r="BA156" s="103">
        <f t="shared" si="188"/>
        <v>0</v>
      </c>
      <c r="BB156" s="103">
        <f t="shared" si="189"/>
        <v>0</v>
      </c>
      <c r="BC156" s="103" t="str">
        <f>IF(BA156=1,VLOOKUP($AP156,Usinas!$B$3:$H$244,7,0),"")</f>
        <v/>
      </c>
      <c r="BM156" s="105">
        <f t="shared" si="180"/>
        <v>138</v>
      </c>
      <c r="BN156" s="105">
        <f t="shared" si="181"/>
        <v>254</v>
      </c>
      <c r="BO156" s="151">
        <f>IF($BP$15=1,IFERROR(VLOOKUP(BN156,$BZ$20:CA319,2,0),0),VALUE(RIGHT(LEFT($B165,21),10)))</f>
        <v>113</v>
      </c>
      <c r="BP156" s="105">
        <f t="shared" si="182"/>
        <v>98</v>
      </c>
      <c r="BQ156" s="105">
        <f t="shared" si="183"/>
        <v>112</v>
      </c>
      <c r="BR156" s="105">
        <f t="shared" si="184"/>
        <v>183</v>
      </c>
      <c r="BS156" s="105">
        <f t="shared" si="185"/>
        <v>275</v>
      </c>
      <c r="BT156" s="105">
        <f t="shared" si="186"/>
        <v>120</v>
      </c>
      <c r="BU156" s="85"/>
      <c r="BV156" s="97" t="s">
        <v>331</v>
      </c>
      <c r="BW156" s="98">
        <f t="shared" si="192"/>
        <v>196</v>
      </c>
      <c r="BX156" s="97" t="str">
        <f t="shared" si="190"/>
        <v>PST 191</v>
      </c>
      <c r="BZ156" s="147">
        <v>174</v>
      </c>
      <c r="CA156" s="148">
        <v>2081</v>
      </c>
      <c r="CB156" s="87"/>
      <c r="CC156" s="87"/>
      <c r="CF156" s="110"/>
      <c r="CG156" s="111"/>
      <c r="CH156" s="87"/>
      <c r="CI156" s="87"/>
      <c r="CJ156" s="87"/>
      <c r="CK156" s="87"/>
      <c r="CL156" s="87"/>
      <c r="CM156" s="87"/>
    </row>
    <row r="157" spans="2:91" ht="15.6" x14ac:dyDescent="0.3">
      <c r="B157" s="99" t="s">
        <v>872</v>
      </c>
      <c r="C157" s="99"/>
      <c r="D157" s="99"/>
      <c r="E157" s="99"/>
      <c r="F157" s="99"/>
      <c r="G157" s="99"/>
      <c r="H157" s="99"/>
      <c r="I157" s="43"/>
      <c r="J157" s="99" t="str">
        <f t="shared" si="170"/>
        <v xml:space="preserve">   130  245      7864      9537     10918     11563     11552     11846</v>
      </c>
      <c r="T157" s="42"/>
      <c r="U157" s="195">
        <v>0.21010000000000001</v>
      </c>
      <c r="V157" s="191"/>
      <c r="W157" s="187">
        <v>290</v>
      </c>
      <c r="X157" s="187">
        <v>0.23150000000000001</v>
      </c>
      <c r="Z157" s="101">
        <v>137</v>
      </c>
      <c r="AA157" s="101">
        <v>0</v>
      </c>
      <c r="AB157" s="101">
        <v>0</v>
      </c>
      <c r="AD157" s="102">
        <f t="shared" si="173"/>
        <v>139</v>
      </c>
      <c r="AE157" s="102">
        <f t="shared" si="173"/>
        <v>255</v>
      </c>
      <c r="AF157" s="102">
        <f t="shared" si="174"/>
        <v>372</v>
      </c>
      <c r="AG157" s="102">
        <f t="shared" si="175"/>
        <v>320</v>
      </c>
      <c r="AH157" s="102">
        <f t="shared" si="176"/>
        <v>271</v>
      </c>
      <c r="AI157" s="102">
        <f t="shared" si="177"/>
        <v>331</v>
      </c>
      <c r="AJ157" s="102">
        <f t="shared" si="178"/>
        <v>327</v>
      </c>
      <c r="AK157" s="102">
        <f t="shared" si="179"/>
        <v>244</v>
      </c>
      <c r="AL157" s="102">
        <f>VLOOKUP($AE157,Usinas!$B$3:$F$241,5,FALSE)</f>
        <v>1</v>
      </c>
      <c r="AM157" s="102" t="str">
        <f>VLOOKUP($AE157,Usinas!$B$3:$H$241,7,FALSE)</f>
        <v>SUDESTE</v>
      </c>
      <c r="AN157" s="102" t="str">
        <f>VLOOKUP($AE157,Usinas!$B$3:$D$241,3,FALSE)</f>
        <v>JEQUITINHONHA (SE)</v>
      </c>
      <c r="AP157" s="103">
        <v>137</v>
      </c>
      <c r="AQ157" s="103" t="str">
        <f>IF(BA157=1,VLOOKUP($AP157,Usinas!$B$3:$F$244,2,0),"")</f>
        <v/>
      </c>
      <c r="AR157" s="103" t="str">
        <f>IF(BA157=1,VLOOKUP($AP157,Usinas!$B$3:$F$241,3,0),"")</f>
        <v/>
      </c>
      <c r="AS157" s="103" t="str">
        <f>IF(BA157,VLOOKUP($AP157,Usinas!$B$3:$F$244,4,0),"")</f>
        <v/>
      </c>
      <c r="AT157" s="103" t="str">
        <f t="shared" si="187"/>
        <v/>
      </c>
      <c r="AU157" s="104" t="str">
        <f t="shared" si="191"/>
        <v/>
      </c>
      <c r="AV157" s="104" t="str">
        <f t="shared" si="191"/>
        <v/>
      </c>
      <c r="AW157" s="104" t="str">
        <f t="shared" si="191"/>
        <v/>
      </c>
      <c r="AX157" s="104" t="str">
        <f t="shared" si="191"/>
        <v/>
      </c>
      <c r="AY157" s="104" t="str">
        <f t="shared" si="191"/>
        <v/>
      </c>
      <c r="AZ157" s="104" t="str">
        <f t="shared" si="191"/>
        <v/>
      </c>
      <c r="BA157" s="103">
        <f t="shared" si="188"/>
        <v>0</v>
      </c>
      <c r="BB157" s="103">
        <f t="shared" si="189"/>
        <v>0</v>
      </c>
      <c r="BC157" s="103" t="str">
        <f>IF(BA157=1,VLOOKUP($AP157,Usinas!$B$3:$H$244,7,0),"")</f>
        <v/>
      </c>
      <c r="BM157" s="105">
        <f t="shared" si="180"/>
        <v>139</v>
      </c>
      <c r="BN157" s="105">
        <f t="shared" si="181"/>
        <v>255</v>
      </c>
      <c r="BO157" s="151">
        <f>IF($BP$15=1,IFERROR(VLOOKUP(BN157,$BZ$20:CA320,2,0),0),VALUE(RIGHT(LEFT($B166,21),10)))</f>
        <v>273</v>
      </c>
      <c r="BP157" s="105">
        <f t="shared" si="182"/>
        <v>235</v>
      </c>
      <c r="BQ157" s="105">
        <f t="shared" si="183"/>
        <v>199</v>
      </c>
      <c r="BR157" s="105">
        <f t="shared" si="184"/>
        <v>243</v>
      </c>
      <c r="BS157" s="105">
        <f t="shared" si="185"/>
        <v>240</v>
      </c>
      <c r="BT157" s="105">
        <f t="shared" si="186"/>
        <v>179</v>
      </c>
      <c r="BU157" s="85"/>
      <c r="BV157" s="97" t="s">
        <v>331</v>
      </c>
      <c r="BW157" s="98">
        <f t="shared" si="192"/>
        <v>197</v>
      </c>
      <c r="BX157" s="97" t="str">
        <f t="shared" si="190"/>
        <v>PST 196</v>
      </c>
      <c r="BZ157" s="147">
        <v>175</v>
      </c>
      <c r="CA157" s="148">
        <v>2081</v>
      </c>
      <c r="CB157" s="87"/>
      <c r="CC157" s="87"/>
      <c r="CF157" s="110"/>
      <c r="CG157" s="111"/>
      <c r="CH157" s="87"/>
      <c r="CI157" s="87"/>
      <c r="CJ157" s="87"/>
      <c r="CK157" s="87"/>
      <c r="CL157" s="87"/>
      <c r="CM157" s="87"/>
    </row>
    <row r="158" spans="2:91" ht="15.6" x14ac:dyDescent="0.3">
      <c r="B158" s="99" t="s">
        <v>873</v>
      </c>
      <c r="C158" s="99"/>
      <c r="D158" s="99"/>
      <c r="E158" s="99"/>
      <c r="F158" s="99"/>
      <c r="G158" s="99"/>
      <c r="H158" s="99"/>
      <c r="I158" s="43"/>
      <c r="J158" s="99" t="str">
        <f t="shared" ref="J158:J189" si="193">IF(B158&lt;&gt;0,RIGHT("      "&amp;ROUND(AD149,0),6)&amp;(RIGHT("     "&amp;ROUND(AE149,0),5))&amp;RIGHT("          "&amp;ROUND(AF149,0),10)&amp;RIGHT("          "&amp;ROUND(AG149,),10)&amp;RIGHT("         "&amp;ROUND(AH149,0),10)&amp;RIGHT("          "&amp;ROUND(AI149,0),10)&amp;RIGHT("          "&amp;ROUND(AJ149,0),10)&amp;RIGHT("          "&amp;ROUND(AK149,0),10),"")</f>
        <v xml:space="preserve">   131  246      8757     10039     11863     12676     12807     13284</v>
      </c>
      <c r="T158" s="42"/>
      <c r="U158" s="135"/>
      <c r="V158" s="191"/>
      <c r="W158" s="187">
        <v>291</v>
      </c>
      <c r="X158" s="187">
        <v>0.86890000000000001</v>
      </c>
      <c r="Z158" s="101">
        <v>138</v>
      </c>
      <c r="AA158" s="101">
        <v>0</v>
      </c>
      <c r="AB158" s="101">
        <v>0</v>
      </c>
      <c r="AD158" s="102">
        <f t="shared" si="173"/>
        <v>140</v>
      </c>
      <c r="AE158" s="102">
        <f t="shared" si="173"/>
        <v>257</v>
      </c>
      <c r="AF158" s="102">
        <f t="shared" si="174"/>
        <v>2389</v>
      </c>
      <c r="AG158" s="102">
        <f t="shared" si="175"/>
        <v>2666</v>
      </c>
      <c r="AH158" s="102">
        <f t="shared" si="176"/>
        <v>2561</v>
      </c>
      <c r="AI158" s="102">
        <f t="shared" si="177"/>
        <v>2527</v>
      </c>
      <c r="AJ158" s="102">
        <f t="shared" si="178"/>
        <v>2805</v>
      </c>
      <c r="AK158" s="102">
        <f t="shared" si="179"/>
        <v>2465</v>
      </c>
      <c r="AL158" s="102">
        <f>VLOOKUP($AE158,Usinas!$B$3:$F$241,5,FALSE)</f>
        <v>1</v>
      </c>
      <c r="AM158" s="102" t="str">
        <f>VLOOKUP($AE158,Usinas!$B$3:$H$241,7,FALSE)</f>
        <v>SUDESTE</v>
      </c>
      <c r="AN158" s="102" t="str">
        <f>VLOOKUP($AE158,Usinas!$B$3:$D$241,3,FALSE)</f>
        <v>TOCANTINS (SE)</v>
      </c>
      <c r="AP158" s="103">
        <v>138</v>
      </c>
      <c r="AQ158" s="103" t="str">
        <f>IF(BA158=1,VLOOKUP($AP158,Usinas!$B$3:$F$244,2,0),"")</f>
        <v/>
      </c>
      <c r="AR158" s="103" t="str">
        <f>IF(BA158=1,VLOOKUP($AP158,Usinas!$B$3:$F$241,3,0),"")</f>
        <v/>
      </c>
      <c r="AS158" s="103" t="str">
        <f>IF(BA158,VLOOKUP($AP158,Usinas!$B$3:$F$244,4,0),"")</f>
        <v/>
      </c>
      <c r="AT158" s="103" t="str">
        <f t="shared" si="187"/>
        <v/>
      </c>
      <c r="AU158" s="104" t="str">
        <f t="shared" si="191"/>
        <v/>
      </c>
      <c r="AV158" s="104" t="str">
        <f t="shared" si="191"/>
        <v/>
      </c>
      <c r="AW158" s="104" t="str">
        <f t="shared" si="191"/>
        <v/>
      </c>
      <c r="AX158" s="104" t="str">
        <f t="shared" si="191"/>
        <v/>
      </c>
      <c r="AY158" s="104" t="str">
        <f t="shared" si="191"/>
        <v/>
      </c>
      <c r="AZ158" s="104" t="str">
        <f t="shared" si="191"/>
        <v/>
      </c>
      <c r="BA158" s="103">
        <f t="shared" si="188"/>
        <v>0</v>
      </c>
      <c r="BB158" s="103">
        <f t="shared" si="189"/>
        <v>0</v>
      </c>
      <c r="BC158" s="103" t="str">
        <f>IF(BA158=1,VLOOKUP($AP158,Usinas!$B$3:$H$244,7,0),"")</f>
        <v/>
      </c>
      <c r="BM158" s="105">
        <f t="shared" si="180"/>
        <v>140</v>
      </c>
      <c r="BN158" s="105">
        <f t="shared" si="181"/>
        <v>257</v>
      </c>
      <c r="BO158" s="151">
        <f>IF($BP$15=1,IFERROR(VLOOKUP(BN158,$BZ$20:CA321,2,0),0),VALUE(RIGHT(LEFT($B167,21),10)))</f>
        <v>1752</v>
      </c>
      <c r="BP158" s="105">
        <f t="shared" si="182"/>
        <v>1955</v>
      </c>
      <c r="BQ158" s="105">
        <f t="shared" si="183"/>
        <v>1878</v>
      </c>
      <c r="BR158" s="105">
        <f t="shared" si="184"/>
        <v>1853</v>
      </c>
      <c r="BS158" s="105">
        <f t="shared" si="185"/>
        <v>2057</v>
      </c>
      <c r="BT158" s="105">
        <f t="shared" si="186"/>
        <v>1808</v>
      </c>
      <c r="BU158" s="85"/>
      <c r="BV158" s="97" t="s">
        <v>331</v>
      </c>
      <c r="BW158" s="98">
        <f t="shared" si="192"/>
        <v>198</v>
      </c>
      <c r="BX158" s="97" t="str">
        <f t="shared" si="190"/>
        <v>PST 197</v>
      </c>
      <c r="BZ158" s="147">
        <v>178</v>
      </c>
      <c r="CA158" s="148">
        <v>2297</v>
      </c>
      <c r="CB158" s="87"/>
      <c r="CC158" s="87"/>
      <c r="CF158" s="110"/>
      <c r="CG158" s="111"/>
      <c r="CH158" s="87"/>
      <c r="CI158" s="87"/>
      <c r="CJ158" s="87"/>
      <c r="CK158" s="87"/>
      <c r="CL158" s="87"/>
      <c r="CM158" s="87"/>
    </row>
    <row r="159" spans="2:91" ht="15.6" x14ac:dyDescent="0.3">
      <c r="B159" s="99" t="s">
        <v>874</v>
      </c>
      <c r="C159" s="99"/>
      <c r="D159" s="99"/>
      <c r="E159" s="99"/>
      <c r="F159" s="99"/>
      <c r="G159" s="99"/>
      <c r="H159" s="99"/>
      <c r="I159" s="43"/>
      <c r="J159" s="99" t="str">
        <f t="shared" si="193"/>
        <v xml:space="preserve">   132  247       299       303       352       316       310       307</v>
      </c>
      <c r="T159" s="42"/>
      <c r="U159" s="135"/>
      <c r="V159" s="191"/>
      <c r="W159" s="187">
        <v>292</v>
      </c>
      <c r="X159" s="187">
        <v>0.80320000000000003</v>
      </c>
      <c r="Z159" s="101">
        <v>139</v>
      </c>
      <c r="AA159" s="101">
        <v>0</v>
      </c>
      <c r="AB159" s="101">
        <v>0</v>
      </c>
      <c r="AD159" s="102">
        <f t="shared" si="173"/>
        <v>141</v>
      </c>
      <c r="AE159" s="102">
        <f t="shared" si="173"/>
        <v>259</v>
      </c>
      <c r="AF159" s="102">
        <f t="shared" si="174"/>
        <v>75</v>
      </c>
      <c r="AG159" s="102">
        <f t="shared" si="175"/>
        <v>78</v>
      </c>
      <c r="AH159" s="102">
        <f t="shared" si="176"/>
        <v>91</v>
      </c>
      <c r="AI159" s="102">
        <f t="shared" si="177"/>
        <v>90</v>
      </c>
      <c r="AJ159" s="102">
        <f t="shared" si="178"/>
        <v>108</v>
      </c>
      <c r="AK159" s="102">
        <f t="shared" si="179"/>
        <v>108</v>
      </c>
      <c r="AL159" s="102">
        <f>VLOOKUP($AE159,Usinas!$B$3:$F$241,5,FALSE)</f>
        <v>1</v>
      </c>
      <c r="AM159" s="102" t="str">
        <f>VLOOKUP($AE159,Usinas!$B$3:$H$241,7,FALSE)</f>
        <v>SUDESTE</v>
      </c>
      <c r="AN159" s="102" t="str">
        <f>VLOOKUP($AE159,Usinas!$B$3:$D$241,3,FALSE)</f>
        <v>PARAGUAI</v>
      </c>
      <c r="AP159" s="103">
        <v>139</v>
      </c>
      <c r="AQ159" s="103" t="str">
        <f>IF(BA159=1,VLOOKUP($AP159,Usinas!$B$3:$F$244,2,0),"")</f>
        <v/>
      </c>
      <c r="AR159" s="103" t="str">
        <f>IF(BA159=1,VLOOKUP($AP159,Usinas!$B$3:$F$241,3,0),"")</f>
        <v/>
      </c>
      <c r="AS159" s="103" t="str">
        <f>IF(BA159,VLOOKUP($AP159,Usinas!$B$3:$F$244,4,0),"")</f>
        <v/>
      </c>
      <c r="AT159" s="103" t="str">
        <f t="shared" si="187"/>
        <v/>
      </c>
      <c r="AU159" s="104" t="str">
        <f t="shared" si="191"/>
        <v/>
      </c>
      <c r="AV159" s="104" t="str">
        <f t="shared" si="191"/>
        <v/>
      </c>
      <c r="AW159" s="104" t="str">
        <f t="shared" si="191"/>
        <v/>
      </c>
      <c r="AX159" s="104" t="str">
        <f t="shared" si="191"/>
        <v/>
      </c>
      <c r="AY159" s="104" t="str">
        <f t="shared" si="191"/>
        <v/>
      </c>
      <c r="AZ159" s="104" t="str">
        <f t="shared" si="191"/>
        <v/>
      </c>
      <c r="BA159" s="103">
        <f t="shared" si="188"/>
        <v>0</v>
      </c>
      <c r="BB159" s="103">
        <f t="shared" si="189"/>
        <v>0</v>
      </c>
      <c r="BC159" s="103" t="str">
        <f>IF(BA159=1,VLOOKUP($AP159,Usinas!$B$3:$H$244,7,0),"")</f>
        <v/>
      </c>
      <c r="BM159" s="105">
        <f t="shared" si="180"/>
        <v>141</v>
      </c>
      <c r="BN159" s="105">
        <f t="shared" si="181"/>
        <v>259</v>
      </c>
      <c r="BO159" s="151">
        <f>IF($BP$15=1,IFERROR(VLOOKUP(BN159,$BZ$20:CA322,2,0),0),VALUE(RIGHT(LEFT($B168,21),10)))</f>
        <v>55</v>
      </c>
      <c r="BP159" s="105">
        <f t="shared" si="182"/>
        <v>57</v>
      </c>
      <c r="BQ159" s="105">
        <f t="shared" si="183"/>
        <v>67</v>
      </c>
      <c r="BR159" s="105">
        <f t="shared" si="184"/>
        <v>66</v>
      </c>
      <c r="BS159" s="105">
        <f t="shared" si="185"/>
        <v>79</v>
      </c>
      <c r="BT159" s="105">
        <f t="shared" si="186"/>
        <v>79</v>
      </c>
      <c r="BU159" s="85"/>
      <c r="BV159" s="97" t="s">
        <v>331</v>
      </c>
      <c r="BW159" s="98">
        <f t="shared" si="192"/>
        <v>201</v>
      </c>
      <c r="BX159" s="97" t="str">
        <f t="shared" si="190"/>
        <v>PST 198</v>
      </c>
      <c r="BZ159" s="147">
        <v>190</v>
      </c>
      <c r="CA159" s="148">
        <v>361</v>
      </c>
      <c r="CB159" s="87"/>
      <c r="CC159" s="87"/>
      <c r="CF159" s="110"/>
      <c r="CG159" s="111"/>
      <c r="CH159" s="87"/>
      <c r="CI159" s="87"/>
      <c r="CJ159" s="87"/>
      <c r="CK159" s="87"/>
      <c r="CL159" s="87"/>
      <c r="CM159" s="87"/>
    </row>
    <row r="160" spans="2:91" ht="15.6" x14ac:dyDescent="0.3">
      <c r="B160" s="99" t="s">
        <v>875</v>
      </c>
      <c r="C160" s="99"/>
      <c r="D160" s="99"/>
      <c r="E160" s="99"/>
      <c r="F160" s="99"/>
      <c r="G160" s="99"/>
      <c r="H160" s="99"/>
      <c r="I160" s="43"/>
      <c r="J160" s="99" t="str">
        <f t="shared" si="193"/>
        <v xml:space="preserve">   133  248       311       314       364       331       323       320</v>
      </c>
      <c r="T160" s="42"/>
      <c r="U160" s="135">
        <f>U155/V155</f>
        <v>0.87904534665833878</v>
      </c>
      <c r="V160" s="191"/>
      <c r="W160" s="187">
        <v>294</v>
      </c>
      <c r="X160" s="187">
        <v>0.45019999999999999</v>
      </c>
      <c r="Z160" s="101">
        <v>140</v>
      </c>
      <c r="AA160" s="101">
        <v>0</v>
      </c>
      <c r="AB160" s="101">
        <v>0</v>
      </c>
      <c r="AD160" s="102">
        <f t="shared" si="173"/>
        <v>142</v>
      </c>
      <c r="AE160" s="102">
        <f t="shared" si="173"/>
        <v>261</v>
      </c>
      <c r="AF160" s="102">
        <f t="shared" si="174"/>
        <v>333</v>
      </c>
      <c r="AG160" s="102">
        <f t="shared" si="175"/>
        <v>334</v>
      </c>
      <c r="AH160" s="102">
        <f t="shared" si="176"/>
        <v>389</v>
      </c>
      <c r="AI160" s="102">
        <f t="shared" si="177"/>
        <v>357</v>
      </c>
      <c r="AJ160" s="102">
        <f t="shared" si="178"/>
        <v>346</v>
      </c>
      <c r="AK160" s="102">
        <f t="shared" si="179"/>
        <v>342</v>
      </c>
      <c r="AL160" s="102">
        <f>VLOOKUP($AE160,Usinas!$B$3:$F$241,5,FALSE)</f>
        <v>1</v>
      </c>
      <c r="AM160" s="102" t="str">
        <f>VLOOKUP($AE160,Usinas!$B$3:$H$241,7,FALSE)</f>
        <v>PARANA</v>
      </c>
      <c r="AN160" s="102" t="str">
        <f>VLOOKUP($AE160,Usinas!$B$3:$D$241,3,FALSE)</f>
        <v>PARANAÍBA</v>
      </c>
      <c r="AP160" s="103">
        <v>140</v>
      </c>
      <c r="AQ160" s="103" t="str">
        <f>IF(BA160=1,VLOOKUP($AP160,Usinas!$B$3:$F$244,2,0),"")</f>
        <v/>
      </c>
      <c r="AR160" s="103" t="str">
        <f>IF(BA160=1,VLOOKUP($AP160,Usinas!$B$3:$F$241,3,0),"")</f>
        <v/>
      </c>
      <c r="AS160" s="103" t="str">
        <f>IF(BA160,VLOOKUP($AP160,Usinas!$B$3:$F$244,4,0),"")</f>
        <v/>
      </c>
      <c r="AT160" s="103" t="str">
        <f t="shared" si="187"/>
        <v/>
      </c>
      <c r="AU160" s="104" t="str">
        <f t="shared" si="191"/>
        <v/>
      </c>
      <c r="AV160" s="104" t="str">
        <f t="shared" si="191"/>
        <v/>
      </c>
      <c r="AW160" s="104" t="str">
        <f t="shared" si="191"/>
        <v/>
      </c>
      <c r="AX160" s="104" t="str">
        <f t="shared" si="191"/>
        <v/>
      </c>
      <c r="AY160" s="104" t="str">
        <f t="shared" si="191"/>
        <v/>
      </c>
      <c r="AZ160" s="104" t="str">
        <f t="shared" si="191"/>
        <v/>
      </c>
      <c r="BA160" s="103">
        <f t="shared" si="188"/>
        <v>0</v>
      </c>
      <c r="BB160" s="103">
        <f t="shared" si="189"/>
        <v>0</v>
      </c>
      <c r="BC160" s="103" t="str">
        <f>IF(BA160=1,VLOOKUP($AP160,Usinas!$B$3:$H$244,7,0),"")</f>
        <v/>
      </c>
      <c r="BM160" s="105">
        <f t="shared" si="180"/>
        <v>142</v>
      </c>
      <c r="BN160" s="105">
        <f t="shared" si="181"/>
        <v>261</v>
      </c>
      <c r="BO160" s="151">
        <f>IF($BP$15=1,IFERROR(VLOOKUP(BN160,$BZ$20:CA323,2,0),0),VALUE(RIGHT(LEFT($B169,21),10)))</f>
        <v>244</v>
      </c>
      <c r="BP160" s="105">
        <f t="shared" si="182"/>
        <v>245</v>
      </c>
      <c r="BQ160" s="105">
        <f t="shared" si="183"/>
        <v>285</v>
      </c>
      <c r="BR160" s="105">
        <f t="shared" si="184"/>
        <v>262</v>
      </c>
      <c r="BS160" s="105">
        <f t="shared" si="185"/>
        <v>254</v>
      </c>
      <c r="BT160" s="105">
        <f t="shared" si="186"/>
        <v>251</v>
      </c>
      <c r="BU160" s="85"/>
      <c r="BV160" s="97" t="s">
        <v>331</v>
      </c>
      <c r="BW160" s="98">
        <f t="shared" si="192"/>
        <v>202</v>
      </c>
      <c r="BX160" s="97" t="str">
        <f t="shared" si="190"/>
        <v>PST 201</v>
      </c>
      <c r="BZ160" s="147">
        <v>270</v>
      </c>
      <c r="CA160" s="148">
        <v>439</v>
      </c>
      <c r="CB160" s="87"/>
      <c r="CC160" s="87"/>
      <c r="CF160" s="110"/>
      <c r="CG160" s="111"/>
      <c r="CH160" s="87"/>
      <c r="CI160" s="87"/>
      <c r="CJ160" s="87"/>
      <c r="CK160" s="87"/>
      <c r="CL160" s="87"/>
      <c r="CM160" s="87"/>
    </row>
    <row r="161" spans="2:91" ht="15.6" x14ac:dyDescent="0.3">
      <c r="B161" s="99" t="s">
        <v>814</v>
      </c>
      <c r="C161" s="99"/>
      <c r="D161" s="99"/>
      <c r="E161" s="99"/>
      <c r="F161" s="99"/>
      <c r="G161" s="99"/>
      <c r="H161" s="99"/>
      <c r="I161" s="43"/>
      <c r="J161" s="99" t="str">
        <f t="shared" si="193"/>
        <v xml:space="preserve">   134  249       503       567       689       775       862       956</v>
      </c>
      <c r="T161" s="42"/>
      <c r="U161" s="135">
        <f>U153/V153</f>
        <v>0.98613626806833121</v>
      </c>
      <c r="V161" s="191"/>
      <c r="W161" s="187">
        <v>295</v>
      </c>
      <c r="X161" s="187">
        <v>0.92969999999999997</v>
      </c>
      <c r="Z161" s="101">
        <v>141</v>
      </c>
      <c r="AA161" s="101">
        <v>1</v>
      </c>
      <c r="AB161" s="101">
        <v>0.16980000000000001</v>
      </c>
      <c r="AD161" s="102">
        <f t="shared" si="173"/>
        <v>143</v>
      </c>
      <c r="AE161" s="102">
        <f t="shared" si="173"/>
        <v>262</v>
      </c>
      <c r="AF161" s="102">
        <f t="shared" si="174"/>
        <v>151</v>
      </c>
      <c r="AG161" s="102">
        <f t="shared" si="175"/>
        <v>187</v>
      </c>
      <c r="AH161" s="102">
        <f t="shared" si="176"/>
        <v>153</v>
      </c>
      <c r="AI161" s="102">
        <f t="shared" si="177"/>
        <v>127</v>
      </c>
      <c r="AJ161" s="102">
        <f t="shared" si="178"/>
        <v>145</v>
      </c>
      <c r="AK161" s="102">
        <f t="shared" si="179"/>
        <v>98</v>
      </c>
      <c r="AL161" s="102">
        <f>VLOOKUP($AE161,Usinas!$B$3:$F$241,5,FALSE)</f>
        <v>1</v>
      </c>
      <c r="AM161" s="102" t="str">
        <f>VLOOKUP($AE161,Usinas!$B$3:$H$241,7,FALSE)</f>
        <v>SUDESTE</v>
      </c>
      <c r="AN161" s="102" t="str">
        <f>VLOOKUP($AE161,Usinas!$B$3:$D$241,3,FALSE)</f>
        <v>DOCE</v>
      </c>
      <c r="AP161" s="103">
        <v>141</v>
      </c>
      <c r="AQ161" s="103" t="str">
        <f>IF(BA161=1,VLOOKUP($AP161,Usinas!$B$3:$F$244,2,0),"")</f>
        <v>BAGUARI</v>
      </c>
      <c r="AR161" s="103" t="str">
        <f>IF(BA161=1,VLOOKUP($AP161,Usinas!$B$3:$F$241,3,0),"")</f>
        <v>DOCE</v>
      </c>
      <c r="AS161" s="103" t="str">
        <f>IF(BA161,VLOOKUP($AP161,Usinas!$B$3:$F$244,4,0),"")</f>
        <v>SUDESTE</v>
      </c>
      <c r="AT161" s="103">
        <f t="shared" si="187"/>
        <v>0.16980000000000001</v>
      </c>
      <c r="AU161" s="104">
        <f t="shared" ref="AU161:AZ170" si="194">IF($BA161=1,IFERROR(VLOOKUP($AP161,$AE$21:$AK$211,AU$19,0),VLOOKUP($AP161,$BE$21:$BK$65,AU$19,0))*$AT161,"")</f>
        <v>198.83580000000001</v>
      </c>
      <c r="AV161" s="104">
        <f t="shared" si="194"/>
        <v>228.55080000000001</v>
      </c>
      <c r="AW161" s="104">
        <f t="shared" si="194"/>
        <v>189.8364</v>
      </c>
      <c r="AX161" s="104">
        <f t="shared" si="194"/>
        <v>172.6866</v>
      </c>
      <c r="AY161" s="104">
        <f t="shared" si="194"/>
        <v>181.34640000000002</v>
      </c>
      <c r="AZ161" s="104">
        <f t="shared" si="194"/>
        <v>145.6884</v>
      </c>
      <c r="BA161" s="103">
        <f t="shared" si="188"/>
        <v>1</v>
      </c>
      <c r="BB161" s="103">
        <f t="shared" si="189"/>
        <v>0</v>
      </c>
      <c r="BC161" s="103" t="str">
        <f>IF(BA161=1,VLOOKUP($AP161,Usinas!$B$3:$H$244,7,0),"")</f>
        <v>SUDESTE</v>
      </c>
      <c r="BM161" s="105">
        <f t="shared" si="180"/>
        <v>143</v>
      </c>
      <c r="BN161" s="105">
        <f t="shared" si="181"/>
        <v>262</v>
      </c>
      <c r="BO161" s="151">
        <f>IF($BP$15=1,IFERROR(VLOOKUP(BN161,$BZ$20:CA324,2,0),0),VALUE(RIGHT(LEFT($B170,21),10)))</f>
        <v>111</v>
      </c>
      <c r="BP161" s="105">
        <f t="shared" si="182"/>
        <v>137</v>
      </c>
      <c r="BQ161" s="105">
        <f t="shared" si="183"/>
        <v>112</v>
      </c>
      <c r="BR161" s="105">
        <f t="shared" si="184"/>
        <v>93</v>
      </c>
      <c r="BS161" s="105">
        <f t="shared" si="185"/>
        <v>106</v>
      </c>
      <c r="BT161" s="105">
        <f t="shared" si="186"/>
        <v>72</v>
      </c>
      <c r="BU161" s="85"/>
      <c r="BV161" s="97" t="s">
        <v>331</v>
      </c>
      <c r="BW161" s="98">
        <f t="shared" si="192"/>
        <v>203</v>
      </c>
      <c r="BX161" s="97" t="str">
        <f t="shared" si="190"/>
        <v>PST 202</v>
      </c>
      <c r="BZ161" s="147">
        <v>191</v>
      </c>
      <c r="CA161" s="148">
        <v>470</v>
      </c>
      <c r="CB161" s="87"/>
      <c r="CC161" s="87"/>
      <c r="CF161" s="110"/>
      <c r="CG161" s="111"/>
      <c r="CH161" s="87"/>
      <c r="CI161" s="87"/>
      <c r="CJ161" s="87"/>
      <c r="CK161" s="87"/>
      <c r="CL161" s="87"/>
      <c r="CM161" s="87"/>
    </row>
    <row r="162" spans="2:91" ht="15.6" x14ac:dyDescent="0.3">
      <c r="B162" s="99" t="s">
        <v>876</v>
      </c>
      <c r="C162" s="99"/>
      <c r="D162" s="99"/>
      <c r="E162" s="99"/>
      <c r="F162" s="99"/>
      <c r="G162" s="99"/>
      <c r="H162" s="99"/>
      <c r="I162" s="43"/>
      <c r="J162" s="99" t="str">
        <f t="shared" si="193"/>
        <v xml:space="preserve">   135  251       270       348       335       333       356       367</v>
      </c>
      <c r="T162" s="42"/>
      <c r="U162" s="135"/>
      <c r="V162" s="191"/>
      <c r="W162" s="187">
        <v>296</v>
      </c>
      <c r="X162" s="187">
        <v>1.5451999999999999</v>
      </c>
      <c r="Z162" s="101">
        <v>142</v>
      </c>
      <c r="AA162" s="101">
        <v>0</v>
      </c>
      <c r="AB162" s="101">
        <v>0</v>
      </c>
      <c r="AD162" s="102">
        <f t="shared" si="173"/>
        <v>144</v>
      </c>
      <c r="AE162" s="102">
        <f t="shared" si="173"/>
        <v>263</v>
      </c>
      <c r="AF162" s="102">
        <f t="shared" si="174"/>
        <v>316</v>
      </c>
      <c r="AG162" s="102">
        <f t="shared" si="175"/>
        <v>312</v>
      </c>
      <c r="AH162" s="102">
        <f t="shared" si="176"/>
        <v>245</v>
      </c>
      <c r="AI162" s="102">
        <f t="shared" si="177"/>
        <v>284</v>
      </c>
      <c r="AJ162" s="102">
        <f t="shared" si="178"/>
        <v>277</v>
      </c>
      <c r="AK162" s="102">
        <f t="shared" si="179"/>
        <v>229</v>
      </c>
      <c r="AL162" s="102">
        <f>VLOOKUP($AE162,Usinas!$B$3:$F$241,5,FALSE)</f>
        <v>1</v>
      </c>
      <c r="AM162" s="102" t="str">
        <f>VLOOKUP($AE162,Usinas!$B$3:$H$241,7,FALSE)</f>
        <v>SUDESTE</v>
      </c>
      <c r="AN162" s="102" t="str">
        <f>VLOOKUP($AE162,Usinas!$B$3:$D$241,3,FALSE)</f>
        <v>DOCE</v>
      </c>
      <c r="AP162" s="103">
        <v>142</v>
      </c>
      <c r="AQ162" s="103" t="str">
        <f>IF(BA162=1,VLOOKUP($AP162,Usinas!$B$3:$F$244,2,0),"")</f>
        <v/>
      </c>
      <c r="AR162" s="103" t="str">
        <f>IF(BA162=1,VLOOKUP($AP162,Usinas!$B$3:$F$241,3,0),"")</f>
        <v/>
      </c>
      <c r="AS162" s="103" t="str">
        <f>IF(BA162,VLOOKUP($AP162,Usinas!$B$3:$F$244,4,0),"")</f>
        <v/>
      </c>
      <c r="AT162" s="103" t="str">
        <f t="shared" si="187"/>
        <v/>
      </c>
      <c r="AU162" s="104" t="str">
        <f t="shared" si="194"/>
        <v/>
      </c>
      <c r="AV162" s="104" t="str">
        <f t="shared" si="194"/>
        <v/>
      </c>
      <c r="AW162" s="104" t="str">
        <f t="shared" si="194"/>
        <v/>
      </c>
      <c r="AX162" s="104" t="str">
        <f t="shared" si="194"/>
        <v/>
      </c>
      <c r="AY162" s="104" t="str">
        <f t="shared" si="194"/>
        <v/>
      </c>
      <c r="AZ162" s="104" t="str">
        <f t="shared" si="194"/>
        <v/>
      </c>
      <c r="BA162" s="103">
        <f t="shared" si="188"/>
        <v>0</v>
      </c>
      <c r="BB162" s="103">
        <f t="shared" si="189"/>
        <v>0</v>
      </c>
      <c r="BC162" s="103" t="str">
        <f>IF(BA162=1,VLOOKUP($AP162,Usinas!$B$3:$H$244,7,0),"")</f>
        <v/>
      </c>
      <c r="BM162" s="105">
        <f t="shared" si="180"/>
        <v>144</v>
      </c>
      <c r="BN162" s="105">
        <f t="shared" si="181"/>
        <v>263</v>
      </c>
      <c r="BO162" s="151">
        <f>IF($BP$15=1,IFERROR(VLOOKUP(BN162,$BZ$20:CA325,2,0),0),VALUE(RIGHT(LEFT($B171,21),10)))</f>
        <v>232</v>
      </c>
      <c r="BP162" s="105">
        <f t="shared" si="182"/>
        <v>229</v>
      </c>
      <c r="BQ162" s="105">
        <f t="shared" si="183"/>
        <v>180</v>
      </c>
      <c r="BR162" s="105">
        <f t="shared" si="184"/>
        <v>208</v>
      </c>
      <c r="BS162" s="105">
        <f t="shared" si="185"/>
        <v>203</v>
      </c>
      <c r="BT162" s="105">
        <f t="shared" si="186"/>
        <v>168</v>
      </c>
      <c r="BU162" s="85"/>
      <c r="BV162" s="97" t="s">
        <v>331</v>
      </c>
      <c r="BW162" s="98">
        <f t="shared" si="192"/>
        <v>204</v>
      </c>
      <c r="BX162" s="97" t="str">
        <f t="shared" si="190"/>
        <v>PST 203</v>
      </c>
      <c r="BZ162" s="147">
        <v>253</v>
      </c>
      <c r="CA162" s="148">
        <v>505</v>
      </c>
      <c r="CB162" s="87"/>
      <c r="CC162" s="87"/>
      <c r="CF162" s="110"/>
      <c r="CG162" s="111"/>
      <c r="CH162" s="87"/>
      <c r="CI162" s="87"/>
      <c r="CJ162" s="87"/>
      <c r="CK162" s="87"/>
      <c r="CL162" s="87"/>
      <c r="CM162" s="87"/>
    </row>
    <row r="163" spans="2:91" ht="15.6" x14ac:dyDescent="0.3">
      <c r="B163" s="99" t="s">
        <v>815</v>
      </c>
      <c r="C163" s="99"/>
      <c r="D163" s="99"/>
      <c r="E163" s="99"/>
      <c r="F163" s="99"/>
      <c r="G163" s="99"/>
      <c r="H163" s="99"/>
      <c r="I163" s="43"/>
      <c r="J163" s="99" t="str">
        <f t="shared" si="193"/>
        <v xml:space="preserve">   136  252        76        79        93        91       109       109</v>
      </c>
      <c r="T163" s="42"/>
      <c r="U163" s="135"/>
      <c r="V163" s="191"/>
      <c r="W163" s="187">
        <v>297</v>
      </c>
      <c r="X163" s="187">
        <v>0.14990000000000001</v>
      </c>
      <c r="Z163" s="101">
        <v>143</v>
      </c>
      <c r="AA163" s="101">
        <v>0</v>
      </c>
      <c r="AB163" s="101">
        <v>0</v>
      </c>
      <c r="AD163" s="102">
        <f t="shared" si="173"/>
        <v>145</v>
      </c>
      <c r="AE163" s="102">
        <f t="shared" si="173"/>
        <v>266</v>
      </c>
      <c r="AF163" s="102">
        <f t="shared" si="174"/>
        <v>13245</v>
      </c>
      <c r="AG163" s="102">
        <f t="shared" si="175"/>
        <v>14190</v>
      </c>
      <c r="AH163" s="102">
        <f t="shared" si="176"/>
        <v>16674</v>
      </c>
      <c r="AI163" s="102">
        <f t="shared" si="177"/>
        <v>18278</v>
      </c>
      <c r="AJ163" s="102">
        <f t="shared" si="178"/>
        <v>18195</v>
      </c>
      <c r="AK163" s="102">
        <f t="shared" si="179"/>
        <v>18692</v>
      </c>
      <c r="AL163" s="102">
        <f>VLOOKUP($AE163,Usinas!$B$3:$F$241,5,FALSE)</f>
        <v>1</v>
      </c>
      <c r="AM163" s="102" t="str">
        <f>VLOOKUP($AE163,Usinas!$B$3:$H$241,7,FALSE)</f>
        <v>ITAIPU</v>
      </c>
      <c r="AN163" s="102" t="str">
        <f>VLOOKUP($AE163,Usinas!$B$3:$D$241,3,FALSE)</f>
        <v>BAIXO PARANÁ</v>
      </c>
      <c r="AP163" s="103">
        <v>143</v>
      </c>
      <c r="AQ163" s="103" t="str">
        <f>IF(BA163=1,VLOOKUP($AP163,Usinas!$B$3:$F$244,2,0),"")</f>
        <v/>
      </c>
      <c r="AR163" s="103" t="str">
        <f>IF(BA163=1,VLOOKUP($AP163,Usinas!$B$3:$F$241,3,0),"")</f>
        <v/>
      </c>
      <c r="AS163" s="103" t="str">
        <f>IF(BA163,VLOOKUP($AP163,Usinas!$B$3:$F$244,4,0),"")</f>
        <v/>
      </c>
      <c r="AT163" s="103" t="str">
        <f t="shared" si="187"/>
        <v/>
      </c>
      <c r="AU163" s="104" t="str">
        <f t="shared" si="194"/>
        <v/>
      </c>
      <c r="AV163" s="104" t="str">
        <f t="shared" si="194"/>
        <v/>
      </c>
      <c r="AW163" s="104" t="str">
        <f t="shared" si="194"/>
        <v/>
      </c>
      <c r="AX163" s="104" t="str">
        <f t="shared" si="194"/>
        <v/>
      </c>
      <c r="AY163" s="104" t="str">
        <f t="shared" si="194"/>
        <v/>
      </c>
      <c r="AZ163" s="104" t="str">
        <f t="shared" si="194"/>
        <v/>
      </c>
      <c r="BA163" s="103">
        <f t="shared" si="188"/>
        <v>0</v>
      </c>
      <c r="BB163" s="103">
        <f t="shared" si="189"/>
        <v>0</v>
      </c>
      <c r="BC163" s="103" t="str">
        <f>IF(BA163=1,VLOOKUP($AP163,Usinas!$B$3:$H$244,7,0),"")</f>
        <v/>
      </c>
      <c r="BM163" s="105">
        <f t="shared" si="180"/>
        <v>145</v>
      </c>
      <c r="BN163" s="105">
        <f t="shared" si="181"/>
        <v>266</v>
      </c>
      <c r="BO163" s="151">
        <f>IF($BP$15=1,IFERROR(VLOOKUP(BN163,$BZ$20:CA326,2,0),0),VALUE(RIGHT(LEFT($B172,21),10)))</f>
        <v>9713</v>
      </c>
      <c r="BP163" s="105">
        <f t="shared" si="182"/>
        <v>10406</v>
      </c>
      <c r="BQ163" s="105">
        <f t="shared" si="183"/>
        <v>12228</v>
      </c>
      <c r="BR163" s="105">
        <f t="shared" si="184"/>
        <v>13404</v>
      </c>
      <c r="BS163" s="105">
        <f t="shared" si="185"/>
        <v>13343</v>
      </c>
      <c r="BT163" s="105">
        <f t="shared" si="186"/>
        <v>13708</v>
      </c>
      <c r="BU163" s="85"/>
      <c r="BV163" s="97" t="s">
        <v>331</v>
      </c>
      <c r="BW163" s="98">
        <f t="shared" si="192"/>
        <v>205</v>
      </c>
      <c r="BX163" s="97" t="str">
        <f t="shared" si="190"/>
        <v>PST 204</v>
      </c>
      <c r="BZ163" s="147">
        <v>257</v>
      </c>
      <c r="CA163" s="148">
        <v>764</v>
      </c>
      <c r="CB163" s="87"/>
      <c r="CC163" s="87"/>
      <c r="CF163" s="110"/>
      <c r="CG163" s="111"/>
      <c r="CH163" s="87"/>
      <c r="CI163" s="87"/>
      <c r="CJ163" s="87"/>
      <c r="CK163" s="87"/>
      <c r="CL163" s="87"/>
      <c r="CM163" s="87"/>
    </row>
    <row r="164" spans="2:91" ht="15.6" x14ac:dyDescent="0.3">
      <c r="B164" s="99" t="s">
        <v>816</v>
      </c>
      <c r="C164" s="99"/>
      <c r="D164" s="99"/>
      <c r="E164" s="99"/>
      <c r="F164" s="99"/>
      <c r="G164" s="99"/>
      <c r="H164" s="99"/>
      <c r="I164" s="43"/>
      <c r="J164" s="99" t="str">
        <f t="shared" si="193"/>
        <v xml:space="preserve">   137  253      1207      1455      1392      1353      1591      1414</v>
      </c>
      <c r="T164" s="42"/>
      <c r="U164" s="135"/>
      <c r="V164" s="191"/>
      <c r="W164" s="187">
        <v>299</v>
      </c>
      <c r="X164" s="187">
        <v>0.2702</v>
      </c>
      <c r="Z164" s="101">
        <v>144</v>
      </c>
      <c r="AA164" s="101">
        <v>1</v>
      </c>
      <c r="AB164" s="101">
        <v>0.19889999999999999</v>
      </c>
      <c r="AD164" s="102">
        <f t="shared" si="173"/>
        <v>146</v>
      </c>
      <c r="AE164" s="102">
        <f t="shared" si="173"/>
        <v>269</v>
      </c>
      <c r="AF164" s="102">
        <f t="shared" si="174"/>
        <v>478</v>
      </c>
      <c r="AG164" s="102">
        <f t="shared" si="175"/>
        <v>463</v>
      </c>
      <c r="AH164" s="102">
        <f t="shared" si="176"/>
        <v>463</v>
      </c>
      <c r="AI164" s="102">
        <f t="shared" si="177"/>
        <v>522</v>
      </c>
      <c r="AJ164" s="102">
        <f t="shared" si="178"/>
        <v>508</v>
      </c>
      <c r="AK164" s="102">
        <f t="shared" si="179"/>
        <v>541</v>
      </c>
      <c r="AL164" s="102">
        <f>VLOOKUP($AE164,Usinas!$B$3:$F$241,5,FALSE)</f>
        <v>4</v>
      </c>
      <c r="AM164" s="102" t="str">
        <f>VLOOKUP($AE164,Usinas!$B$3:$H$241,7,FALSE)</f>
        <v>MANAUS</v>
      </c>
      <c r="AN164" s="102" t="str">
        <f>VLOOKUP($AE164,Usinas!$B$3:$D$241,3,FALSE)</f>
        <v>AMAZONAS (N)</v>
      </c>
      <c r="AP164" s="103">
        <v>144</v>
      </c>
      <c r="AQ164" s="103" t="str">
        <f>IF(BA164=1,VLOOKUP($AP164,Usinas!$B$3:$F$244,2,0),"")</f>
        <v>MASCARENHAS</v>
      </c>
      <c r="AR164" s="103" t="str">
        <f>IF(BA164=1,VLOOKUP($AP164,Usinas!$B$3:$F$241,3,0),"")</f>
        <v>DOCE</v>
      </c>
      <c r="AS164" s="103" t="str">
        <f>IF(BA164,VLOOKUP($AP164,Usinas!$B$3:$F$244,4,0),"")</f>
        <v>SUDESTE</v>
      </c>
      <c r="AT164" s="103">
        <f t="shared" si="187"/>
        <v>0.19889999999999999</v>
      </c>
      <c r="AU164" s="104">
        <f t="shared" si="194"/>
        <v>330.37290000000002</v>
      </c>
      <c r="AV164" s="104">
        <f t="shared" si="194"/>
        <v>373.5342</v>
      </c>
      <c r="AW164" s="104">
        <f t="shared" si="194"/>
        <v>310.08510000000001</v>
      </c>
      <c r="AX164" s="104">
        <f t="shared" si="194"/>
        <v>286.416</v>
      </c>
      <c r="AY164" s="104">
        <f t="shared" si="194"/>
        <v>297.35550000000001</v>
      </c>
      <c r="AZ164" s="104">
        <f t="shared" si="194"/>
        <v>239.47559999999999</v>
      </c>
      <c r="BA164" s="103">
        <f t="shared" si="188"/>
        <v>1</v>
      </c>
      <c r="BB164" s="103">
        <f t="shared" si="189"/>
        <v>0</v>
      </c>
      <c r="BC164" s="103" t="str">
        <f>IF(BA164=1,VLOOKUP($AP164,Usinas!$B$3:$H$244,7,0),"")</f>
        <v>SUDESTE</v>
      </c>
      <c r="BM164" s="105">
        <f t="shared" si="180"/>
        <v>146</v>
      </c>
      <c r="BN164" s="105">
        <f t="shared" si="181"/>
        <v>269</v>
      </c>
      <c r="BO164" s="151">
        <f>IF($BP$15=1,IFERROR(VLOOKUP(BN164,$BZ$20:CA327,2,0),0),VALUE(RIGHT(LEFT($B173,21),10)))</f>
        <v>516</v>
      </c>
      <c r="BP164" s="105">
        <f t="shared" si="182"/>
        <v>500</v>
      </c>
      <c r="BQ164" s="105">
        <f t="shared" si="183"/>
        <v>500</v>
      </c>
      <c r="BR164" s="105">
        <f t="shared" si="184"/>
        <v>564</v>
      </c>
      <c r="BS164" s="105">
        <f t="shared" si="185"/>
        <v>549</v>
      </c>
      <c r="BT164" s="105">
        <f t="shared" si="186"/>
        <v>584</v>
      </c>
      <c r="BU164" s="85"/>
      <c r="BV164" s="97" t="s">
        <v>331</v>
      </c>
      <c r="BW164" s="98">
        <f t="shared" si="192"/>
        <v>206</v>
      </c>
      <c r="BX164" s="97" t="str">
        <f t="shared" si="190"/>
        <v>PST 205</v>
      </c>
      <c r="BZ164" s="147">
        <v>273</v>
      </c>
      <c r="CA164" s="148">
        <v>1035</v>
      </c>
      <c r="CB164" s="87"/>
      <c r="CC164" s="87"/>
      <c r="CF164" s="110"/>
      <c r="CG164" s="111"/>
      <c r="CH164" s="87"/>
      <c r="CI164" s="87"/>
      <c r="CJ164" s="87"/>
      <c r="CK164" s="87"/>
      <c r="CL164" s="87"/>
      <c r="CM164" s="87"/>
    </row>
    <row r="165" spans="2:91" ht="15.6" x14ac:dyDescent="0.3">
      <c r="B165" s="99" t="s">
        <v>817</v>
      </c>
      <c r="C165" s="99"/>
      <c r="D165" s="99"/>
      <c r="E165" s="99"/>
      <c r="F165" s="99"/>
      <c r="G165" s="99"/>
      <c r="H165" s="99"/>
      <c r="I165" s="43"/>
      <c r="J165" s="99" t="str">
        <f t="shared" si="193"/>
        <v xml:space="preserve">   138  254       126       109       125       204       306       134</v>
      </c>
      <c r="T165" s="42"/>
      <c r="U165" s="135"/>
      <c r="V165" s="191"/>
      <c r="W165" s="187">
        <v>302</v>
      </c>
      <c r="X165" s="187">
        <v>0.1163</v>
      </c>
      <c r="Z165" s="101">
        <v>145</v>
      </c>
      <c r="AA165" s="101">
        <v>1</v>
      </c>
      <c r="AB165" s="101">
        <v>0.52439999999999998</v>
      </c>
      <c r="AD165" s="102">
        <f t="shared" si="173"/>
        <v>147</v>
      </c>
      <c r="AE165" s="102">
        <f t="shared" si="173"/>
        <v>270</v>
      </c>
      <c r="AF165" s="102">
        <f t="shared" si="174"/>
        <v>940</v>
      </c>
      <c r="AG165" s="102">
        <f t="shared" si="175"/>
        <v>1151</v>
      </c>
      <c r="AH165" s="102">
        <f t="shared" si="176"/>
        <v>1091</v>
      </c>
      <c r="AI165" s="102">
        <f t="shared" si="177"/>
        <v>1053</v>
      </c>
      <c r="AJ165" s="102">
        <f t="shared" si="178"/>
        <v>1301</v>
      </c>
      <c r="AK165" s="102">
        <f t="shared" si="179"/>
        <v>1136</v>
      </c>
      <c r="AL165" s="102">
        <f>VLOOKUP($AE165,Usinas!$B$3:$F$241,5,FALSE)</f>
        <v>1</v>
      </c>
      <c r="AM165" s="102" t="str">
        <f>VLOOKUP($AE165,Usinas!$B$3:$H$241,7,FALSE)</f>
        <v>SUDESTE</v>
      </c>
      <c r="AN165" s="102" t="str">
        <f>VLOOKUP($AE165,Usinas!$B$3:$D$241,3,FALSE)</f>
        <v>TOCANTINS (SE)</v>
      </c>
      <c r="AP165" s="103">
        <v>145</v>
      </c>
      <c r="AQ165" s="103" t="str">
        <f>IF(BA165=1,VLOOKUP($AP165,Usinas!$B$3:$F$244,2,0),"")</f>
        <v>RONDON II</v>
      </c>
      <c r="AR165" s="103" t="str">
        <f>IF(BA165=1,VLOOKUP($AP165,Usinas!$B$3:$F$241,3,0),"")</f>
        <v>AMAZONAS (SE)</v>
      </c>
      <c r="AS165" s="103" t="str">
        <f>IF(BA165,VLOOKUP($AP165,Usinas!$B$3:$F$244,4,0),"")</f>
        <v>SUDESTE</v>
      </c>
      <c r="AT165" s="103">
        <f t="shared" si="187"/>
        <v>0.52439999999999998</v>
      </c>
      <c r="AU165" s="104">
        <f t="shared" si="194"/>
        <v>64.501199999999997</v>
      </c>
      <c r="AV165" s="104">
        <f t="shared" si="194"/>
        <v>67.123199999999997</v>
      </c>
      <c r="AW165" s="104">
        <f t="shared" si="194"/>
        <v>70.793999999999997</v>
      </c>
      <c r="AX165" s="104">
        <f t="shared" si="194"/>
        <v>72.891599999999997</v>
      </c>
      <c r="AY165" s="104">
        <f t="shared" si="194"/>
        <v>80.757599999999996</v>
      </c>
      <c r="AZ165" s="104">
        <f t="shared" si="194"/>
        <v>80.757599999999996</v>
      </c>
      <c r="BA165" s="103">
        <f t="shared" si="188"/>
        <v>1</v>
      </c>
      <c r="BB165" s="103">
        <f t="shared" si="189"/>
        <v>0</v>
      </c>
      <c r="BC165" s="103" t="str">
        <f>IF(BA165=1,VLOOKUP($AP165,Usinas!$B$3:$H$244,7,0),"")</f>
        <v>MADEIRA</v>
      </c>
      <c r="BM165" s="105">
        <f t="shared" si="180"/>
        <v>147</v>
      </c>
      <c r="BN165" s="105">
        <f t="shared" si="181"/>
        <v>270</v>
      </c>
      <c r="BO165" s="151">
        <f>IF($BP$15=1,IFERROR(VLOOKUP(BN165,$BZ$20:CA328,2,0),0),VALUE(RIGHT(LEFT($B174,21),10)))</f>
        <v>689</v>
      </c>
      <c r="BP165" s="105">
        <f t="shared" si="182"/>
        <v>844</v>
      </c>
      <c r="BQ165" s="105">
        <f t="shared" si="183"/>
        <v>800</v>
      </c>
      <c r="BR165" s="105">
        <f t="shared" si="184"/>
        <v>772</v>
      </c>
      <c r="BS165" s="105">
        <f t="shared" si="185"/>
        <v>954</v>
      </c>
      <c r="BT165" s="105">
        <f t="shared" si="186"/>
        <v>833</v>
      </c>
      <c r="BU165" s="85"/>
      <c r="BV165" s="97" t="s">
        <v>331</v>
      </c>
      <c r="BW165" s="98">
        <f t="shared" si="192"/>
        <v>207</v>
      </c>
      <c r="BX165" s="97" t="str">
        <f t="shared" si="190"/>
        <v>PST 206</v>
      </c>
      <c r="BZ165" s="147">
        <v>271</v>
      </c>
      <c r="CA165" s="148">
        <v>2010</v>
      </c>
      <c r="CB165" s="87"/>
      <c r="CC165" s="87"/>
      <c r="CF165" s="110"/>
      <c r="CG165" s="111"/>
      <c r="CH165" s="87"/>
      <c r="CI165" s="87"/>
      <c r="CJ165" s="87"/>
      <c r="CK165" s="87"/>
      <c r="CL165" s="87"/>
      <c r="CM165" s="87"/>
    </row>
    <row r="166" spans="2:91" ht="15.6" x14ac:dyDescent="0.3">
      <c r="B166" s="99" t="s">
        <v>818</v>
      </c>
      <c r="C166" s="99"/>
      <c r="D166" s="99"/>
      <c r="E166" s="99"/>
      <c r="F166" s="99"/>
      <c r="G166" s="99"/>
      <c r="H166" s="99"/>
      <c r="I166" s="43"/>
      <c r="J166" s="99" t="str">
        <f t="shared" si="193"/>
        <v xml:space="preserve">   139  255       372       320       271       331       327       244</v>
      </c>
      <c r="T166" s="42"/>
      <c r="U166" s="135"/>
      <c r="V166" s="191"/>
      <c r="W166" s="187">
        <v>303</v>
      </c>
      <c r="X166" s="187">
        <v>2.7014</v>
      </c>
      <c r="Z166" s="101">
        <v>146</v>
      </c>
      <c r="AA166" s="101">
        <v>0</v>
      </c>
      <c r="AB166" s="101">
        <v>0</v>
      </c>
      <c r="AD166" s="102">
        <f t="shared" si="173"/>
        <v>148</v>
      </c>
      <c r="AE166" s="102">
        <f t="shared" si="173"/>
        <v>271</v>
      </c>
      <c r="AF166" s="102">
        <f t="shared" si="174"/>
        <v>3840</v>
      </c>
      <c r="AG166" s="102">
        <f t="shared" si="175"/>
        <v>4268</v>
      </c>
      <c r="AH166" s="102">
        <f t="shared" si="176"/>
        <v>4569</v>
      </c>
      <c r="AI166" s="102">
        <f t="shared" si="177"/>
        <v>4628</v>
      </c>
      <c r="AJ166" s="102">
        <f t="shared" si="178"/>
        <v>5038</v>
      </c>
      <c r="AK166" s="102">
        <f t="shared" si="179"/>
        <v>4909</v>
      </c>
      <c r="AL166" s="102">
        <f>VLOOKUP($AE166,Usinas!$B$3:$F$241,5,FALSE)</f>
        <v>4</v>
      </c>
      <c r="AM166" s="102" t="str">
        <f>VLOOKUP($AE166,Usinas!$B$3:$H$241,7,FALSE)</f>
        <v>NORTE</v>
      </c>
      <c r="AN166" s="102" t="str">
        <f>VLOOKUP($AE166,Usinas!$B$3:$D$241,3,FALSE)</f>
        <v>TOCANTINS (N)</v>
      </c>
      <c r="AP166" s="103">
        <v>146</v>
      </c>
      <c r="AQ166" s="103" t="str">
        <f>IF(BA166=1,VLOOKUP($AP166,Usinas!$B$3:$F$244,2,0),"")</f>
        <v/>
      </c>
      <c r="AR166" s="103" t="str">
        <f>IF(BA166=1,VLOOKUP($AP166,Usinas!$B$3:$F$241,3,0),"")</f>
        <v/>
      </c>
      <c r="AS166" s="103" t="str">
        <f>IF(BA166,VLOOKUP($AP166,Usinas!$B$3:$F$244,4,0),"")</f>
        <v/>
      </c>
      <c r="AT166" s="103" t="str">
        <f t="shared" si="187"/>
        <v/>
      </c>
      <c r="AU166" s="104" t="str">
        <f t="shared" si="194"/>
        <v/>
      </c>
      <c r="AV166" s="104" t="str">
        <f t="shared" si="194"/>
        <v/>
      </c>
      <c r="AW166" s="104" t="str">
        <f t="shared" si="194"/>
        <v/>
      </c>
      <c r="AX166" s="104" t="str">
        <f t="shared" si="194"/>
        <v/>
      </c>
      <c r="AY166" s="104" t="str">
        <f t="shared" si="194"/>
        <v/>
      </c>
      <c r="AZ166" s="104" t="str">
        <f t="shared" si="194"/>
        <v/>
      </c>
      <c r="BA166" s="103">
        <f t="shared" si="188"/>
        <v>0</v>
      </c>
      <c r="BB166" s="103">
        <f t="shared" si="189"/>
        <v>0</v>
      </c>
      <c r="BC166" s="103" t="str">
        <f>IF(BA166=1,VLOOKUP($AP166,Usinas!$B$3:$H$244,7,0),"")</f>
        <v/>
      </c>
      <c r="BM166" s="105">
        <f t="shared" si="180"/>
        <v>148</v>
      </c>
      <c r="BN166" s="105">
        <f t="shared" si="181"/>
        <v>271</v>
      </c>
      <c r="BO166" s="151">
        <f>IF($BP$15=1,IFERROR(VLOOKUP(BN166,$BZ$20:CA329,2,0),0),VALUE(RIGHT(LEFT($B175,21),10)))</f>
        <v>4147</v>
      </c>
      <c r="BP166" s="105">
        <f t="shared" si="182"/>
        <v>4609</v>
      </c>
      <c r="BQ166" s="105">
        <f t="shared" si="183"/>
        <v>4934</v>
      </c>
      <c r="BR166" s="105">
        <f t="shared" si="184"/>
        <v>4997</v>
      </c>
      <c r="BS166" s="105">
        <f t="shared" si="185"/>
        <v>5440</v>
      </c>
      <c r="BT166" s="105">
        <f t="shared" si="186"/>
        <v>5301</v>
      </c>
      <c r="BU166" s="85"/>
      <c r="BV166" s="97" t="s">
        <v>331</v>
      </c>
      <c r="BW166" s="98">
        <f t="shared" si="192"/>
        <v>209</v>
      </c>
      <c r="BX166" s="97" t="str">
        <f t="shared" si="190"/>
        <v>PST 207</v>
      </c>
      <c r="BZ166" s="147">
        <v>275</v>
      </c>
      <c r="CA166" s="148">
        <v>8508</v>
      </c>
      <c r="CB166" s="87"/>
      <c r="CC166" s="87"/>
      <c r="CF166" s="110"/>
      <c r="CG166" s="111"/>
      <c r="CH166" s="87"/>
      <c r="CI166" s="87"/>
      <c r="CJ166" s="87"/>
      <c r="CK166" s="87"/>
      <c r="CL166" s="87"/>
      <c r="CM166" s="87"/>
    </row>
    <row r="167" spans="2:91" ht="15.6" x14ac:dyDescent="0.3">
      <c r="B167" s="99" t="s">
        <v>819</v>
      </c>
      <c r="C167" s="99"/>
      <c r="D167" s="99"/>
      <c r="E167" s="99"/>
      <c r="F167" s="99"/>
      <c r="G167" s="99"/>
      <c r="H167" s="99"/>
      <c r="I167" s="43"/>
      <c r="J167" s="99" t="str">
        <f t="shared" si="193"/>
        <v xml:space="preserve">   140  257      2389      2666      2561      2527      2805      2465</v>
      </c>
      <c r="T167" s="42"/>
      <c r="U167" s="135"/>
      <c r="V167" s="191"/>
      <c r="W167" s="187">
        <v>306</v>
      </c>
      <c r="X167" s="187">
        <v>0.32329999999999998</v>
      </c>
      <c r="Z167" s="101">
        <v>147</v>
      </c>
      <c r="AA167" s="101">
        <v>0</v>
      </c>
      <c r="AB167" s="101">
        <v>0</v>
      </c>
      <c r="AD167" s="102">
        <f t="shared" si="173"/>
        <v>149</v>
      </c>
      <c r="AE167" s="102">
        <f t="shared" si="173"/>
        <v>273</v>
      </c>
      <c r="AF167" s="102">
        <f t="shared" si="174"/>
        <v>3511</v>
      </c>
      <c r="AG167" s="102">
        <f t="shared" si="175"/>
        <v>3855</v>
      </c>
      <c r="AH167" s="102">
        <f t="shared" si="176"/>
        <v>3877</v>
      </c>
      <c r="AI167" s="102">
        <f t="shared" si="177"/>
        <v>3734</v>
      </c>
      <c r="AJ167" s="102">
        <f t="shared" si="178"/>
        <v>3976</v>
      </c>
      <c r="AK167" s="102">
        <f t="shared" si="179"/>
        <v>3727</v>
      </c>
      <c r="AL167" s="102">
        <f>VLOOKUP($AE167,Usinas!$B$3:$F$241,5,FALSE)</f>
        <v>1</v>
      </c>
      <c r="AM167" s="102" t="str">
        <f>VLOOKUP($AE167,Usinas!$B$3:$H$241,7,FALSE)</f>
        <v>SUDESTE</v>
      </c>
      <c r="AN167" s="102" t="str">
        <f>VLOOKUP($AE167,Usinas!$B$3:$D$241,3,FALSE)</f>
        <v>TOCANTINS (SE)</v>
      </c>
      <c r="AP167" s="103">
        <v>147</v>
      </c>
      <c r="AQ167" s="103" t="str">
        <f>IF(BA167=1,VLOOKUP($AP167,Usinas!$B$3:$F$244,2,0),"")</f>
        <v/>
      </c>
      <c r="AR167" s="103" t="str">
        <f>IF(BA167=1,VLOOKUP($AP167,Usinas!$B$3:$F$241,3,0),"")</f>
        <v/>
      </c>
      <c r="AS167" s="103" t="str">
        <f>IF(BA167,VLOOKUP($AP167,Usinas!$B$3:$F$244,4,0),"")</f>
        <v/>
      </c>
      <c r="AT167" s="103" t="str">
        <f t="shared" si="187"/>
        <v/>
      </c>
      <c r="AU167" s="104" t="str">
        <f t="shared" si="194"/>
        <v/>
      </c>
      <c r="AV167" s="104" t="str">
        <f t="shared" si="194"/>
        <v/>
      </c>
      <c r="AW167" s="104" t="str">
        <f t="shared" si="194"/>
        <v/>
      </c>
      <c r="AX167" s="104" t="str">
        <f t="shared" si="194"/>
        <v/>
      </c>
      <c r="AY167" s="104" t="str">
        <f t="shared" si="194"/>
        <v/>
      </c>
      <c r="AZ167" s="104" t="str">
        <f t="shared" si="194"/>
        <v/>
      </c>
      <c r="BA167" s="103">
        <f t="shared" si="188"/>
        <v>0</v>
      </c>
      <c r="BB167" s="103">
        <f t="shared" si="189"/>
        <v>0</v>
      </c>
      <c r="BC167" s="103" t="str">
        <f>IF(BA167=1,VLOOKUP($AP167,Usinas!$B$3:$H$244,7,0),"")</f>
        <v/>
      </c>
      <c r="BM167" s="105">
        <f t="shared" si="180"/>
        <v>149</v>
      </c>
      <c r="BN167" s="105">
        <f t="shared" si="181"/>
        <v>273</v>
      </c>
      <c r="BO167" s="151">
        <f>IF($BP$15=1,IFERROR(VLOOKUP(BN167,$BZ$20:CA330,2,0),0),VALUE(RIGHT(LEFT($B176,21),10)))</f>
        <v>2575</v>
      </c>
      <c r="BP167" s="105">
        <f t="shared" si="182"/>
        <v>2827</v>
      </c>
      <c r="BQ167" s="105">
        <f t="shared" si="183"/>
        <v>2843</v>
      </c>
      <c r="BR167" s="105">
        <f t="shared" si="184"/>
        <v>2738</v>
      </c>
      <c r="BS167" s="105">
        <f t="shared" si="185"/>
        <v>2916</v>
      </c>
      <c r="BT167" s="105">
        <f t="shared" si="186"/>
        <v>2733</v>
      </c>
      <c r="BU167" s="85"/>
      <c r="BV167" s="97" t="s">
        <v>331</v>
      </c>
      <c r="BW167" s="98">
        <f t="shared" si="192"/>
        <v>211</v>
      </c>
      <c r="BX167" s="97" t="str">
        <f t="shared" si="190"/>
        <v>PST 209</v>
      </c>
      <c r="BZ167" s="147">
        <v>204</v>
      </c>
      <c r="CA167" s="148">
        <v>1355</v>
      </c>
      <c r="CB167" s="87"/>
      <c r="CC167" s="87"/>
      <c r="CF167" s="110"/>
      <c r="CG167" s="111"/>
      <c r="CH167" s="87"/>
      <c r="CI167" s="87"/>
      <c r="CJ167" s="87"/>
      <c r="CK167" s="87"/>
      <c r="CL167" s="87"/>
      <c r="CM167" s="87"/>
    </row>
    <row r="168" spans="2:91" ht="15.6" x14ac:dyDescent="0.3">
      <c r="B168" s="99" t="s">
        <v>820</v>
      </c>
      <c r="C168" s="99"/>
      <c r="D168" s="99"/>
      <c r="E168" s="99"/>
      <c r="F168" s="99"/>
      <c r="G168" s="99"/>
      <c r="H168" s="99"/>
      <c r="I168" s="43"/>
      <c r="J168" s="99" t="str">
        <f t="shared" si="193"/>
        <v xml:space="preserve">   141  259        75        78        91        90       108       108</v>
      </c>
      <c r="T168" s="42"/>
      <c r="U168" s="112"/>
      <c r="V168" s="191"/>
      <c r="W168" s="187">
        <v>318</v>
      </c>
      <c r="X168" s="187">
        <v>5.6807999999999996</v>
      </c>
      <c r="Z168" s="101">
        <v>148</v>
      </c>
      <c r="AA168" s="101">
        <v>1</v>
      </c>
      <c r="AB168" s="101">
        <v>0.25580000000000003</v>
      </c>
      <c r="AD168" s="102">
        <f t="shared" si="173"/>
        <v>150</v>
      </c>
      <c r="AE168" s="102">
        <f t="shared" si="173"/>
        <v>275</v>
      </c>
      <c r="AF168" s="102">
        <f t="shared" si="174"/>
        <v>7971</v>
      </c>
      <c r="AG168" s="102">
        <f t="shared" si="175"/>
        <v>9171</v>
      </c>
      <c r="AH168" s="102">
        <f t="shared" si="176"/>
        <v>10409</v>
      </c>
      <c r="AI168" s="102">
        <f t="shared" si="177"/>
        <v>11438</v>
      </c>
      <c r="AJ168" s="102">
        <f t="shared" si="178"/>
        <v>12767</v>
      </c>
      <c r="AK168" s="102">
        <f t="shared" si="179"/>
        <v>14139</v>
      </c>
      <c r="AL168" s="102">
        <f>VLOOKUP($AE168,Usinas!$B$3:$F$241,5,FALSE)</f>
        <v>4</v>
      </c>
      <c r="AM168" s="102" t="str">
        <f>VLOOKUP($AE168,Usinas!$B$3:$H$241,7,FALSE)</f>
        <v>NORTE</v>
      </c>
      <c r="AN168" s="102" t="str">
        <f>VLOOKUP($AE168,Usinas!$B$3:$D$241,3,FALSE)</f>
        <v>TOCANTINS (N)</v>
      </c>
      <c r="AP168" s="103">
        <v>148</v>
      </c>
      <c r="AQ168" s="103" t="str">
        <f>IF(BA168=1,VLOOKUP($AP168,Usinas!$B$3:$F$244,2,0),"")</f>
        <v>AIMORÉS</v>
      </c>
      <c r="AR168" s="103" t="str">
        <f>IF(BA168=1,VLOOKUP($AP168,Usinas!$B$3:$F$241,3,0),"")</f>
        <v>DOCE</v>
      </c>
      <c r="AS168" s="103" t="str">
        <f>IF(BA168,VLOOKUP($AP168,Usinas!$B$3:$F$244,4,0),"")</f>
        <v>SUDESTE</v>
      </c>
      <c r="AT168" s="103">
        <f t="shared" si="187"/>
        <v>0.25580000000000003</v>
      </c>
      <c r="AU168" s="104">
        <f t="shared" si="194"/>
        <v>341.23720000000003</v>
      </c>
      <c r="AV168" s="104">
        <f t="shared" si="194"/>
        <v>392.39720000000005</v>
      </c>
      <c r="AW168" s="104">
        <f t="shared" si="194"/>
        <v>329.98200000000003</v>
      </c>
      <c r="AX168" s="104">
        <f t="shared" si="194"/>
        <v>299.28600000000006</v>
      </c>
      <c r="AY168" s="104">
        <f t="shared" si="194"/>
        <v>312.07600000000002</v>
      </c>
      <c r="AZ168" s="104">
        <f t="shared" si="194"/>
        <v>252.47460000000004</v>
      </c>
      <c r="BA168" s="103">
        <f t="shared" si="188"/>
        <v>1</v>
      </c>
      <c r="BB168" s="103">
        <f t="shared" si="189"/>
        <v>0</v>
      </c>
      <c r="BC168" s="103" t="str">
        <f>IF(BA168=1,VLOOKUP($AP168,Usinas!$B$3:$H$244,7,0),"")</f>
        <v>SUDESTE</v>
      </c>
      <c r="BM168" s="105">
        <f t="shared" si="180"/>
        <v>150</v>
      </c>
      <c r="BN168" s="105">
        <f t="shared" si="181"/>
        <v>275</v>
      </c>
      <c r="BO168" s="151">
        <f>IF($BP$15=1,IFERROR(VLOOKUP(BN168,$BZ$20:CA331,2,0),0),VALUE(RIGHT(LEFT($B177,21),10)))</f>
        <v>8607</v>
      </c>
      <c r="BP168" s="105">
        <f t="shared" si="182"/>
        <v>9903</v>
      </c>
      <c r="BQ168" s="105">
        <f t="shared" si="183"/>
        <v>11240</v>
      </c>
      <c r="BR168" s="105">
        <f t="shared" si="184"/>
        <v>12351</v>
      </c>
      <c r="BS168" s="105">
        <f t="shared" si="185"/>
        <v>13786</v>
      </c>
      <c r="BT168" s="105">
        <f t="shared" si="186"/>
        <v>15268</v>
      </c>
      <c r="BV168" s="97" t="s">
        <v>331</v>
      </c>
      <c r="BW168" s="98">
        <f t="shared" si="192"/>
        <v>213</v>
      </c>
      <c r="BX168" s="97" t="str">
        <f t="shared" si="190"/>
        <v>PST 211</v>
      </c>
      <c r="BZ168" s="147">
        <v>280</v>
      </c>
      <c r="CA168" s="148">
        <v>1362</v>
      </c>
      <c r="CB168" s="87"/>
      <c r="CC168" s="87"/>
      <c r="CF168" s="110"/>
      <c r="CG168" s="111"/>
      <c r="CH168" s="87"/>
      <c r="CI168" s="87"/>
      <c r="CJ168" s="87"/>
      <c r="CK168" s="87"/>
      <c r="CL168" s="87"/>
      <c r="CM168" s="87"/>
    </row>
    <row r="169" spans="2:91" ht="15.6" customHeight="1" x14ac:dyDescent="0.3">
      <c r="B169" s="99" t="s">
        <v>877</v>
      </c>
      <c r="C169" s="99"/>
      <c r="D169" s="99"/>
      <c r="E169" s="99"/>
      <c r="F169" s="99"/>
      <c r="G169" s="99"/>
      <c r="H169" s="99"/>
      <c r="I169" s="43"/>
      <c r="J169" s="99" t="str">
        <f t="shared" si="193"/>
        <v xml:space="preserve">   142  261       333       334       389       357       346       342</v>
      </c>
      <c r="T169" s="42"/>
      <c r="U169" s="112"/>
      <c r="V169" s="191"/>
      <c r="W169" s="186">
        <v>154</v>
      </c>
      <c r="X169" s="186">
        <v>0.30709999999999998</v>
      </c>
      <c r="Z169" s="101">
        <v>149</v>
      </c>
      <c r="AA169" s="101">
        <v>1</v>
      </c>
      <c r="AB169" s="101">
        <v>0.27110000000000001</v>
      </c>
      <c r="AD169" s="102">
        <f t="shared" si="173"/>
        <v>151</v>
      </c>
      <c r="AE169" s="102">
        <f t="shared" si="173"/>
        <v>277</v>
      </c>
      <c r="AF169" s="102">
        <f t="shared" si="174"/>
        <v>93</v>
      </c>
      <c r="AG169" s="102">
        <f t="shared" si="175"/>
        <v>96</v>
      </c>
      <c r="AH169" s="102">
        <f t="shared" si="176"/>
        <v>101</v>
      </c>
      <c r="AI169" s="102">
        <f t="shared" si="177"/>
        <v>113</v>
      </c>
      <c r="AJ169" s="102">
        <f t="shared" si="178"/>
        <v>133</v>
      </c>
      <c r="AK169" s="102">
        <f t="shared" si="179"/>
        <v>148</v>
      </c>
      <c r="AL169" s="102">
        <f>VLOOKUP($AE169,Usinas!$B$3:$F$241,5,FALSE)</f>
        <v>4</v>
      </c>
      <c r="AM169" s="102" t="str">
        <f>VLOOKUP($AE169,Usinas!$B$3:$H$241,7,FALSE)</f>
        <v>BELO MONTE</v>
      </c>
      <c r="AN169" s="102" t="str">
        <f>VLOOKUP($AE169,Usinas!$B$3:$D$241,3,FALSE)</f>
        <v>AMAZONAS (N)</v>
      </c>
      <c r="AP169" s="103">
        <v>149</v>
      </c>
      <c r="AQ169" s="103" t="str">
        <f>IF(BA169=1,VLOOKUP($AP169,Usinas!$B$3:$F$244,2,0),"")</f>
        <v>CANDONGA</v>
      </c>
      <c r="AR169" s="103" t="str">
        <f>IF(BA169=1,VLOOKUP($AP169,Usinas!$B$3:$F$241,3,0),"")</f>
        <v>DOCE</v>
      </c>
      <c r="AS169" s="103" t="str">
        <f>IF(BA169,VLOOKUP($AP169,Usinas!$B$3:$F$244,4,0),"")</f>
        <v>SUDESTE</v>
      </c>
      <c r="AT169" s="103">
        <f t="shared" si="187"/>
        <v>0.27110000000000001</v>
      </c>
      <c r="AU169" s="104">
        <f t="shared" si="194"/>
        <v>81.601100000000002</v>
      </c>
      <c r="AV169" s="104">
        <f t="shared" si="194"/>
        <v>108.7111</v>
      </c>
      <c r="AW169" s="104">
        <f t="shared" si="194"/>
        <v>91.631799999999998</v>
      </c>
      <c r="AX169" s="104">
        <f t="shared" si="194"/>
        <v>66.419499999999999</v>
      </c>
      <c r="AY169" s="104">
        <f t="shared" si="194"/>
        <v>76.992400000000004</v>
      </c>
      <c r="AZ169" s="104">
        <f t="shared" si="194"/>
        <v>64.250699999999995</v>
      </c>
      <c r="BA169" s="103">
        <f t="shared" si="188"/>
        <v>1</v>
      </c>
      <c r="BB169" s="103">
        <f t="shared" si="189"/>
        <v>0</v>
      </c>
      <c r="BC169" s="103" t="str">
        <f>IF(BA169=1,VLOOKUP($AP169,Usinas!$B$3:$H$244,7,0),"")</f>
        <v>SUDESTE</v>
      </c>
      <c r="BM169" s="105">
        <f t="shared" si="180"/>
        <v>151</v>
      </c>
      <c r="BN169" s="105">
        <f t="shared" si="181"/>
        <v>277</v>
      </c>
      <c r="BO169" s="151">
        <f>IF($BP$15=1,IFERROR(VLOOKUP(BN169,$BZ$20:CA332,2,0),0),VALUE(RIGHT(LEFT($B178,21),10)))</f>
        <v>100</v>
      </c>
      <c r="BP169" s="105">
        <f t="shared" si="182"/>
        <v>104</v>
      </c>
      <c r="BQ169" s="105">
        <f t="shared" si="183"/>
        <v>109</v>
      </c>
      <c r="BR169" s="105">
        <f t="shared" si="184"/>
        <v>122</v>
      </c>
      <c r="BS169" s="105">
        <f t="shared" si="185"/>
        <v>144</v>
      </c>
      <c r="BT169" s="105">
        <f t="shared" si="186"/>
        <v>160</v>
      </c>
      <c r="BV169" s="97" t="s">
        <v>331</v>
      </c>
      <c r="BW169" s="98">
        <f t="shared" si="192"/>
        <v>215</v>
      </c>
      <c r="BX169" s="97" t="str">
        <f t="shared" si="190"/>
        <v>PST 213</v>
      </c>
      <c r="BZ169" s="147">
        <v>297</v>
      </c>
      <c r="CA169" s="148">
        <v>1377</v>
      </c>
      <c r="CB169" s="87"/>
      <c r="CC169" s="87"/>
      <c r="CF169" s="110"/>
      <c r="CG169" s="110"/>
      <c r="CH169" s="87"/>
      <c r="CI169" s="87"/>
      <c r="CJ169" s="87"/>
      <c r="CK169" s="87"/>
      <c r="CL169" s="87"/>
      <c r="CM169" s="87"/>
    </row>
    <row r="170" spans="2:91" ht="15.6" customHeight="1" x14ac:dyDescent="0.3">
      <c r="B170" s="99" t="s">
        <v>821</v>
      </c>
      <c r="C170" s="99"/>
      <c r="D170" s="99"/>
      <c r="E170" s="99"/>
      <c r="F170" s="99"/>
      <c r="G170" s="99"/>
      <c r="H170" s="99"/>
      <c r="I170" s="43"/>
      <c r="J170" s="99" t="str">
        <f t="shared" si="193"/>
        <v xml:space="preserve">   143  262       151       187       153       127       145        98</v>
      </c>
      <c r="T170" s="42"/>
      <c r="U170" s="112"/>
      <c r="V170" s="191"/>
      <c r="W170" s="186">
        <v>81</v>
      </c>
      <c r="X170" s="186">
        <v>0.14580000000000001</v>
      </c>
      <c r="Z170" s="101">
        <v>150</v>
      </c>
      <c r="AA170" s="101">
        <v>0</v>
      </c>
      <c r="AB170" s="101">
        <v>0</v>
      </c>
      <c r="AD170" s="102">
        <f t="shared" si="173"/>
        <v>152</v>
      </c>
      <c r="AE170" s="102">
        <f t="shared" si="173"/>
        <v>278</v>
      </c>
      <c r="AF170" s="102">
        <f t="shared" si="174"/>
        <v>202</v>
      </c>
      <c r="AG170" s="102">
        <f t="shared" si="175"/>
        <v>241</v>
      </c>
      <c r="AH170" s="102">
        <f t="shared" si="176"/>
        <v>333</v>
      </c>
      <c r="AI170" s="102">
        <f t="shared" si="177"/>
        <v>296</v>
      </c>
      <c r="AJ170" s="102">
        <f t="shared" si="178"/>
        <v>316</v>
      </c>
      <c r="AK170" s="102">
        <f t="shared" si="179"/>
        <v>307</v>
      </c>
      <c r="AL170" s="102">
        <f>VLOOKUP($AE170,Usinas!$B$3:$F$241,5,FALSE)</f>
        <v>1</v>
      </c>
      <c r="AM170" s="102" t="str">
        <f>VLOOKUP($AE170,Usinas!$B$3:$H$241,7,FALSE)</f>
        <v>SUDESTE</v>
      </c>
      <c r="AN170" s="102" t="str">
        <f>VLOOKUP($AE170,Usinas!$B$3:$D$241,3,FALSE)</f>
        <v>PARAGUAI</v>
      </c>
      <c r="AP170" s="103">
        <v>150</v>
      </c>
      <c r="AQ170" s="103" t="str">
        <f>IF(BA170=1,VLOOKUP($AP170,Usinas!$B$3:$F$244,2,0),"")</f>
        <v/>
      </c>
      <c r="AR170" s="103" t="str">
        <f>IF(BA170=1,VLOOKUP($AP170,Usinas!$B$3:$F$241,3,0),"")</f>
        <v/>
      </c>
      <c r="AS170" s="103" t="str">
        <f>IF(BA170,VLOOKUP($AP170,Usinas!$B$3:$F$244,4,0),"")</f>
        <v/>
      </c>
      <c r="AT170" s="103" t="str">
        <f t="shared" si="187"/>
        <v/>
      </c>
      <c r="AU170" s="104" t="str">
        <f t="shared" si="194"/>
        <v/>
      </c>
      <c r="AV170" s="104" t="str">
        <f t="shared" si="194"/>
        <v/>
      </c>
      <c r="AW170" s="104" t="str">
        <f t="shared" si="194"/>
        <v/>
      </c>
      <c r="AX170" s="104" t="str">
        <f t="shared" si="194"/>
        <v/>
      </c>
      <c r="AY170" s="104" t="str">
        <f t="shared" si="194"/>
        <v/>
      </c>
      <c r="AZ170" s="104" t="str">
        <f t="shared" si="194"/>
        <v/>
      </c>
      <c r="BA170" s="103">
        <f t="shared" si="188"/>
        <v>0</v>
      </c>
      <c r="BB170" s="103">
        <f t="shared" si="189"/>
        <v>0</v>
      </c>
      <c r="BC170" s="103" t="str">
        <f>IF(BA170=1,VLOOKUP($AP170,Usinas!$B$3:$H$244,7,0),"")</f>
        <v/>
      </c>
      <c r="BM170" s="105">
        <f t="shared" si="180"/>
        <v>152</v>
      </c>
      <c r="BN170" s="105">
        <f t="shared" si="181"/>
        <v>278</v>
      </c>
      <c r="BO170" s="151">
        <f>IF($BP$15=1,IFERROR(VLOOKUP(BN170,$BZ$20:CA333,2,0),0),VALUE(RIGHT(LEFT($B179,21),10)))</f>
        <v>148</v>
      </c>
      <c r="BP170" s="105">
        <f t="shared" si="182"/>
        <v>177</v>
      </c>
      <c r="BQ170" s="105">
        <f t="shared" si="183"/>
        <v>244</v>
      </c>
      <c r="BR170" s="105">
        <f t="shared" si="184"/>
        <v>217</v>
      </c>
      <c r="BS170" s="105">
        <f t="shared" si="185"/>
        <v>232</v>
      </c>
      <c r="BT170" s="105">
        <f t="shared" si="186"/>
        <v>225</v>
      </c>
      <c r="BV170" s="97" t="s">
        <v>331</v>
      </c>
      <c r="BW170" s="98">
        <f t="shared" si="192"/>
        <v>216</v>
      </c>
      <c r="BX170" s="97" t="str">
        <f t="shared" si="190"/>
        <v>PST 215</v>
      </c>
      <c r="BZ170" s="147">
        <v>296</v>
      </c>
      <c r="CA170" s="148">
        <v>39</v>
      </c>
      <c r="CB170" s="87"/>
      <c r="CC170" s="87"/>
      <c r="CF170" s="110"/>
      <c r="CG170" s="110"/>
      <c r="CH170" s="87"/>
      <c r="CI170" s="87"/>
      <c r="CJ170" s="87"/>
      <c r="CK170" s="87"/>
      <c r="CL170" s="87"/>
      <c r="CM170" s="87"/>
    </row>
    <row r="171" spans="2:91" ht="15.6" x14ac:dyDescent="0.3">
      <c r="B171" s="99" t="s">
        <v>822</v>
      </c>
      <c r="C171" s="99"/>
      <c r="D171" s="99"/>
      <c r="E171" s="99"/>
      <c r="F171" s="99"/>
      <c r="G171" s="99"/>
      <c r="H171" s="99"/>
      <c r="I171" s="43"/>
      <c r="J171" s="99" t="str">
        <f t="shared" si="193"/>
        <v xml:space="preserve">   144  263       316       312       245       284       277       229</v>
      </c>
      <c r="T171" s="42"/>
      <c r="U171" s="112"/>
      <c r="W171" s="100"/>
      <c r="X171" s="100"/>
      <c r="Z171" s="101">
        <v>151</v>
      </c>
      <c r="AA171" s="101">
        <v>0</v>
      </c>
      <c r="AB171" s="101">
        <v>0</v>
      </c>
      <c r="AD171" s="102">
        <f t="shared" si="173"/>
        <v>153</v>
      </c>
      <c r="AE171" s="102">
        <f t="shared" si="173"/>
        <v>279</v>
      </c>
      <c r="AF171" s="102">
        <f t="shared" si="174"/>
        <v>495</v>
      </c>
      <c r="AG171" s="102">
        <f t="shared" si="175"/>
        <v>570</v>
      </c>
      <c r="AH171" s="102">
        <f t="shared" si="176"/>
        <v>627</v>
      </c>
      <c r="AI171" s="102">
        <f t="shared" si="177"/>
        <v>648</v>
      </c>
      <c r="AJ171" s="102">
        <f t="shared" si="178"/>
        <v>670</v>
      </c>
      <c r="AK171" s="102">
        <f t="shared" si="179"/>
        <v>745</v>
      </c>
      <c r="AL171" s="102">
        <f>VLOOKUP($AE171,Usinas!$B$3:$F$241,5,FALSE)</f>
        <v>1</v>
      </c>
      <c r="AM171" s="102" t="str">
        <f>VLOOKUP($AE171,Usinas!$B$3:$H$241,7,FALSE)</f>
        <v>MADEIRA</v>
      </c>
      <c r="AN171" s="102" t="str">
        <f>VLOOKUP($AE171,Usinas!$B$3:$D$241,3,FALSE)</f>
        <v>AMAZONAS (SE)</v>
      </c>
      <c r="AP171" s="103">
        <v>151</v>
      </c>
      <c r="AQ171" s="103" t="str">
        <f>IF(BA171=1,VLOOKUP($AP171,Usinas!$B$3:$F$244,2,0),"")</f>
        <v/>
      </c>
      <c r="AR171" s="103" t="str">
        <f>IF(BA171=1,VLOOKUP($AP171,Usinas!$B$3:$F$241,3,0),"")</f>
        <v/>
      </c>
      <c r="AS171" s="103" t="str">
        <f>IF(BA171,VLOOKUP($AP171,Usinas!$B$3:$F$244,4,0),"")</f>
        <v/>
      </c>
      <c r="AT171" s="103" t="str">
        <f t="shared" si="187"/>
        <v/>
      </c>
      <c r="AU171" s="104" t="str">
        <f t="shared" ref="AU171:AZ180" si="195">IF($BA171=1,IFERROR(VLOOKUP($AP171,$AE$21:$AK$211,AU$19,0),VLOOKUP($AP171,$BE$21:$BK$65,AU$19,0))*$AT171,"")</f>
        <v/>
      </c>
      <c r="AV171" s="104" t="str">
        <f t="shared" si="195"/>
        <v/>
      </c>
      <c r="AW171" s="104" t="str">
        <f t="shared" si="195"/>
        <v/>
      </c>
      <c r="AX171" s="104" t="str">
        <f t="shared" si="195"/>
        <v/>
      </c>
      <c r="AY171" s="104" t="str">
        <f t="shared" si="195"/>
        <v/>
      </c>
      <c r="AZ171" s="104" t="str">
        <f t="shared" si="195"/>
        <v/>
      </c>
      <c r="BA171" s="103">
        <f t="shared" si="188"/>
        <v>0</v>
      </c>
      <c r="BB171" s="103">
        <f t="shared" si="189"/>
        <v>0</v>
      </c>
      <c r="BC171" s="103" t="str">
        <f>IF(BA171=1,VLOOKUP($AP171,Usinas!$B$3:$H$244,7,0),"")</f>
        <v/>
      </c>
      <c r="BM171" s="105">
        <f t="shared" si="180"/>
        <v>153</v>
      </c>
      <c r="BN171" s="105">
        <f t="shared" si="181"/>
        <v>279</v>
      </c>
      <c r="BO171" s="151">
        <f>IF($BP$15=1,IFERROR(VLOOKUP(BN171,$BZ$20:CA334,2,0),0),VALUE(RIGHT(LEFT($B180,21),10)))</f>
        <v>363</v>
      </c>
      <c r="BP171" s="105">
        <f t="shared" si="182"/>
        <v>418</v>
      </c>
      <c r="BQ171" s="105">
        <f t="shared" si="183"/>
        <v>460</v>
      </c>
      <c r="BR171" s="105">
        <f t="shared" si="184"/>
        <v>475</v>
      </c>
      <c r="BS171" s="105">
        <f t="shared" si="185"/>
        <v>491</v>
      </c>
      <c r="BT171" s="105">
        <f t="shared" si="186"/>
        <v>546</v>
      </c>
      <c r="BV171" s="97" t="s">
        <v>331</v>
      </c>
      <c r="BW171" s="98">
        <f t="shared" si="192"/>
        <v>217</v>
      </c>
      <c r="BX171" s="97" t="str">
        <f t="shared" si="190"/>
        <v>PST 216</v>
      </c>
      <c r="BZ171" s="147">
        <v>285</v>
      </c>
      <c r="CA171" s="148">
        <v>32969</v>
      </c>
      <c r="CB171" s="87"/>
      <c r="CC171" s="87"/>
      <c r="CF171" s="110"/>
      <c r="CG171" s="110"/>
      <c r="CH171" s="87"/>
      <c r="CI171" s="87"/>
      <c r="CJ171" s="87"/>
      <c r="CK171" s="87"/>
      <c r="CL171" s="87"/>
      <c r="CM171" s="87"/>
    </row>
    <row r="172" spans="2:91" ht="15.6" x14ac:dyDescent="0.3">
      <c r="B172" s="99" t="s">
        <v>878</v>
      </c>
      <c r="C172" s="99"/>
      <c r="D172" s="99"/>
      <c r="E172" s="99"/>
      <c r="F172" s="99"/>
      <c r="G172" s="99"/>
      <c r="H172" s="99"/>
      <c r="I172" s="43"/>
      <c r="J172" s="99" t="str">
        <f t="shared" si="193"/>
        <v xml:space="preserve">   145  266     13245     14190     16674     18278     18195     18692</v>
      </c>
      <c r="T172" s="42"/>
      <c r="U172" s="112"/>
      <c r="W172" s="100"/>
      <c r="X172" s="100" t="e">
        <v>#N/A</v>
      </c>
      <c r="Z172" s="101">
        <v>152</v>
      </c>
      <c r="AA172" s="101">
        <v>0</v>
      </c>
      <c r="AB172" s="101">
        <v>0</v>
      </c>
      <c r="AD172" s="102">
        <f t="shared" si="173"/>
        <v>154</v>
      </c>
      <c r="AE172" s="102">
        <f t="shared" si="173"/>
        <v>280</v>
      </c>
      <c r="AF172" s="102">
        <f t="shared" si="174"/>
        <v>358</v>
      </c>
      <c r="AG172" s="102">
        <f t="shared" si="175"/>
        <v>421</v>
      </c>
      <c r="AH172" s="102">
        <f t="shared" si="176"/>
        <v>490</v>
      </c>
      <c r="AI172" s="102">
        <f t="shared" si="177"/>
        <v>550</v>
      </c>
      <c r="AJ172" s="102">
        <f t="shared" si="178"/>
        <v>658</v>
      </c>
      <c r="AK172" s="102">
        <f t="shared" si="179"/>
        <v>774</v>
      </c>
      <c r="AL172" s="102">
        <f>VLOOKUP($AE172,Usinas!$B$3:$F$241,5,FALSE)</f>
        <v>4</v>
      </c>
      <c r="AM172" s="102" t="str">
        <f>VLOOKUP($AE172,Usinas!$B$3:$H$241,7,FALSE)</f>
        <v>MANAUS</v>
      </c>
      <c r="AN172" s="102" t="str">
        <f>VLOOKUP($AE172,Usinas!$B$3:$D$241,3,FALSE)</f>
        <v>ARAGUARI</v>
      </c>
      <c r="AP172" s="103">
        <v>152</v>
      </c>
      <c r="AQ172" s="103" t="str">
        <f>IF(BA172=1,VLOOKUP($AP172,Usinas!$B$3:$F$244,2,0),"")</f>
        <v/>
      </c>
      <c r="AR172" s="103" t="str">
        <f>IF(BA172=1,VLOOKUP($AP172,Usinas!$B$3:$F$241,3,0),"")</f>
        <v/>
      </c>
      <c r="AS172" s="103" t="str">
        <f>IF(BA172,VLOOKUP($AP172,Usinas!$B$3:$F$244,4,0),"")</f>
        <v/>
      </c>
      <c r="AT172" s="103" t="str">
        <f t="shared" si="187"/>
        <v/>
      </c>
      <c r="AU172" s="104" t="str">
        <f t="shared" si="195"/>
        <v/>
      </c>
      <c r="AV172" s="104" t="str">
        <f t="shared" si="195"/>
        <v/>
      </c>
      <c r="AW172" s="104" t="str">
        <f t="shared" si="195"/>
        <v/>
      </c>
      <c r="AX172" s="104" t="str">
        <f t="shared" si="195"/>
        <v/>
      </c>
      <c r="AY172" s="104" t="str">
        <f t="shared" si="195"/>
        <v/>
      </c>
      <c r="AZ172" s="104" t="str">
        <f t="shared" si="195"/>
        <v/>
      </c>
      <c r="BA172" s="103">
        <f t="shared" si="188"/>
        <v>0</v>
      </c>
      <c r="BB172" s="103">
        <f t="shared" si="189"/>
        <v>0</v>
      </c>
      <c r="BC172" s="103" t="str">
        <f>IF(BA172=1,VLOOKUP($AP172,Usinas!$B$3:$H$244,7,0),"")</f>
        <v/>
      </c>
      <c r="BM172" s="105">
        <f t="shared" si="180"/>
        <v>154</v>
      </c>
      <c r="BN172" s="105">
        <f t="shared" si="181"/>
        <v>280</v>
      </c>
      <c r="BO172" s="151">
        <f>IF($BP$15=1,IFERROR(VLOOKUP(BN172,$BZ$20:CA335,2,0),0),VALUE(RIGHT(LEFT($B181,21),10)))</f>
        <v>387</v>
      </c>
      <c r="BP172" s="105">
        <f t="shared" si="182"/>
        <v>455</v>
      </c>
      <c r="BQ172" s="105">
        <f t="shared" si="183"/>
        <v>529</v>
      </c>
      <c r="BR172" s="105">
        <f t="shared" si="184"/>
        <v>594</v>
      </c>
      <c r="BS172" s="105">
        <f t="shared" si="185"/>
        <v>710</v>
      </c>
      <c r="BT172" s="105">
        <f t="shared" si="186"/>
        <v>836</v>
      </c>
      <c r="BV172" s="97" t="s">
        <v>331</v>
      </c>
      <c r="BW172" s="98">
        <f t="shared" si="192"/>
        <v>220</v>
      </c>
      <c r="BX172" s="97" t="str">
        <f t="shared" si="190"/>
        <v>PST 217</v>
      </c>
      <c r="BZ172" s="147">
        <v>287</v>
      </c>
      <c r="CA172" s="148">
        <v>32447</v>
      </c>
      <c r="CB172" s="87"/>
      <c r="CC172" s="87"/>
      <c r="CF172" s="110"/>
      <c r="CG172" s="110"/>
      <c r="CH172" s="87"/>
      <c r="CI172" s="87"/>
      <c r="CJ172" s="87"/>
      <c r="CK172" s="87"/>
      <c r="CL172" s="87"/>
      <c r="CM172" s="87"/>
    </row>
    <row r="173" spans="2:91" ht="15.6" x14ac:dyDescent="0.3">
      <c r="B173" s="99" t="s">
        <v>823</v>
      </c>
      <c r="C173" s="99"/>
      <c r="D173" s="99"/>
      <c r="E173" s="99"/>
      <c r="F173" s="99"/>
      <c r="G173" s="99"/>
      <c r="H173" s="99"/>
      <c r="I173" s="43"/>
      <c r="J173" s="99" t="str">
        <f t="shared" si="193"/>
        <v xml:space="preserve">   146  269       478       463       463       522       508       541</v>
      </c>
      <c r="T173" s="42"/>
      <c r="U173" s="112"/>
      <c r="W173" s="100"/>
      <c r="X173" s="100" t="e">
        <v>#N/A</v>
      </c>
      <c r="Z173" s="101">
        <v>153</v>
      </c>
      <c r="AA173" s="101">
        <v>0</v>
      </c>
      <c r="AB173" s="101">
        <v>0</v>
      </c>
      <c r="AD173" s="102">
        <f t="shared" si="173"/>
        <v>155</v>
      </c>
      <c r="AE173" s="102">
        <f t="shared" si="173"/>
        <v>281</v>
      </c>
      <c r="AF173" s="102">
        <f t="shared" si="174"/>
        <v>95</v>
      </c>
      <c r="AG173" s="102">
        <f t="shared" si="175"/>
        <v>94</v>
      </c>
      <c r="AH173" s="102">
        <f t="shared" si="176"/>
        <v>98</v>
      </c>
      <c r="AI173" s="102">
        <f t="shared" si="177"/>
        <v>100</v>
      </c>
      <c r="AJ173" s="102">
        <f t="shared" si="178"/>
        <v>106</v>
      </c>
      <c r="AK173" s="102">
        <f t="shared" si="179"/>
        <v>108</v>
      </c>
      <c r="AL173" s="102">
        <f>VLOOKUP($AE173,Usinas!$B$3:$F$241,5,FALSE)</f>
        <v>1</v>
      </c>
      <c r="AM173" s="102" t="str">
        <f>VLOOKUP($AE173,Usinas!$B$3:$H$241,7,FALSE)</f>
        <v>SUDESTE</v>
      </c>
      <c r="AN173" s="102" t="str">
        <f>VLOOKUP($AE173,Usinas!$B$3:$D$241,3,FALSE)</f>
        <v>PARAGUAI</v>
      </c>
      <c r="AP173" s="103">
        <v>153</v>
      </c>
      <c r="AQ173" s="103" t="str">
        <f>IF(BA173=1,VLOOKUP($AP173,Usinas!$B$3:$F$244,2,0),"")</f>
        <v/>
      </c>
      <c r="AR173" s="103" t="str">
        <f>IF(BA173=1,VLOOKUP($AP173,Usinas!$B$3:$F$241,3,0),"")</f>
        <v/>
      </c>
      <c r="AS173" s="103" t="str">
        <f>IF(BA173,VLOOKUP($AP173,Usinas!$B$3:$F$244,4,0),"")</f>
        <v/>
      </c>
      <c r="AT173" s="103" t="str">
        <f t="shared" si="187"/>
        <v/>
      </c>
      <c r="AU173" s="104" t="str">
        <f t="shared" si="195"/>
        <v/>
      </c>
      <c r="AV173" s="104" t="str">
        <f t="shared" si="195"/>
        <v/>
      </c>
      <c r="AW173" s="104" t="str">
        <f t="shared" si="195"/>
        <v/>
      </c>
      <c r="AX173" s="104" t="str">
        <f t="shared" si="195"/>
        <v/>
      </c>
      <c r="AY173" s="104" t="str">
        <f t="shared" si="195"/>
        <v/>
      </c>
      <c r="AZ173" s="104" t="str">
        <f t="shared" si="195"/>
        <v/>
      </c>
      <c r="BA173" s="103">
        <f t="shared" si="188"/>
        <v>0</v>
      </c>
      <c r="BB173" s="103">
        <f t="shared" si="189"/>
        <v>0</v>
      </c>
      <c r="BC173" s="103" t="str">
        <f>IF(BA173=1,VLOOKUP($AP173,Usinas!$B$3:$H$244,7,0),"")</f>
        <v/>
      </c>
      <c r="BM173" s="105">
        <f t="shared" si="180"/>
        <v>155</v>
      </c>
      <c r="BN173" s="105">
        <f t="shared" si="181"/>
        <v>281</v>
      </c>
      <c r="BO173" s="151">
        <f>IF($BP$15=1,IFERROR(VLOOKUP(BN173,$BZ$20:CA336,2,0),0),VALUE(RIGHT(LEFT($B182,21),10)))</f>
        <v>70</v>
      </c>
      <c r="BP173" s="105">
        <f t="shared" si="182"/>
        <v>69</v>
      </c>
      <c r="BQ173" s="105">
        <f t="shared" si="183"/>
        <v>72</v>
      </c>
      <c r="BR173" s="105">
        <f t="shared" si="184"/>
        <v>73</v>
      </c>
      <c r="BS173" s="105">
        <f t="shared" si="185"/>
        <v>78</v>
      </c>
      <c r="BT173" s="105">
        <f t="shared" si="186"/>
        <v>79</v>
      </c>
      <c r="BV173" s="97" t="s">
        <v>331</v>
      </c>
      <c r="BW173" s="98">
        <f t="shared" si="192"/>
        <v>222</v>
      </c>
      <c r="BX173" s="97" t="str">
        <f t="shared" si="190"/>
        <v>PST 220</v>
      </c>
      <c r="BZ173" s="147">
        <v>269</v>
      </c>
      <c r="CA173" s="148">
        <v>676</v>
      </c>
      <c r="CB173" s="123"/>
      <c r="CC173" s="123"/>
      <c r="CD173" s="123"/>
      <c r="CE173" s="85"/>
    </row>
    <row r="174" spans="2:91" ht="15.6" x14ac:dyDescent="0.3">
      <c r="B174" s="99" t="s">
        <v>824</v>
      </c>
      <c r="C174" s="99"/>
      <c r="D174" s="99"/>
      <c r="E174" s="99"/>
      <c r="F174" s="99"/>
      <c r="G174" s="99"/>
      <c r="H174" s="99"/>
      <c r="I174" s="43"/>
      <c r="J174" s="99" t="str">
        <f t="shared" si="193"/>
        <v xml:space="preserve">   147  270       940      1151      1091      1053      1301      1136</v>
      </c>
      <c r="U174" s="112"/>
      <c r="W174" s="100"/>
      <c r="X174" s="100" t="e">
        <v>#N/A</v>
      </c>
      <c r="Z174" s="101">
        <v>154</v>
      </c>
      <c r="AA174" s="101">
        <v>1</v>
      </c>
      <c r="AB174" s="101">
        <v>0.30709999999999998</v>
      </c>
      <c r="AD174" s="102">
        <f t="shared" si="173"/>
        <v>156</v>
      </c>
      <c r="AE174" s="102">
        <f t="shared" si="173"/>
        <v>283</v>
      </c>
      <c r="AF174" s="102">
        <f t="shared" si="174"/>
        <v>102</v>
      </c>
      <c r="AG174" s="102">
        <f t="shared" si="175"/>
        <v>104</v>
      </c>
      <c r="AH174" s="102">
        <f t="shared" si="176"/>
        <v>83</v>
      </c>
      <c r="AI174" s="102">
        <f t="shared" si="177"/>
        <v>128</v>
      </c>
      <c r="AJ174" s="102">
        <f t="shared" si="178"/>
        <v>123</v>
      </c>
      <c r="AK174" s="102">
        <f t="shared" si="179"/>
        <v>112</v>
      </c>
      <c r="AL174" s="102">
        <f>VLOOKUP($AE174,Usinas!$B$3:$F$241,5,FALSE)</f>
        <v>1</v>
      </c>
      <c r="AM174" s="102" t="str">
        <f>VLOOKUP($AE174,Usinas!$B$3:$H$241,7,FALSE)</f>
        <v>SUDESTE</v>
      </c>
      <c r="AN174" s="102" t="str">
        <f>VLOOKUP($AE174,Usinas!$B$3:$D$241,3,FALSE)</f>
        <v>MUCURI</v>
      </c>
      <c r="AP174" s="103">
        <v>154</v>
      </c>
      <c r="AQ174" s="103" t="str">
        <f>IF(BA174=1,VLOOKUP($AP174,Usinas!$B$3:$F$244,2,0),"")</f>
        <v>SÃO DOMINGOS</v>
      </c>
      <c r="AR174" s="103" t="str">
        <f>IF(BA174=1,VLOOKUP($AP174,Usinas!$B$3:$F$241,3,0),"")</f>
        <v>BAIXO PARANÁ</v>
      </c>
      <c r="AS174" s="103" t="str">
        <f>IF(BA174,VLOOKUP($AP174,Usinas!$B$3:$F$244,4,0),"")</f>
        <v>SUDESTE</v>
      </c>
      <c r="AT174" s="103">
        <f t="shared" si="187"/>
        <v>0.30709999999999998</v>
      </c>
      <c r="AU174" s="104">
        <f t="shared" si="195"/>
        <v>38.387499999999996</v>
      </c>
      <c r="AV174" s="104">
        <f t="shared" si="195"/>
        <v>40.537199999999999</v>
      </c>
      <c r="AW174" s="104">
        <f t="shared" si="195"/>
        <v>42.379799999999996</v>
      </c>
      <c r="AX174" s="104">
        <f t="shared" si="195"/>
        <v>41.765599999999999</v>
      </c>
      <c r="AY174" s="104">
        <f t="shared" si="195"/>
        <v>42.379799999999996</v>
      </c>
      <c r="AZ174" s="104">
        <f t="shared" si="195"/>
        <v>42.379799999999996</v>
      </c>
      <c r="BA174" s="103">
        <f t="shared" si="188"/>
        <v>1</v>
      </c>
      <c r="BB174" s="103">
        <f t="shared" si="189"/>
        <v>0</v>
      </c>
      <c r="BC174" s="103" t="str">
        <f>IF(BA174=1,VLOOKUP($AP174,Usinas!$B$3:$H$244,7,0),"")</f>
        <v>SUDESTE</v>
      </c>
      <c r="BM174" s="105">
        <f t="shared" si="180"/>
        <v>156</v>
      </c>
      <c r="BN174" s="105">
        <f t="shared" si="181"/>
        <v>283</v>
      </c>
      <c r="BO174" s="151">
        <f>IF($BP$15=1,IFERROR(VLOOKUP(BN174,$BZ$20:CA337,2,0),0),VALUE(RIGHT(LEFT($B183,21),10)))</f>
        <v>75</v>
      </c>
      <c r="BP174" s="105">
        <f t="shared" si="182"/>
        <v>76</v>
      </c>
      <c r="BQ174" s="105">
        <f t="shared" si="183"/>
        <v>61</v>
      </c>
      <c r="BR174" s="105">
        <f t="shared" si="184"/>
        <v>94</v>
      </c>
      <c r="BS174" s="105">
        <f t="shared" si="185"/>
        <v>90</v>
      </c>
      <c r="BT174" s="105">
        <f t="shared" si="186"/>
        <v>82</v>
      </c>
      <c r="BV174" s="97" t="s">
        <v>331</v>
      </c>
      <c r="BW174" s="98">
        <f t="shared" si="192"/>
        <v>227</v>
      </c>
      <c r="BX174" s="97" t="str">
        <f t="shared" si="190"/>
        <v>PST 222</v>
      </c>
      <c r="BY174" s="85"/>
      <c r="BZ174" s="147">
        <v>279</v>
      </c>
      <c r="CA174" s="148">
        <v>1068</v>
      </c>
      <c r="CB174" s="85"/>
      <c r="CC174" s="85"/>
      <c r="CD174" s="85"/>
      <c r="CE174" s="85"/>
    </row>
    <row r="175" spans="2:91" ht="15.6" customHeight="1" x14ac:dyDescent="0.3">
      <c r="B175" s="99" t="s">
        <v>825</v>
      </c>
      <c r="C175" s="99"/>
      <c r="D175" s="99"/>
      <c r="E175" s="99"/>
      <c r="F175" s="99"/>
      <c r="G175" s="99"/>
      <c r="H175" s="99"/>
      <c r="I175" s="43"/>
      <c r="J175" s="99" t="str">
        <f t="shared" si="193"/>
        <v xml:space="preserve">   148  271      3840      4268      4569      4628      5038      4909</v>
      </c>
      <c r="U175" s="112"/>
      <c r="W175" s="100"/>
      <c r="X175" s="100" t="e">
        <v>#N/A</v>
      </c>
      <c r="Z175" s="101">
        <v>155</v>
      </c>
      <c r="AA175" s="101">
        <v>1</v>
      </c>
      <c r="AB175" s="101">
        <v>0.33460000000000001</v>
      </c>
      <c r="AD175" s="102">
        <f t="shared" si="173"/>
        <v>157</v>
      </c>
      <c r="AE175" s="102">
        <f t="shared" si="173"/>
        <v>284</v>
      </c>
      <c r="AF175" s="102">
        <f t="shared" si="174"/>
        <v>211</v>
      </c>
      <c r="AG175" s="102">
        <f t="shared" si="175"/>
        <v>231</v>
      </c>
      <c r="AH175" s="102">
        <f t="shared" si="176"/>
        <v>206</v>
      </c>
      <c r="AI175" s="102">
        <f t="shared" si="177"/>
        <v>165</v>
      </c>
      <c r="AJ175" s="102">
        <f t="shared" si="178"/>
        <v>168</v>
      </c>
      <c r="AK175" s="102">
        <f t="shared" si="179"/>
        <v>173</v>
      </c>
      <c r="AL175" s="102">
        <f>VLOOKUP($AE175,Usinas!$B$3:$F$241,5,FALSE)</f>
        <v>2</v>
      </c>
      <c r="AM175" s="102" t="str">
        <f>VLOOKUP($AE175,Usinas!$B$3:$H$241,7,FALSE)</f>
        <v>SUL</v>
      </c>
      <c r="AN175" s="102" t="str">
        <f>VLOOKUP($AE175,Usinas!$B$3:$D$241,3,FALSE)</f>
        <v>JACUÍ</v>
      </c>
      <c r="AP175" s="103">
        <v>155</v>
      </c>
      <c r="AQ175" s="103" t="str">
        <f>IF(BA175=1,VLOOKUP($AP175,Usinas!$B$3:$F$244,2,0),"")</f>
        <v>RETIRO BAIXO</v>
      </c>
      <c r="AR175" s="103" t="str">
        <f>IF(BA175=1,VLOOKUP($AP175,Usinas!$B$3:$F$241,3,0),"")</f>
        <v>SÃO FRANCISCO (SE)</v>
      </c>
      <c r="AS175" s="103" t="str">
        <f>IF(BA175,VLOOKUP($AP175,Usinas!$B$3:$F$244,4,0),"")</f>
        <v>SUDESTE</v>
      </c>
      <c r="AT175" s="103">
        <f t="shared" si="187"/>
        <v>0.33460000000000001</v>
      </c>
      <c r="AU175" s="104">
        <f t="shared" si="195"/>
        <v>71.269800000000004</v>
      </c>
      <c r="AV175" s="104">
        <f t="shared" si="195"/>
        <v>98.037800000000004</v>
      </c>
      <c r="AW175" s="104">
        <f t="shared" si="195"/>
        <v>94.357200000000006</v>
      </c>
      <c r="AX175" s="104">
        <f t="shared" si="195"/>
        <v>75.284999999999997</v>
      </c>
      <c r="AY175" s="104">
        <f t="shared" si="195"/>
        <v>72.608199999999997</v>
      </c>
      <c r="AZ175" s="104">
        <f t="shared" si="195"/>
        <v>60.228000000000002</v>
      </c>
      <c r="BA175" s="103">
        <f t="shared" si="188"/>
        <v>1</v>
      </c>
      <c r="BB175" s="103">
        <f t="shared" si="189"/>
        <v>0</v>
      </c>
      <c r="BC175" s="103" t="str">
        <f>IF(BA175=1,VLOOKUP($AP175,Usinas!$B$3:$H$244,7,0),"")</f>
        <v>SUDESTE</v>
      </c>
      <c r="BM175" s="105">
        <f t="shared" si="180"/>
        <v>157</v>
      </c>
      <c r="BN175" s="105">
        <f t="shared" si="181"/>
        <v>284</v>
      </c>
      <c r="BO175" s="151">
        <f>IF($BP$15=1,IFERROR(VLOOKUP(BN175,$BZ$20:CA338,2,0),0),VALUE(RIGHT(LEFT($B184,21),10)))</f>
        <v>178</v>
      </c>
      <c r="BP175" s="105">
        <f t="shared" si="182"/>
        <v>195</v>
      </c>
      <c r="BQ175" s="105">
        <f t="shared" si="183"/>
        <v>174</v>
      </c>
      <c r="BR175" s="105">
        <f t="shared" si="184"/>
        <v>139</v>
      </c>
      <c r="BS175" s="105">
        <f t="shared" si="185"/>
        <v>142</v>
      </c>
      <c r="BT175" s="105">
        <f t="shared" si="186"/>
        <v>146</v>
      </c>
      <c r="BV175" s="97" t="s">
        <v>331</v>
      </c>
      <c r="BW175" s="98">
        <f t="shared" si="192"/>
        <v>228</v>
      </c>
      <c r="BX175" s="97" t="str">
        <f t="shared" si="190"/>
        <v>PST 227</v>
      </c>
      <c r="BY175" s="85"/>
      <c r="BZ175" s="147">
        <v>291</v>
      </c>
      <c r="CA175" s="148">
        <v>431</v>
      </c>
      <c r="CB175" s="85"/>
      <c r="CC175" s="85"/>
      <c r="CD175" s="85"/>
      <c r="CE175" s="85"/>
    </row>
    <row r="176" spans="2:91" ht="15.6" x14ac:dyDescent="0.3">
      <c r="B176" s="99" t="s">
        <v>826</v>
      </c>
      <c r="C176" s="99"/>
      <c r="D176" s="99"/>
      <c r="E176" s="99"/>
      <c r="F176" s="99"/>
      <c r="G176" s="99"/>
      <c r="H176" s="99"/>
      <c r="I176" s="43"/>
      <c r="J176" s="99" t="str">
        <f t="shared" si="193"/>
        <v xml:space="preserve">   149  273      3511      3855      3877      3734      3976      3727</v>
      </c>
      <c r="U176" s="112"/>
      <c r="W176" s="100"/>
      <c r="X176" s="100" t="e">
        <v>#N/A</v>
      </c>
      <c r="Z176" s="101">
        <v>156</v>
      </c>
      <c r="AA176" s="101">
        <v>1</v>
      </c>
      <c r="AB176" s="101">
        <v>0.436</v>
      </c>
      <c r="AD176" s="102">
        <f t="shared" si="173"/>
        <v>158</v>
      </c>
      <c r="AE176" s="102">
        <f t="shared" si="173"/>
        <v>285</v>
      </c>
      <c r="AF176" s="102">
        <f t="shared" si="174"/>
        <v>24284</v>
      </c>
      <c r="AG176" s="102">
        <f t="shared" si="175"/>
        <v>27556</v>
      </c>
      <c r="AH176" s="102">
        <f t="shared" si="176"/>
        <v>30283</v>
      </c>
      <c r="AI176" s="102">
        <f t="shared" si="177"/>
        <v>32975</v>
      </c>
      <c r="AJ176" s="102">
        <f t="shared" si="178"/>
        <v>35417</v>
      </c>
      <c r="AK176" s="102">
        <f t="shared" si="179"/>
        <v>36437</v>
      </c>
      <c r="AL176" s="102">
        <f>VLOOKUP($AE176,Usinas!$B$3:$F$241,5,FALSE)</f>
        <v>1</v>
      </c>
      <c r="AM176" s="102" t="str">
        <f>VLOOKUP($AE176,Usinas!$B$3:$H$241,7,FALSE)</f>
        <v>MADEIRA</v>
      </c>
      <c r="AN176" s="102" t="str">
        <f>VLOOKUP($AE176,Usinas!$B$3:$D$241,3,FALSE)</f>
        <v>AMAZONAS (SE)</v>
      </c>
      <c r="AP176" s="103">
        <v>156</v>
      </c>
      <c r="AQ176" s="103" t="str">
        <f>IF(BA176=1,VLOOKUP($AP176,Usinas!$B$3:$F$244,2,0),"")</f>
        <v>TRES MARIAS</v>
      </c>
      <c r="AR176" s="103" t="str">
        <f>IF(BA176=1,VLOOKUP($AP176,Usinas!$B$3:$F$241,3,0),"")</f>
        <v>SÃO FRANCISCO (SE)</v>
      </c>
      <c r="AS176" s="103" t="str">
        <f>IF(BA176,VLOOKUP($AP176,Usinas!$B$3:$F$244,4,0),"")</f>
        <v>SUDESTE</v>
      </c>
      <c r="AT176" s="103">
        <f t="shared" si="187"/>
        <v>0.436</v>
      </c>
      <c r="AU176" s="104">
        <f t="shared" si="195"/>
        <v>531.048</v>
      </c>
      <c r="AV176" s="104">
        <f t="shared" si="195"/>
        <v>642.22799999999995</v>
      </c>
      <c r="AW176" s="104">
        <f t="shared" si="195"/>
        <v>601.24400000000003</v>
      </c>
      <c r="AX176" s="104">
        <f t="shared" si="195"/>
        <v>547.61599999999999</v>
      </c>
      <c r="AY176" s="104">
        <f t="shared" si="195"/>
        <v>557.20799999999997</v>
      </c>
      <c r="AZ176" s="104">
        <f t="shared" si="195"/>
        <v>521.89200000000005</v>
      </c>
      <c r="BA176" s="103">
        <f t="shared" si="188"/>
        <v>1</v>
      </c>
      <c r="BB176" s="103">
        <f t="shared" si="189"/>
        <v>0</v>
      </c>
      <c r="BC176" s="103" t="str">
        <f>IF(BA176=1,VLOOKUP($AP176,Usinas!$B$3:$H$244,7,0),"")</f>
        <v>SUDESTE</v>
      </c>
      <c r="BM176" s="105">
        <f t="shared" si="180"/>
        <v>158</v>
      </c>
      <c r="BN176" s="105">
        <f t="shared" si="181"/>
        <v>285</v>
      </c>
      <c r="BO176" s="151">
        <f>IF($BP$15=1,IFERROR(VLOOKUP(BN176,$BZ$20:CA339,2,0),0),VALUE(RIGHT(LEFT($B185,21),10)))</f>
        <v>17809</v>
      </c>
      <c r="BP176" s="105">
        <f t="shared" si="182"/>
        <v>20208</v>
      </c>
      <c r="BQ176" s="105">
        <f t="shared" si="183"/>
        <v>22208</v>
      </c>
      <c r="BR176" s="105">
        <f t="shared" si="184"/>
        <v>24182</v>
      </c>
      <c r="BS176" s="105">
        <f t="shared" si="185"/>
        <v>25973</v>
      </c>
      <c r="BT176" s="105">
        <f t="shared" si="186"/>
        <v>26721</v>
      </c>
      <c r="BV176" s="97" t="s">
        <v>331</v>
      </c>
      <c r="BW176" s="98">
        <f t="shared" si="192"/>
        <v>229</v>
      </c>
      <c r="BX176" s="97" t="str">
        <f t="shared" si="190"/>
        <v>PST 228</v>
      </c>
      <c r="BZ176" s="147">
        <v>145</v>
      </c>
      <c r="CA176" s="148">
        <v>115</v>
      </c>
    </row>
    <row r="177" spans="2:79" ht="15.6" x14ac:dyDescent="0.3">
      <c r="B177" s="99" t="s">
        <v>827</v>
      </c>
      <c r="C177" s="99"/>
      <c r="D177" s="99"/>
      <c r="E177" s="99"/>
      <c r="F177" s="99"/>
      <c r="G177" s="99"/>
      <c r="H177" s="99"/>
      <c r="I177" s="43"/>
      <c r="J177" s="99" t="str">
        <f t="shared" si="193"/>
        <v xml:space="preserve">   150  275      7971      9171     10409     11438     12767     14139</v>
      </c>
      <c r="U177" s="112"/>
      <c r="W177" s="100"/>
      <c r="X177" s="100" t="e">
        <v>#N/A</v>
      </c>
      <c r="Z177" s="101">
        <v>157</v>
      </c>
      <c r="AA177" s="101">
        <v>0</v>
      </c>
      <c r="AB177" s="101">
        <v>0</v>
      </c>
      <c r="AD177" s="102">
        <f t="shared" si="173"/>
        <v>159</v>
      </c>
      <c r="AE177" s="102">
        <f t="shared" si="173"/>
        <v>286</v>
      </c>
      <c r="AF177" s="102">
        <f t="shared" si="174"/>
        <v>72</v>
      </c>
      <c r="AG177" s="102">
        <f t="shared" si="175"/>
        <v>70</v>
      </c>
      <c r="AH177" s="102">
        <f t="shared" si="176"/>
        <v>64</v>
      </c>
      <c r="AI177" s="102">
        <f t="shared" si="177"/>
        <v>58</v>
      </c>
      <c r="AJ177" s="102">
        <f t="shared" si="178"/>
        <v>63</v>
      </c>
      <c r="AK177" s="102">
        <f t="shared" si="179"/>
        <v>60</v>
      </c>
      <c r="AL177" s="102">
        <f>VLOOKUP($AE177,Usinas!$B$3:$F$241,5,FALSE)</f>
        <v>2</v>
      </c>
      <c r="AM177" s="102" t="str">
        <f>VLOOKUP($AE177,Usinas!$B$3:$H$241,7,FALSE)</f>
        <v>SUL</v>
      </c>
      <c r="AN177" s="102" t="str">
        <f>VLOOKUP($AE177,Usinas!$B$3:$D$241,3,FALSE)</f>
        <v>URUGUAI</v>
      </c>
      <c r="AP177" s="103">
        <v>157</v>
      </c>
      <c r="AQ177" s="103" t="str">
        <f>IF(BA177=1,VLOOKUP($AP177,Usinas!$B$3:$F$244,2,0),"")</f>
        <v/>
      </c>
      <c r="AR177" s="103" t="str">
        <f>IF(BA177=1,VLOOKUP($AP177,Usinas!$B$3:$F$241,3,0),"")</f>
        <v/>
      </c>
      <c r="AS177" s="103" t="str">
        <f>IF(BA177,VLOOKUP($AP177,Usinas!$B$3:$F$244,4,0),"")</f>
        <v/>
      </c>
      <c r="AT177" s="103" t="str">
        <f t="shared" si="187"/>
        <v/>
      </c>
      <c r="AU177" s="104" t="str">
        <f t="shared" si="195"/>
        <v/>
      </c>
      <c r="AV177" s="104" t="str">
        <f t="shared" si="195"/>
        <v/>
      </c>
      <c r="AW177" s="104" t="str">
        <f t="shared" si="195"/>
        <v/>
      </c>
      <c r="AX177" s="104" t="str">
        <f t="shared" si="195"/>
        <v/>
      </c>
      <c r="AY177" s="104" t="str">
        <f t="shared" si="195"/>
        <v/>
      </c>
      <c r="AZ177" s="104" t="str">
        <f t="shared" si="195"/>
        <v/>
      </c>
      <c r="BA177" s="103">
        <f t="shared" si="188"/>
        <v>0</v>
      </c>
      <c r="BB177" s="103">
        <f t="shared" si="189"/>
        <v>0</v>
      </c>
      <c r="BC177" s="103" t="str">
        <f>IF(BA177=1,VLOOKUP($AP177,Usinas!$B$3:$H$244,7,0),"")</f>
        <v/>
      </c>
      <c r="BM177" s="105">
        <f t="shared" si="180"/>
        <v>159</v>
      </c>
      <c r="BN177" s="105">
        <f t="shared" si="181"/>
        <v>286</v>
      </c>
      <c r="BO177" s="151">
        <f>IF($BP$15=1,IFERROR(VLOOKUP(BN177,$BZ$20:CA340,2,0),0),VALUE(RIGHT(LEFT($B186,21),10)))</f>
        <v>61</v>
      </c>
      <c r="BP177" s="105">
        <f t="shared" si="182"/>
        <v>59</v>
      </c>
      <c r="BQ177" s="105">
        <f t="shared" si="183"/>
        <v>54</v>
      </c>
      <c r="BR177" s="105">
        <f t="shared" si="184"/>
        <v>49</v>
      </c>
      <c r="BS177" s="105">
        <f t="shared" si="185"/>
        <v>53</v>
      </c>
      <c r="BT177" s="105">
        <f t="shared" si="186"/>
        <v>51</v>
      </c>
      <c r="BV177" s="97" t="s">
        <v>331</v>
      </c>
      <c r="BW177" s="98">
        <f t="shared" si="192"/>
        <v>230</v>
      </c>
      <c r="BX177" s="97" t="str">
        <f t="shared" si="190"/>
        <v>PST 229</v>
      </c>
      <c r="BZ177" s="147" t="s">
        <v>151</v>
      </c>
      <c r="CA177" s="148"/>
    </row>
    <row r="178" spans="2:79" ht="15.6" x14ac:dyDescent="0.3">
      <c r="B178" s="99" t="s">
        <v>828</v>
      </c>
      <c r="C178" s="99"/>
      <c r="D178" s="99"/>
      <c r="E178" s="99"/>
      <c r="F178" s="99"/>
      <c r="G178" s="99"/>
      <c r="H178" s="99"/>
      <c r="I178" s="43"/>
      <c r="J178" s="99" t="str">
        <f t="shared" si="193"/>
        <v xml:space="preserve">   151  277        93        96       101       113       133       148</v>
      </c>
      <c r="U178" s="112"/>
      <c r="W178" s="100"/>
      <c r="X178" s="100" t="e">
        <v>#N/A</v>
      </c>
      <c r="Z178" s="101">
        <v>158</v>
      </c>
      <c r="AA178" s="101">
        <v>1</v>
      </c>
      <c r="AB178" s="101">
        <v>1.6404000000000001</v>
      </c>
      <c r="AD178" s="102">
        <f t="shared" si="173"/>
        <v>160</v>
      </c>
      <c r="AE178" s="102">
        <f t="shared" si="173"/>
        <v>287</v>
      </c>
      <c r="AF178" s="102">
        <f t="shared" si="174"/>
        <v>25564</v>
      </c>
      <c r="AG178" s="102">
        <f t="shared" si="175"/>
        <v>28861</v>
      </c>
      <c r="AH178" s="102">
        <f t="shared" si="176"/>
        <v>31917</v>
      </c>
      <c r="AI178" s="102">
        <f t="shared" si="177"/>
        <v>34490</v>
      </c>
      <c r="AJ178" s="102">
        <f t="shared" si="178"/>
        <v>37202</v>
      </c>
      <c r="AK178" s="102">
        <f t="shared" si="179"/>
        <v>38287</v>
      </c>
      <c r="AL178" s="102">
        <f>VLOOKUP($AE178,Usinas!$B$3:$F$241,5,FALSE)</f>
        <v>1</v>
      </c>
      <c r="AM178" s="102" t="str">
        <f>VLOOKUP($AE178,Usinas!$B$3:$H$241,7,FALSE)</f>
        <v>MADEIRA</v>
      </c>
      <c r="AN178" s="102" t="str">
        <f>VLOOKUP($AE178,Usinas!$B$3:$D$241,3,FALSE)</f>
        <v>AMAZONAS (SE)</v>
      </c>
      <c r="AP178" s="103">
        <v>158</v>
      </c>
      <c r="AQ178" s="103" t="str">
        <f>IF(BA178=1,VLOOKUP($AP178,Usinas!$B$3:$F$244,2,0),"")</f>
        <v>QUEIMADO</v>
      </c>
      <c r="AR178" s="103" t="str">
        <f>IF(BA178=1,VLOOKUP($AP178,Usinas!$B$3:$F$241,3,0),"")</f>
        <v>SÃO FRANCISCO (SE)</v>
      </c>
      <c r="AS178" s="103" t="str">
        <f>IF(BA178,VLOOKUP($AP178,Usinas!$B$3:$F$244,4,0),"")</f>
        <v>SUDESTE</v>
      </c>
      <c r="AT178" s="103">
        <f t="shared" si="187"/>
        <v>1.6404000000000001</v>
      </c>
      <c r="AU178" s="104">
        <f t="shared" si="195"/>
        <v>96.783600000000007</v>
      </c>
      <c r="AV178" s="104">
        <f t="shared" si="195"/>
        <v>109.9068</v>
      </c>
      <c r="AW178" s="104">
        <f t="shared" si="195"/>
        <v>114.828</v>
      </c>
      <c r="AX178" s="104">
        <f t="shared" si="195"/>
        <v>129.5916</v>
      </c>
      <c r="AY178" s="104">
        <f t="shared" si="195"/>
        <v>136.1532</v>
      </c>
      <c r="AZ178" s="104">
        <f t="shared" si="195"/>
        <v>147.636</v>
      </c>
      <c r="BA178" s="103">
        <f t="shared" si="188"/>
        <v>1</v>
      </c>
      <c r="BB178" s="103">
        <f t="shared" si="189"/>
        <v>0</v>
      </c>
      <c r="BC178" s="103" t="str">
        <f>IF(BA178=1,VLOOKUP($AP178,Usinas!$B$3:$H$244,7,0),"")</f>
        <v>SUDESTE</v>
      </c>
      <c r="BM178" s="105">
        <f t="shared" si="180"/>
        <v>160</v>
      </c>
      <c r="BN178" s="105">
        <f t="shared" si="181"/>
        <v>287</v>
      </c>
      <c r="BO178" s="151">
        <f>IF($BP$15=1,IFERROR(VLOOKUP(BN178,$BZ$20:CA341,2,0),0),VALUE(RIGHT(LEFT($B187,21),10)))</f>
        <v>18747</v>
      </c>
      <c r="BP178" s="105">
        <f t="shared" si="182"/>
        <v>21165</v>
      </c>
      <c r="BQ178" s="105">
        <f t="shared" si="183"/>
        <v>23406</v>
      </c>
      <c r="BR178" s="105">
        <f t="shared" si="184"/>
        <v>25293</v>
      </c>
      <c r="BS178" s="105">
        <f t="shared" si="185"/>
        <v>27282</v>
      </c>
      <c r="BT178" s="105">
        <f t="shared" si="186"/>
        <v>28078</v>
      </c>
      <c r="BV178" s="97" t="s">
        <v>331</v>
      </c>
      <c r="BW178" s="98">
        <f t="shared" si="192"/>
        <v>237</v>
      </c>
      <c r="BX178" s="97" t="str">
        <f t="shared" si="190"/>
        <v>PST 230</v>
      </c>
      <c r="BZ178" s="147">
        <v>228</v>
      </c>
      <c r="CA178" s="148">
        <v>1007</v>
      </c>
    </row>
    <row r="179" spans="2:79" ht="15.6" x14ac:dyDescent="0.3">
      <c r="B179" s="99" t="s">
        <v>829</v>
      </c>
      <c r="C179" s="99"/>
      <c r="D179" s="99"/>
      <c r="E179" s="99"/>
      <c r="F179" s="99"/>
      <c r="G179" s="99"/>
      <c r="H179" s="99"/>
      <c r="I179" s="43"/>
      <c r="J179" s="99" t="str">
        <f t="shared" si="193"/>
        <v xml:space="preserve">   152  278       202       241       333       296       316       307</v>
      </c>
      <c r="U179" s="112"/>
      <c r="W179" s="100"/>
      <c r="X179" s="100" t="e">
        <v>#N/A</v>
      </c>
      <c r="Z179" s="101">
        <v>159</v>
      </c>
      <c r="AA179" s="101">
        <v>0</v>
      </c>
      <c r="AB179" s="101">
        <v>0</v>
      </c>
      <c r="AD179" s="102">
        <f t="shared" si="173"/>
        <v>161</v>
      </c>
      <c r="AE179" s="102">
        <f t="shared" si="173"/>
        <v>288</v>
      </c>
      <c r="AF179" s="102">
        <f t="shared" si="174"/>
        <v>4531</v>
      </c>
      <c r="AG179" s="102">
        <f t="shared" si="175"/>
        <v>5722</v>
      </c>
      <c r="AH179" s="102">
        <f t="shared" si="176"/>
        <v>6932</v>
      </c>
      <c r="AI179" s="102">
        <f t="shared" si="177"/>
        <v>8207</v>
      </c>
      <c r="AJ179" s="102">
        <f t="shared" si="178"/>
        <v>9481</v>
      </c>
      <c r="AK179" s="102">
        <f t="shared" si="179"/>
        <v>10793</v>
      </c>
      <c r="AL179" s="102">
        <f>VLOOKUP($AE179,Usinas!$B$3:$F$241,5,FALSE)</f>
        <v>4</v>
      </c>
      <c r="AM179" s="102" t="str">
        <f>VLOOKUP($AE179,Usinas!$B$3:$H$241,7,FALSE)</f>
        <v>BELO MONTE</v>
      </c>
      <c r="AN179" s="102" t="str">
        <f>VLOOKUP($AE179,Usinas!$B$3:$D$241,3,FALSE)</f>
        <v>XINGU</v>
      </c>
      <c r="AP179" s="103">
        <v>159</v>
      </c>
      <c r="AQ179" s="103" t="str">
        <f>IF(BA179=1,VLOOKUP($AP179,Usinas!$B$3:$F$244,2,0),"")</f>
        <v/>
      </c>
      <c r="AR179" s="103" t="str">
        <f>IF(BA179=1,VLOOKUP($AP179,Usinas!$B$3:$F$241,3,0),"")</f>
        <v/>
      </c>
      <c r="AS179" s="103" t="str">
        <f>IF(BA179,VLOOKUP($AP179,Usinas!$B$3:$F$244,4,0),"")</f>
        <v/>
      </c>
      <c r="AT179" s="103" t="str">
        <f t="shared" si="187"/>
        <v/>
      </c>
      <c r="AU179" s="104" t="str">
        <f t="shared" si="195"/>
        <v/>
      </c>
      <c r="AV179" s="104" t="str">
        <f t="shared" si="195"/>
        <v/>
      </c>
      <c r="AW179" s="104" t="str">
        <f t="shared" si="195"/>
        <v/>
      </c>
      <c r="AX179" s="104" t="str">
        <f t="shared" si="195"/>
        <v/>
      </c>
      <c r="AY179" s="104" t="str">
        <f t="shared" si="195"/>
        <v/>
      </c>
      <c r="AZ179" s="104" t="str">
        <f t="shared" si="195"/>
        <v/>
      </c>
      <c r="BA179" s="103">
        <f t="shared" si="188"/>
        <v>0</v>
      </c>
      <c r="BB179" s="103">
        <f t="shared" si="189"/>
        <v>0</v>
      </c>
      <c r="BC179" s="103" t="str">
        <f>IF(BA179=1,VLOOKUP($AP179,Usinas!$B$3:$H$244,7,0),"")</f>
        <v/>
      </c>
      <c r="BM179" s="105">
        <f t="shared" si="180"/>
        <v>161</v>
      </c>
      <c r="BN179" s="105">
        <f t="shared" si="181"/>
        <v>288</v>
      </c>
      <c r="BO179" s="197">
        <f>IF($BP$15=1,IFERROR(VLOOKUP(BN179,$BZ$20:CA342,2,0),0),VALUE(RIGHT(LEFT($B188,21),10)))</f>
        <v>4893</v>
      </c>
      <c r="BP179" s="105">
        <f t="shared" si="182"/>
        <v>6179</v>
      </c>
      <c r="BQ179" s="105">
        <f t="shared" si="183"/>
        <v>7486</v>
      </c>
      <c r="BR179" s="105">
        <f t="shared" si="184"/>
        <v>8862</v>
      </c>
      <c r="BS179" s="105">
        <f t="shared" si="185"/>
        <v>10238</v>
      </c>
      <c r="BT179" s="105">
        <f t="shared" si="186"/>
        <v>11655</v>
      </c>
      <c r="BV179" s="97" t="s">
        <v>331</v>
      </c>
      <c r="BW179" s="98">
        <f t="shared" si="192"/>
        <v>238</v>
      </c>
      <c r="BX179" s="97" t="str">
        <f t="shared" si="190"/>
        <v>PST 237</v>
      </c>
      <c r="BZ179" s="147">
        <v>229</v>
      </c>
      <c r="CA179" s="148">
        <v>2775</v>
      </c>
    </row>
    <row r="180" spans="2:79" ht="15.6" x14ac:dyDescent="0.3">
      <c r="B180" s="99" t="s">
        <v>879</v>
      </c>
      <c r="C180" s="99"/>
      <c r="D180" s="99"/>
      <c r="E180" s="99"/>
      <c r="F180" s="99"/>
      <c r="G180" s="99"/>
      <c r="H180" s="99"/>
      <c r="I180" s="43"/>
      <c r="J180" s="99" t="str">
        <f t="shared" si="193"/>
        <v xml:space="preserve">   153  279       495       570       627       648       670       745</v>
      </c>
      <c r="U180" s="112"/>
      <c r="W180" s="100"/>
      <c r="X180" s="100" t="e">
        <v>#N/A</v>
      </c>
      <c r="Z180" s="101">
        <v>160</v>
      </c>
      <c r="AA180" s="101">
        <v>0</v>
      </c>
      <c r="AB180" s="101">
        <v>0</v>
      </c>
      <c r="AD180" s="102">
        <f t="shared" si="173"/>
        <v>162</v>
      </c>
      <c r="AE180" s="102">
        <f t="shared" si="173"/>
        <v>290</v>
      </c>
      <c r="AF180" s="102">
        <f t="shared" si="174"/>
        <v>440</v>
      </c>
      <c r="AG180" s="102">
        <f t="shared" si="175"/>
        <v>553</v>
      </c>
      <c r="AH180" s="102">
        <f t="shared" si="176"/>
        <v>618</v>
      </c>
      <c r="AI180" s="102">
        <f t="shared" si="177"/>
        <v>782</v>
      </c>
      <c r="AJ180" s="102">
        <f t="shared" si="178"/>
        <v>904</v>
      </c>
      <c r="AK180" s="102">
        <f t="shared" si="179"/>
        <v>1076</v>
      </c>
      <c r="AL180" s="102">
        <f>VLOOKUP($AE180,Usinas!$B$3:$F$241,5,FALSE)</f>
        <v>4</v>
      </c>
      <c r="AM180" s="102" t="str">
        <f>VLOOKUP($AE180,Usinas!$B$3:$H$241,7,FALSE)</f>
        <v>MANAUS</v>
      </c>
      <c r="AN180" s="102" t="str">
        <f>VLOOKUP($AE180,Usinas!$B$3:$D$241,3,FALSE)</f>
        <v>AMAZONAS (N)</v>
      </c>
      <c r="AP180" s="103">
        <v>160</v>
      </c>
      <c r="AQ180" s="103" t="str">
        <f>IF(BA180=1,VLOOKUP($AP180,Usinas!$B$3:$F$244,2,0),"")</f>
        <v/>
      </c>
      <c r="AR180" s="103" t="str">
        <f>IF(BA180=1,VLOOKUP($AP180,Usinas!$B$3:$F$241,3,0),"")</f>
        <v/>
      </c>
      <c r="AS180" s="103" t="str">
        <f>IF(BA180,VLOOKUP($AP180,Usinas!$B$3:$F$244,4,0),"")</f>
        <v/>
      </c>
      <c r="AT180" s="103" t="str">
        <f t="shared" si="187"/>
        <v/>
      </c>
      <c r="AU180" s="104" t="str">
        <f t="shared" si="195"/>
        <v/>
      </c>
      <c r="AV180" s="104" t="str">
        <f t="shared" si="195"/>
        <v/>
      </c>
      <c r="AW180" s="104" t="str">
        <f t="shared" si="195"/>
        <v/>
      </c>
      <c r="AX180" s="104" t="str">
        <f t="shared" si="195"/>
        <v/>
      </c>
      <c r="AY180" s="104" t="str">
        <f t="shared" si="195"/>
        <v/>
      </c>
      <c r="AZ180" s="104" t="str">
        <f t="shared" si="195"/>
        <v/>
      </c>
      <c r="BA180" s="103">
        <f t="shared" si="188"/>
        <v>0</v>
      </c>
      <c r="BB180" s="103">
        <f t="shared" si="189"/>
        <v>0</v>
      </c>
      <c r="BC180" s="103" t="str">
        <f>IF(BA180=1,VLOOKUP($AP180,Usinas!$B$3:$H$244,7,0),"")</f>
        <v/>
      </c>
      <c r="BM180" s="105">
        <f t="shared" si="180"/>
        <v>162</v>
      </c>
      <c r="BN180" s="105">
        <f t="shared" si="181"/>
        <v>290</v>
      </c>
      <c r="BO180" s="151">
        <f>IF($BP$15=1,IFERROR(VLOOKUP(BN180,$BZ$20:CA343,2,0),0),VALUE(RIGHT(LEFT($B189,21),10)))</f>
        <v>475</v>
      </c>
      <c r="BP180" s="105">
        <f t="shared" si="182"/>
        <v>597</v>
      </c>
      <c r="BQ180" s="105">
        <f t="shared" si="183"/>
        <v>667</v>
      </c>
      <c r="BR180" s="105">
        <f t="shared" si="184"/>
        <v>844</v>
      </c>
      <c r="BS180" s="105">
        <f t="shared" si="185"/>
        <v>976</v>
      </c>
      <c r="BT180" s="105">
        <f t="shared" si="186"/>
        <v>1162</v>
      </c>
      <c r="BV180" s="97" t="s">
        <v>331</v>
      </c>
      <c r="BW180" s="98">
        <f t="shared" si="192"/>
        <v>239</v>
      </c>
      <c r="BX180" s="97" t="str">
        <f t="shared" si="190"/>
        <v>PST 238</v>
      </c>
      <c r="BZ180" s="147">
        <v>230</v>
      </c>
      <c r="CA180" s="148">
        <v>2799</v>
      </c>
    </row>
    <row r="181" spans="2:79" ht="15.6" x14ac:dyDescent="0.3">
      <c r="B181" s="99" t="s">
        <v>830</v>
      </c>
      <c r="C181" s="99"/>
      <c r="D181" s="99"/>
      <c r="E181" s="99"/>
      <c r="F181" s="99"/>
      <c r="G181" s="99"/>
      <c r="H181" s="99"/>
      <c r="I181" s="43"/>
      <c r="J181" s="99" t="str">
        <f t="shared" si="193"/>
        <v xml:space="preserve">   154  280       358       421       490       550       658       774</v>
      </c>
      <c r="U181" s="112"/>
      <c r="W181" s="100"/>
      <c r="X181" s="100" t="e">
        <v>#N/A</v>
      </c>
      <c r="Z181" s="101">
        <v>161</v>
      </c>
      <c r="AA181" s="101">
        <v>0</v>
      </c>
      <c r="AB181" s="101">
        <v>0</v>
      </c>
      <c r="AD181" s="102">
        <f t="shared" si="173"/>
        <v>163</v>
      </c>
      <c r="AE181" s="102">
        <f t="shared" si="173"/>
        <v>291</v>
      </c>
      <c r="AF181" s="102">
        <f t="shared" ref="AF181:AF211" si="196">ROUND(BO181*(1+VLOOKUP($AL181,$B$3:$H$6,AF$19,FALSE)+_xlfn.IFNA(VLOOKUP("REE "&amp;$AM181,$B$11:$H$23,AF$19,FALSE),0)+_xlfn.IFNA(VLOOKUP("BCA "&amp;$AN181,$B$11:$H$23,AF$19,0),0)+_xlfn.IFNA(VLOOKUP("PST "&amp;$AE181,$B$11:$H$23,AF$19,0),0)),0)</f>
        <v>608</v>
      </c>
      <c r="AG181" s="102">
        <f t="shared" ref="AG181:AG211" si="197">ROUND(BP181*(1+VLOOKUP($AL181,$B$3:$H$6,AG$19,FALSE)+_xlfn.IFNA(VLOOKUP("REE "&amp;$AM181,$B$11:$H$23,AG$19,FALSE),0)+_xlfn.IFNA(VLOOKUP("BCA "&amp;$AN181,$B$11:$H$23,AG$19,0),0)+_xlfn.IFNA(VLOOKUP("PST "&amp;$AE181,$B$11:$H$23,AG$19,0),0)),0)</f>
        <v>687</v>
      </c>
      <c r="AH181" s="102">
        <f t="shared" ref="AH181:AH211" si="198">ROUND(BQ181*(1+VLOOKUP($AL181,$B$3:$H$6,AH$19,FALSE)+_xlfn.IFNA(VLOOKUP("REE "&amp;$AM181,$B$11:$H$23,AH$19,FALSE),0)+_xlfn.IFNA(VLOOKUP("BCA "&amp;$AN181,$B$11:$H$23,AH$19,0),0)+_xlfn.IFNA(VLOOKUP("PST "&amp;$AE181,$B$11:$H$23,AH$19,0),0)),0)</f>
        <v>750</v>
      </c>
      <c r="AI181" s="102">
        <f t="shared" ref="AI181:AI211" si="199">ROUND(BR181*(1+VLOOKUP($AL181,$B$3:$H$6,AI$19,FALSE)+_xlfn.IFNA(VLOOKUP("REE "&amp;$AM181,$B$11:$H$23,AI$19,FALSE),0)+_xlfn.IFNA(VLOOKUP("BCA "&amp;$AN181,$B$11:$H$23,AI$19,0),0)+_xlfn.IFNA(VLOOKUP("PST "&amp;$AE181,$B$11:$H$23,AI$19,0),0)),0)</f>
        <v>751</v>
      </c>
      <c r="AJ181" s="102">
        <f t="shared" ref="AJ181:AJ211" si="200">ROUND(BS181*(1+VLOOKUP($AL181,$B$3:$H$6,AJ$19,FALSE)+_xlfn.IFNA(VLOOKUP("REE "&amp;$AM181,$B$11:$H$23,AJ$19,FALSE),0)+_xlfn.IFNA(VLOOKUP("BCA "&amp;$AN181,$B$11:$H$23,AJ$19,0),0)+_xlfn.IFNA(VLOOKUP("PST "&amp;$AE181,$B$11:$H$23,AJ$19,0),0)),0)</f>
        <v>777</v>
      </c>
      <c r="AK181" s="102">
        <f t="shared" ref="AK181:AK211" si="201">ROUND(BT181*(1+VLOOKUP($AL181,$B$3:$H$6,AK$19,FALSE)+_xlfn.IFNA(VLOOKUP("REE "&amp;$AM181,$B$11:$H$23,AK$19,FALSE),0)+_xlfn.IFNA(VLOOKUP("BCA "&amp;$AN181,$B$11:$H$23,AK$19,0),0)+_xlfn.IFNA(VLOOKUP("PST "&amp;$AE181,$B$11:$H$23,AK$19,0),0)),0)</f>
        <v>848</v>
      </c>
      <c r="AL181" s="102">
        <f>VLOOKUP($AE181,Usinas!$B$3:$F$241,5,FALSE)</f>
        <v>1</v>
      </c>
      <c r="AM181" s="102" t="str">
        <f>VLOOKUP($AE181,Usinas!$B$3:$H$241,7,FALSE)</f>
        <v>MADEIRA</v>
      </c>
      <c r="AN181" s="102" t="str">
        <f>VLOOKUP($AE181,Usinas!$B$3:$D$241,3,FALSE)</f>
        <v>AMAZONAS (SE)</v>
      </c>
      <c r="AP181" s="103">
        <v>161</v>
      </c>
      <c r="AQ181" s="103" t="str">
        <f>IF(BA181=1,VLOOKUP($AP181,Usinas!$B$3:$F$244,2,0),"")</f>
        <v/>
      </c>
      <c r="AR181" s="103" t="str">
        <f>IF(BA181=1,VLOOKUP($AP181,Usinas!$B$3:$F$241,3,0),"")</f>
        <v/>
      </c>
      <c r="AS181" s="103" t="str">
        <f>IF(BA181,VLOOKUP($AP181,Usinas!$B$3:$F$244,4,0),"")</f>
        <v/>
      </c>
      <c r="AT181" s="103" t="str">
        <f t="shared" si="187"/>
        <v/>
      </c>
      <c r="AU181" s="104" t="str">
        <f t="shared" ref="AU181:AZ190" si="202">IF($BA181=1,IFERROR(VLOOKUP($AP181,$AE$21:$AK$211,AU$19,0),VLOOKUP($AP181,$BE$21:$BK$65,AU$19,0))*$AT181,"")</f>
        <v/>
      </c>
      <c r="AV181" s="104" t="str">
        <f t="shared" si="202"/>
        <v/>
      </c>
      <c r="AW181" s="104" t="str">
        <f t="shared" si="202"/>
        <v/>
      </c>
      <c r="AX181" s="104" t="str">
        <f t="shared" si="202"/>
        <v/>
      </c>
      <c r="AY181" s="104" t="str">
        <f t="shared" si="202"/>
        <v/>
      </c>
      <c r="AZ181" s="104" t="str">
        <f t="shared" si="202"/>
        <v/>
      </c>
      <c r="BA181" s="103">
        <f t="shared" si="188"/>
        <v>0</v>
      </c>
      <c r="BB181" s="103">
        <f t="shared" si="189"/>
        <v>0</v>
      </c>
      <c r="BC181" s="103" t="str">
        <f>IF(BA181=1,VLOOKUP($AP181,Usinas!$B$3:$H$244,7,0),"")</f>
        <v/>
      </c>
      <c r="BM181" s="105">
        <f t="shared" ref="BM181:BM182" si="203">VALUE(LEFT($B190,6))</f>
        <v>163</v>
      </c>
      <c r="BN181" s="105">
        <f t="shared" ref="BN181:BN182" si="204">VALUE(RIGHT(LEFT($B190,11),5))</f>
        <v>291</v>
      </c>
      <c r="BO181" s="151">
        <f>IF($BP$15=1,IFERROR(VLOOKUP(BN181,$BZ$20:CA344,2,0),0),VALUE(RIGHT(LEFT($B190,21),10)))</f>
        <v>446</v>
      </c>
      <c r="BP181" s="105">
        <f t="shared" ref="BP181:BP182" si="205">VALUE(RIGHT(LEFT($B190,31),10))</f>
        <v>504</v>
      </c>
      <c r="BQ181" s="105">
        <f t="shared" ref="BQ181:BQ182" si="206">VALUE(RIGHT(LEFT($B190,41),10))</f>
        <v>550</v>
      </c>
      <c r="BR181" s="105">
        <f t="shared" ref="BR181:BR182" si="207">VALUE(RIGHT(LEFT($B190,51),10))</f>
        <v>551</v>
      </c>
      <c r="BS181" s="105">
        <f t="shared" ref="BS181:BS182" si="208">VALUE(RIGHT(LEFT($B190,61),10))</f>
        <v>570</v>
      </c>
      <c r="BT181" s="105">
        <f t="shared" ref="BT181:BT182" si="209">VALUE(RIGHT(LEFT($B190,71),10))</f>
        <v>622</v>
      </c>
      <c r="BV181" s="97" t="s">
        <v>331</v>
      </c>
      <c r="BW181" s="98">
        <f t="shared" si="192"/>
        <v>240</v>
      </c>
      <c r="BX181" s="97" t="str">
        <f t="shared" si="190"/>
        <v>PST 239</v>
      </c>
      <c r="BZ181" s="147">
        <v>277</v>
      </c>
      <c r="CA181" s="148">
        <v>533</v>
      </c>
    </row>
    <row r="182" spans="2:79" ht="15.6" customHeight="1" x14ac:dyDescent="0.3">
      <c r="B182" s="99" t="s">
        <v>831</v>
      </c>
      <c r="C182" s="99"/>
      <c r="D182" s="99"/>
      <c r="E182" s="99"/>
      <c r="F182" s="99"/>
      <c r="G182" s="99"/>
      <c r="H182" s="99"/>
      <c r="I182" s="43"/>
      <c r="J182" s="99" t="str">
        <f t="shared" si="193"/>
        <v xml:space="preserve">   155  281        95        94        98       100       106       108</v>
      </c>
      <c r="U182" s="112"/>
      <c r="W182" s="100"/>
      <c r="X182" s="100" t="e">
        <v>#N/A</v>
      </c>
      <c r="Z182" s="101">
        <v>162</v>
      </c>
      <c r="AA182" s="101">
        <v>0</v>
      </c>
      <c r="AB182" s="101">
        <v>0</v>
      </c>
      <c r="AD182" s="102">
        <f t="shared" si="173"/>
        <v>164</v>
      </c>
      <c r="AE182" s="102">
        <f t="shared" si="173"/>
        <v>294</v>
      </c>
      <c r="AF182" s="102">
        <f t="shared" si="196"/>
        <v>226</v>
      </c>
      <c r="AG182" s="102">
        <f t="shared" si="197"/>
        <v>232</v>
      </c>
      <c r="AH182" s="102">
        <f t="shared" si="198"/>
        <v>258</v>
      </c>
      <c r="AI182" s="102">
        <f t="shared" si="199"/>
        <v>247</v>
      </c>
      <c r="AJ182" s="102">
        <f t="shared" si="200"/>
        <v>251</v>
      </c>
      <c r="AK182" s="102">
        <f t="shared" si="201"/>
        <v>250</v>
      </c>
      <c r="AL182" s="102">
        <f>VLOOKUP($AE182,Usinas!$B$3:$F$241,5,FALSE)</f>
        <v>1</v>
      </c>
      <c r="AM182" s="102" t="str">
        <f>VLOOKUP($AE182,Usinas!$B$3:$H$241,7,FALSE)</f>
        <v>PARANA</v>
      </c>
      <c r="AN182" s="102" t="str">
        <f>VLOOKUP($AE182,Usinas!$B$3:$D$241,3,FALSE)</f>
        <v>PARANAÍBA</v>
      </c>
      <c r="AP182" s="103">
        <v>162</v>
      </c>
      <c r="AQ182" s="103" t="str">
        <f>IF(BA182=1,VLOOKUP($AP182,Usinas!$B$3:$F$244,2,0),"")</f>
        <v/>
      </c>
      <c r="AR182" s="103" t="str">
        <f>IF(BA182=1,VLOOKUP($AP182,Usinas!$B$3:$F$241,3,0),"")</f>
        <v/>
      </c>
      <c r="AS182" s="103" t="str">
        <f>IF(BA182,VLOOKUP($AP182,Usinas!$B$3:$F$244,4,0),"")</f>
        <v/>
      </c>
      <c r="AT182" s="103" t="str">
        <f t="shared" si="187"/>
        <v/>
      </c>
      <c r="AU182" s="104" t="str">
        <f t="shared" si="202"/>
        <v/>
      </c>
      <c r="AV182" s="104" t="str">
        <f t="shared" si="202"/>
        <v/>
      </c>
      <c r="AW182" s="104" t="str">
        <f t="shared" si="202"/>
        <v/>
      </c>
      <c r="AX182" s="104" t="str">
        <f t="shared" si="202"/>
        <v/>
      </c>
      <c r="AY182" s="104" t="str">
        <f t="shared" si="202"/>
        <v/>
      </c>
      <c r="AZ182" s="104" t="str">
        <f t="shared" si="202"/>
        <v/>
      </c>
      <c r="BA182" s="103">
        <f t="shared" si="188"/>
        <v>0</v>
      </c>
      <c r="BB182" s="103">
        <f t="shared" si="189"/>
        <v>0</v>
      </c>
      <c r="BC182" s="103" t="str">
        <f>IF(BA182=1,VLOOKUP($AP182,Usinas!$B$3:$H$244,7,0),"")</f>
        <v/>
      </c>
      <c r="BM182" s="105">
        <f t="shared" si="203"/>
        <v>164</v>
      </c>
      <c r="BN182" s="105">
        <f t="shared" si="204"/>
        <v>294</v>
      </c>
      <c r="BO182" s="151">
        <f>IF($BP$15=1,IFERROR(VLOOKUP(BN182,$BZ$20:CA345,2,0),0),VALUE(RIGHT(LEFT($B191,21),10)))</f>
        <v>166</v>
      </c>
      <c r="BP182" s="105">
        <f t="shared" si="205"/>
        <v>170</v>
      </c>
      <c r="BQ182" s="105">
        <f t="shared" si="206"/>
        <v>189</v>
      </c>
      <c r="BR182" s="105">
        <f t="shared" si="207"/>
        <v>181</v>
      </c>
      <c r="BS182" s="105">
        <f t="shared" si="208"/>
        <v>184</v>
      </c>
      <c r="BT182" s="105">
        <f t="shared" si="209"/>
        <v>183</v>
      </c>
      <c r="BV182" s="97" t="s">
        <v>331</v>
      </c>
      <c r="BW182" s="98">
        <f t="shared" si="192"/>
        <v>241</v>
      </c>
      <c r="BX182" s="97" t="str">
        <f t="shared" si="190"/>
        <v>PST 240</v>
      </c>
      <c r="BZ182" s="147">
        <v>288</v>
      </c>
      <c r="CA182" s="148">
        <v>9415</v>
      </c>
    </row>
    <row r="183" spans="2:79" ht="15.6" customHeight="1" x14ac:dyDescent="0.3">
      <c r="B183" s="99" t="s">
        <v>832</v>
      </c>
      <c r="C183" s="99"/>
      <c r="D183" s="99"/>
      <c r="E183" s="99"/>
      <c r="F183" s="99"/>
      <c r="G183" s="99"/>
      <c r="H183" s="99"/>
      <c r="I183" s="43"/>
      <c r="J183" s="99" t="str">
        <f t="shared" si="193"/>
        <v xml:space="preserve">   156  283       102       104        83       128       123       112</v>
      </c>
      <c r="U183" s="112"/>
      <c r="W183" s="100"/>
      <c r="X183" s="100" t="e">
        <v>#N/A</v>
      </c>
      <c r="Z183" s="101">
        <v>163</v>
      </c>
      <c r="AA183" s="101">
        <v>0</v>
      </c>
      <c r="AB183" s="101">
        <v>0</v>
      </c>
      <c r="AD183" s="102">
        <f t="shared" si="173"/>
        <v>165</v>
      </c>
      <c r="AE183" s="102">
        <f t="shared" si="173"/>
        <v>295</v>
      </c>
      <c r="AF183" s="102">
        <f t="shared" si="196"/>
        <v>87</v>
      </c>
      <c r="AG183" s="102">
        <f t="shared" si="197"/>
        <v>93</v>
      </c>
      <c r="AH183" s="102">
        <f t="shared" si="198"/>
        <v>91</v>
      </c>
      <c r="AI183" s="102">
        <f t="shared" si="199"/>
        <v>95</v>
      </c>
      <c r="AJ183" s="102">
        <f t="shared" si="200"/>
        <v>102</v>
      </c>
      <c r="AK183" s="102">
        <f t="shared" si="201"/>
        <v>106</v>
      </c>
      <c r="AL183" s="102">
        <f>VLOOKUP($AE183,Usinas!$B$3:$F$241,5,FALSE)</f>
        <v>1</v>
      </c>
      <c r="AM183" s="102" t="str">
        <f>VLOOKUP($AE183,Usinas!$B$3:$H$241,7,FALSE)</f>
        <v>SUDESTE</v>
      </c>
      <c r="AN183" s="102" t="str">
        <f>VLOOKUP($AE183,Usinas!$B$3:$D$241,3,FALSE)</f>
        <v>PARAGUAI</v>
      </c>
      <c r="AP183" s="103">
        <v>163</v>
      </c>
      <c r="AQ183" s="103" t="str">
        <f>IF(BA183=1,VLOOKUP($AP183,Usinas!$B$3:$F$244,2,0),"")</f>
        <v/>
      </c>
      <c r="AR183" s="103" t="str">
        <f>IF(BA183=1,VLOOKUP($AP183,Usinas!$B$3:$F$241,3,0),"")</f>
        <v/>
      </c>
      <c r="AS183" s="103" t="str">
        <f>IF(BA183,VLOOKUP($AP183,Usinas!$B$3:$F$244,4,0),"")</f>
        <v/>
      </c>
      <c r="AT183" s="103" t="str">
        <f t="shared" si="187"/>
        <v/>
      </c>
      <c r="AU183" s="104" t="str">
        <f t="shared" si="202"/>
        <v/>
      </c>
      <c r="AV183" s="104" t="str">
        <f t="shared" si="202"/>
        <v/>
      </c>
      <c r="AW183" s="104" t="str">
        <f t="shared" si="202"/>
        <v/>
      </c>
      <c r="AX183" s="104" t="str">
        <f t="shared" si="202"/>
        <v/>
      </c>
      <c r="AY183" s="104" t="str">
        <f t="shared" si="202"/>
        <v/>
      </c>
      <c r="AZ183" s="104" t="str">
        <f t="shared" si="202"/>
        <v/>
      </c>
      <c r="BA183" s="103">
        <f t="shared" si="188"/>
        <v>0</v>
      </c>
      <c r="BB183" s="103">
        <f t="shared" si="189"/>
        <v>0</v>
      </c>
      <c r="BC183" s="103" t="str">
        <f>IF(BA183=1,VLOOKUP($AP183,Usinas!$B$3:$H$244,7,0),"")</f>
        <v/>
      </c>
      <c r="BM183" s="105">
        <f>VALUE(LEFT($B192,6))</f>
        <v>165</v>
      </c>
      <c r="BN183" s="105">
        <f>VALUE(RIGHT(LEFT($B192,11),5))</f>
        <v>295</v>
      </c>
      <c r="BO183" s="151">
        <f>IF($BP$15=1,IFERROR(VLOOKUP(BN183,$BZ$20:CA346,2,0),0),VALUE(RIGHT(LEFT($B192,21),10)))</f>
        <v>64</v>
      </c>
      <c r="BP183" s="105">
        <f>VALUE(RIGHT(LEFT($B192,31),10))</f>
        <v>68</v>
      </c>
      <c r="BQ183" s="105">
        <f>VALUE(RIGHT(LEFT($B192,41),10))</f>
        <v>67</v>
      </c>
      <c r="BR183" s="105">
        <f>VALUE(RIGHT(LEFT($B192,51),10))</f>
        <v>70</v>
      </c>
      <c r="BS183" s="105">
        <f>VALUE(RIGHT(LEFT($B192,61),10))</f>
        <v>75</v>
      </c>
      <c r="BT183" s="105">
        <f>VALUE(RIGHT(LEFT($B192,71),10))</f>
        <v>78</v>
      </c>
      <c r="BV183" s="97" t="s">
        <v>331</v>
      </c>
      <c r="BW183" s="98">
        <f t="shared" si="192"/>
        <v>242</v>
      </c>
      <c r="BX183" s="97" t="str">
        <f t="shared" si="190"/>
        <v>PST 241</v>
      </c>
      <c r="BZ183" s="147">
        <v>292</v>
      </c>
      <c r="CA183" s="148">
        <v>8266</v>
      </c>
    </row>
    <row r="184" spans="2:79" ht="16.2" customHeight="1" thickBot="1" x14ac:dyDescent="0.35">
      <c r="B184" s="99" t="s">
        <v>833</v>
      </c>
      <c r="C184" s="99"/>
      <c r="D184" s="99"/>
      <c r="E184" s="99"/>
      <c r="F184" s="99"/>
      <c r="G184" s="99"/>
      <c r="H184" s="99"/>
      <c r="I184" s="43"/>
      <c r="J184" s="99" t="str">
        <f t="shared" si="193"/>
        <v xml:space="preserve">   157  284       211       231       206       165       168       173</v>
      </c>
      <c r="U184" s="112"/>
      <c r="W184" s="100"/>
      <c r="X184" s="100" t="e">
        <v>#N/A</v>
      </c>
      <c r="Z184" s="101">
        <v>164</v>
      </c>
      <c r="AA184" s="101">
        <v>0</v>
      </c>
      <c r="AB184" s="101">
        <v>0</v>
      </c>
      <c r="AD184" s="102">
        <f t="shared" si="173"/>
        <v>166</v>
      </c>
      <c r="AE184" s="102">
        <f t="shared" si="173"/>
        <v>296</v>
      </c>
      <c r="AF184" s="102">
        <f t="shared" si="196"/>
        <v>33</v>
      </c>
      <c r="AG184" s="102">
        <f t="shared" si="197"/>
        <v>44</v>
      </c>
      <c r="AH184" s="102">
        <f t="shared" si="198"/>
        <v>48</v>
      </c>
      <c r="AI184" s="102">
        <f t="shared" si="199"/>
        <v>42</v>
      </c>
      <c r="AJ184" s="102">
        <f t="shared" si="200"/>
        <v>52</v>
      </c>
      <c r="AK184" s="102">
        <f t="shared" si="201"/>
        <v>45</v>
      </c>
      <c r="AL184" s="102">
        <f>VLOOKUP($AE184,Usinas!$B$3:$F$241,5,FALSE)</f>
        <v>1</v>
      </c>
      <c r="AM184" s="102" t="str">
        <f>VLOOKUP($AE184,Usinas!$B$3:$H$241,7,FALSE)</f>
        <v>MADEIRA</v>
      </c>
      <c r="AN184" s="102" t="str">
        <f>VLOOKUP($AE184,Usinas!$B$3:$D$241,3,FALSE)</f>
        <v>AMAZONAS (SE)</v>
      </c>
      <c r="AP184" s="103">
        <v>164</v>
      </c>
      <c r="AQ184" s="103" t="str">
        <f>IF(BA184=1,VLOOKUP($AP184,Usinas!$B$3:$F$244,2,0),"")</f>
        <v/>
      </c>
      <c r="AR184" s="103" t="str">
        <f>IF(BA184=1,VLOOKUP($AP184,Usinas!$B$3:$F$241,3,0),"")</f>
        <v/>
      </c>
      <c r="AS184" s="103" t="str">
        <f>IF(BA184,VLOOKUP($AP184,Usinas!$B$3:$F$244,4,0),"")</f>
        <v/>
      </c>
      <c r="AT184" s="103" t="str">
        <f t="shared" si="187"/>
        <v/>
      </c>
      <c r="AU184" s="104" t="str">
        <f t="shared" si="202"/>
        <v/>
      </c>
      <c r="AV184" s="104" t="str">
        <f t="shared" si="202"/>
        <v/>
      </c>
      <c r="AW184" s="104" t="str">
        <f t="shared" si="202"/>
        <v/>
      </c>
      <c r="AX184" s="104" t="str">
        <f t="shared" si="202"/>
        <v/>
      </c>
      <c r="AY184" s="104" t="str">
        <f t="shared" si="202"/>
        <v/>
      </c>
      <c r="AZ184" s="104" t="str">
        <f t="shared" si="202"/>
        <v/>
      </c>
      <c r="BA184" s="103">
        <f t="shared" si="188"/>
        <v>0</v>
      </c>
      <c r="BB184" s="103">
        <f t="shared" si="189"/>
        <v>0</v>
      </c>
      <c r="BC184" s="103" t="str">
        <f>IF(BA184=1,VLOOKUP($AP184,Usinas!$B$3:$H$244,7,0),"")</f>
        <v/>
      </c>
      <c r="BM184" s="105">
        <f>VALUE(LEFT($B193,6))</f>
        <v>166</v>
      </c>
      <c r="BN184" s="105">
        <f>VALUE(RIGHT(LEFT($B193,11),5))</f>
        <v>296</v>
      </c>
      <c r="BO184" s="151">
        <f>BO83</f>
        <v>24</v>
      </c>
      <c r="BP184" s="151">
        <f t="shared" ref="BP184:BT184" si="210">BP83</f>
        <v>32</v>
      </c>
      <c r="BQ184" s="151">
        <f t="shared" si="210"/>
        <v>35</v>
      </c>
      <c r="BR184" s="151">
        <f t="shared" si="210"/>
        <v>31</v>
      </c>
      <c r="BS184" s="151">
        <f t="shared" si="210"/>
        <v>38</v>
      </c>
      <c r="BT184" s="151">
        <f t="shared" si="210"/>
        <v>33</v>
      </c>
      <c r="BV184" s="97" t="s">
        <v>331</v>
      </c>
      <c r="BW184" s="98">
        <f t="shared" si="192"/>
        <v>243</v>
      </c>
      <c r="BX184" s="97" t="str">
        <f t="shared" si="190"/>
        <v>PST 242</v>
      </c>
      <c r="BZ184" s="149">
        <v>290</v>
      </c>
      <c r="CA184" s="150">
        <v>1119</v>
      </c>
    </row>
    <row r="185" spans="2:79" ht="14.4" customHeight="1" x14ac:dyDescent="0.3">
      <c r="B185" s="99" t="s">
        <v>880</v>
      </c>
      <c r="C185" s="99"/>
      <c r="D185" s="99"/>
      <c r="E185" s="99"/>
      <c r="F185" s="99"/>
      <c r="G185" s="99"/>
      <c r="H185" s="99"/>
      <c r="I185" s="43"/>
      <c r="J185" s="99" t="str">
        <f t="shared" si="193"/>
        <v xml:space="preserve">   158  285     24284     27556     30283     32975     35417     36437</v>
      </c>
      <c r="U185" s="112"/>
      <c r="W185" s="100"/>
      <c r="X185" s="100" t="e">
        <v>#N/A</v>
      </c>
      <c r="Z185" s="101">
        <v>165</v>
      </c>
      <c r="AA185" s="101">
        <v>0</v>
      </c>
      <c r="AB185" s="101">
        <v>0</v>
      </c>
      <c r="AD185" s="102">
        <f>BM185</f>
        <v>167</v>
      </c>
      <c r="AE185" s="102">
        <f t="shared" si="173"/>
        <v>297</v>
      </c>
      <c r="AF185" s="102">
        <f t="shared" si="196"/>
        <v>360</v>
      </c>
      <c r="AG185" s="102">
        <f t="shared" si="197"/>
        <v>360</v>
      </c>
      <c r="AH185" s="102">
        <f t="shared" si="198"/>
        <v>360</v>
      </c>
      <c r="AI185" s="102">
        <f t="shared" si="199"/>
        <v>360</v>
      </c>
      <c r="AJ185" s="102">
        <f t="shared" si="200"/>
        <v>360</v>
      </c>
      <c r="AK185" s="102">
        <f t="shared" si="201"/>
        <v>360</v>
      </c>
      <c r="AL185" s="102">
        <f>VLOOKUP($AE185,Usinas!$B$3:$F$241,5,FALSE)</f>
        <v>4</v>
      </c>
      <c r="AM185" s="102" t="str">
        <f>VLOOKUP($AE185,Usinas!$B$3:$H$241,7,FALSE)</f>
        <v>MANAUS</v>
      </c>
      <c r="AN185" s="102" t="str">
        <f>VLOOKUP($AE185,Usinas!$B$3:$D$241,3,FALSE)</f>
        <v>ARAGUARI</v>
      </c>
      <c r="AP185" s="103">
        <v>165</v>
      </c>
      <c r="AQ185" s="103" t="str">
        <f>IF(BA185=1,VLOOKUP($AP185,Usinas!$B$3:$F$244,2,0),"")</f>
        <v/>
      </c>
      <c r="AR185" s="103" t="str">
        <f>IF(BA185=1,VLOOKUP($AP185,Usinas!$B$3:$F$241,3,0),"")</f>
        <v/>
      </c>
      <c r="AS185" s="103" t="str">
        <f>IF(BA185,VLOOKUP($AP185,Usinas!$B$3:$F$244,4,0),"")</f>
        <v/>
      </c>
      <c r="AT185" s="103" t="str">
        <f t="shared" si="187"/>
        <v/>
      </c>
      <c r="AU185" s="104" t="str">
        <f t="shared" si="202"/>
        <v/>
      </c>
      <c r="AV185" s="104" t="str">
        <f t="shared" si="202"/>
        <v/>
      </c>
      <c r="AW185" s="104" t="str">
        <f t="shared" si="202"/>
        <v/>
      </c>
      <c r="AX185" s="104" t="str">
        <f t="shared" si="202"/>
        <v/>
      </c>
      <c r="AY185" s="104" t="str">
        <f t="shared" si="202"/>
        <v/>
      </c>
      <c r="AZ185" s="104" t="str">
        <f t="shared" si="202"/>
        <v/>
      </c>
      <c r="BA185" s="103">
        <f t="shared" si="188"/>
        <v>0</v>
      </c>
      <c r="BB185" s="103">
        <f t="shared" si="189"/>
        <v>0</v>
      </c>
      <c r="BC185" s="103" t="str">
        <f>IF(BA185=1,VLOOKUP($AP185,Usinas!$B$3:$H$244,7,0),"")</f>
        <v/>
      </c>
      <c r="BM185" s="105">
        <f>VALUE(LEFT($B194,6))</f>
        <v>167</v>
      </c>
      <c r="BN185" s="105">
        <f>VALUE(RIGHT(LEFT($B194,11),5))</f>
        <v>297</v>
      </c>
      <c r="BO185" s="151">
        <f>IF($BP$15=1,IFERROR(VLOOKUP(BN185,$BZ$20:CA348,2,0),0),VALUE(RIGHT(LEFT($B194,21),10)))</f>
        <v>389</v>
      </c>
      <c r="BP185" s="151">
        <f>IF($BP$15=1,IFERROR(VLOOKUP(BO185,$BZ$20:CB348,2,0),0),VALUE(RIGHT(LEFT($B194,21),10)))</f>
        <v>389</v>
      </c>
      <c r="BQ185" s="151">
        <f>IF($BP$15=1,IFERROR(VLOOKUP(BP185,$BZ$20:CC348,2,0),0),VALUE(RIGHT(LEFT($B194,21),10)))</f>
        <v>389</v>
      </c>
      <c r="BR185" s="151">
        <f>IF($BP$15=1,IFERROR(VLOOKUP(BQ185,$BZ$20:CD348,2,0),0),VALUE(RIGHT(LEFT($B194,21),10)))</f>
        <v>389</v>
      </c>
      <c r="BS185" s="151">
        <f>IF($BP$15=1,IFERROR(VLOOKUP(BR185,$BZ$20:CE348,2,0),0),VALUE(RIGHT(LEFT($B194,21),10)))</f>
        <v>389</v>
      </c>
      <c r="BT185" s="151">
        <f>IF($BP$15=1,IFERROR(VLOOKUP(BS185,$BZ$20:CF348,2,0),0),VALUE(RIGHT(LEFT($B194,21),10)))</f>
        <v>389</v>
      </c>
      <c r="BV185" s="97" t="s">
        <v>331</v>
      </c>
      <c r="BW185" s="98">
        <f t="shared" si="192"/>
        <v>244</v>
      </c>
      <c r="BX185" s="97" t="str">
        <f t="shared" si="190"/>
        <v>PST 243</v>
      </c>
    </row>
    <row r="186" spans="2:79" ht="14.4" customHeight="1" x14ac:dyDescent="0.3">
      <c r="B186" s="99" t="s">
        <v>834</v>
      </c>
      <c r="C186" s="99"/>
      <c r="D186" s="99"/>
      <c r="E186" s="99"/>
      <c r="F186" s="99"/>
      <c r="G186" s="99"/>
      <c r="H186" s="99"/>
      <c r="I186" s="43"/>
      <c r="J186" s="99" t="str">
        <f t="shared" si="193"/>
        <v xml:space="preserve">   159  286        72        70        64        58        63        60</v>
      </c>
      <c r="U186" s="112"/>
      <c r="W186" s="100"/>
      <c r="X186" s="100" t="e">
        <v>#N/A</v>
      </c>
      <c r="Z186" s="101">
        <v>166</v>
      </c>
      <c r="AA186" s="101">
        <v>0</v>
      </c>
      <c r="AB186" s="101">
        <v>0</v>
      </c>
      <c r="AD186" s="102">
        <f>BM185</f>
        <v>167</v>
      </c>
      <c r="AE186" s="102">
        <f t="shared" si="173"/>
        <v>301</v>
      </c>
      <c r="AF186" s="102">
        <f t="shared" si="196"/>
        <v>33</v>
      </c>
      <c r="AG186" s="102">
        <f t="shared" si="197"/>
        <v>42</v>
      </c>
      <c r="AH186" s="102">
        <f t="shared" si="198"/>
        <v>48</v>
      </c>
      <c r="AI186" s="102">
        <f t="shared" si="199"/>
        <v>42</v>
      </c>
      <c r="AJ186" s="102">
        <f t="shared" si="200"/>
        <v>52</v>
      </c>
      <c r="AK186" s="102">
        <f t="shared" si="201"/>
        <v>45</v>
      </c>
      <c r="AL186" s="102">
        <f>VLOOKUP($AE186,Usinas!$B$3:$F$241,5,FALSE)</f>
        <v>1</v>
      </c>
      <c r="AM186" s="102" t="str">
        <f>VLOOKUP($AE186,Usinas!$B$3:$H$241,7,FALSE)</f>
        <v>SUDESTE</v>
      </c>
      <c r="AN186" s="102" t="str">
        <f>VLOOKUP($AE186,Usinas!$B$3:$D$241,3,FALSE)</f>
        <v>ALTO TIETÊ</v>
      </c>
      <c r="AP186" s="103">
        <v>166</v>
      </c>
      <c r="AQ186" s="103" t="str">
        <f>IF(BA186=1,VLOOKUP($AP186,Usinas!$B$3:$F$244,2,0),"")</f>
        <v/>
      </c>
      <c r="AR186" s="103" t="str">
        <f>IF(BA186=1,VLOOKUP($AP186,Usinas!$B$3:$F$241,3,0),"")</f>
        <v/>
      </c>
      <c r="AS186" s="103" t="str">
        <f>IF(BA186,VLOOKUP($AP186,Usinas!$B$3:$F$244,4,0),"")</f>
        <v/>
      </c>
      <c r="AT186" s="103" t="str">
        <f t="shared" si="187"/>
        <v/>
      </c>
      <c r="AU186" s="104" t="str">
        <f t="shared" si="202"/>
        <v/>
      </c>
      <c r="AV186" s="104" t="str">
        <f t="shared" si="202"/>
        <v/>
      </c>
      <c r="AW186" s="104" t="str">
        <f t="shared" si="202"/>
        <v/>
      </c>
      <c r="AX186" s="104" t="str">
        <f t="shared" si="202"/>
        <v/>
      </c>
      <c r="AY186" s="104" t="str">
        <f t="shared" si="202"/>
        <v/>
      </c>
      <c r="AZ186" s="104" t="str">
        <f t="shared" si="202"/>
        <v/>
      </c>
      <c r="BA186" s="103">
        <f t="shared" si="188"/>
        <v>0</v>
      </c>
      <c r="BB186" s="103">
        <f t="shared" si="189"/>
        <v>0</v>
      </c>
      <c r="BC186" s="103" t="str">
        <f>IF(BA186=1,VLOOKUP($AP186,Usinas!$B$3:$H$244,7,0),"")</f>
        <v/>
      </c>
      <c r="BM186" s="105">
        <f t="shared" ref="BM186:BT196" si="211">VALUE(LEFT($B195,6))</f>
        <v>167</v>
      </c>
      <c r="BN186" s="105">
        <f t="shared" ref="BN186:BN193" si="212">VALUE(RIGHT(LEFT($B195,11),5))</f>
        <v>301</v>
      </c>
      <c r="BO186" s="151">
        <f>IF($BP$15=1,IFERROR(VLOOKUP(BN186,$BZ$20:CA349,2,0),0),VALUE(RIGHT(LEFT($B195,21),10)))</f>
        <v>24</v>
      </c>
      <c r="BP186" s="105">
        <f t="shared" ref="BP186:BP193" si="213">VALUE(RIGHT(LEFT($B195,31),10))</f>
        <v>31</v>
      </c>
      <c r="BQ186" s="105">
        <f t="shared" ref="BQ186:BQ193" si="214">VALUE(RIGHT(LEFT($B195,41),10))</f>
        <v>35</v>
      </c>
      <c r="BR186" s="105">
        <f t="shared" ref="BR186:BR193" si="215">VALUE(RIGHT(LEFT($B195,51),10))</f>
        <v>31</v>
      </c>
      <c r="BS186" s="105">
        <f t="shared" ref="BS186:BS193" si="216">VALUE(RIGHT(LEFT($B195,61),10))</f>
        <v>38</v>
      </c>
      <c r="BT186" s="105">
        <f t="shared" ref="BT186:BT193" si="217">VALUE(RIGHT(LEFT($B195,71),10))</f>
        <v>33</v>
      </c>
      <c r="BV186" s="97" t="s">
        <v>331</v>
      </c>
      <c r="BW186" s="98">
        <f t="shared" si="192"/>
        <v>245</v>
      </c>
      <c r="BX186" s="97" t="str">
        <f t="shared" si="190"/>
        <v>PST 244</v>
      </c>
    </row>
    <row r="187" spans="2:79" x14ac:dyDescent="0.3">
      <c r="B187" s="99" t="s">
        <v>881</v>
      </c>
      <c r="C187" s="99"/>
      <c r="D187" s="99"/>
      <c r="E187" s="99"/>
      <c r="F187" s="99"/>
      <c r="G187" s="99"/>
      <c r="H187" s="99"/>
      <c r="I187" s="43"/>
      <c r="J187" s="99" t="str">
        <f t="shared" si="193"/>
        <v xml:space="preserve">   160  287     25564     28861     31917     34490     37202     38287</v>
      </c>
      <c r="U187" s="112"/>
      <c r="W187" s="100"/>
      <c r="X187" s="100" t="e">
        <v>#N/A</v>
      </c>
      <c r="Z187" s="101">
        <v>167</v>
      </c>
      <c r="AA187" s="101">
        <v>0</v>
      </c>
      <c r="AB187" s="101">
        <v>0</v>
      </c>
      <c r="AD187" s="102">
        <f t="shared" si="173"/>
        <v>169</v>
      </c>
      <c r="AE187" s="102">
        <f t="shared" si="173"/>
        <v>320</v>
      </c>
      <c r="AF187" s="102">
        <f t="shared" si="196"/>
        <v>40</v>
      </c>
      <c r="AG187" s="102">
        <f t="shared" si="197"/>
        <v>53</v>
      </c>
      <c r="AH187" s="102">
        <f t="shared" si="198"/>
        <v>59</v>
      </c>
      <c r="AI187" s="102">
        <f t="shared" si="199"/>
        <v>52</v>
      </c>
      <c r="AJ187" s="102">
        <f t="shared" si="200"/>
        <v>63</v>
      </c>
      <c r="AK187" s="102">
        <f t="shared" si="201"/>
        <v>56</v>
      </c>
      <c r="AL187" s="102">
        <f>VLOOKUP($AE187,Usinas!$B$3:$F$241,5,FALSE)</f>
        <v>1</v>
      </c>
      <c r="AM187" s="102" t="str">
        <f>VLOOKUP($AE187,Usinas!$B$3:$H$241,7,FALSE)</f>
        <v>SUDESTE</v>
      </c>
      <c r="AN187" s="102" t="str">
        <f>VLOOKUP($AE187,Usinas!$B$3:$D$241,3,FALSE)</f>
        <v>ALTO TIETÊ</v>
      </c>
      <c r="AP187" s="103">
        <v>167</v>
      </c>
      <c r="AQ187" s="103" t="str">
        <f>IF(BA187=1,VLOOKUP($AP187,Usinas!$B$3:$F$244,2,0),"")</f>
        <v/>
      </c>
      <c r="AR187" s="103" t="str">
        <f>IF(BA187=1,VLOOKUP($AP187,Usinas!$B$3:$F$241,3,0),"")</f>
        <v/>
      </c>
      <c r="AS187" s="103" t="str">
        <f>IF(BA187,VLOOKUP($AP187,Usinas!$B$3:$F$244,4,0),"")</f>
        <v/>
      </c>
      <c r="AT187" s="103" t="str">
        <f t="shared" si="187"/>
        <v/>
      </c>
      <c r="AU187" s="104" t="str">
        <f t="shared" si="202"/>
        <v/>
      </c>
      <c r="AV187" s="104" t="str">
        <f t="shared" si="202"/>
        <v/>
      </c>
      <c r="AW187" s="104" t="str">
        <f t="shared" si="202"/>
        <v/>
      </c>
      <c r="AX187" s="104" t="str">
        <f t="shared" si="202"/>
        <v/>
      </c>
      <c r="AY187" s="104" t="str">
        <f t="shared" si="202"/>
        <v/>
      </c>
      <c r="AZ187" s="104" t="str">
        <f t="shared" si="202"/>
        <v/>
      </c>
      <c r="BA187" s="103">
        <f t="shared" si="188"/>
        <v>0</v>
      </c>
      <c r="BB187" s="103">
        <f t="shared" si="189"/>
        <v>0</v>
      </c>
      <c r="BC187" s="103" t="str">
        <f>IF(BA187=1,VLOOKUP($AP187,Usinas!$B$3:$H$244,7,0),"")</f>
        <v/>
      </c>
      <c r="BM187" s="105">
        <f t="shared" si="211"/>
        <v>169</v>
      </c>
      <c r="BN187" s="105">
        <f t="shared" si="212"/>
        <v>320</v>
      </c>
      <c r="BO187" s="151">
        <f>IF($BP$15=1,IFERROR(VLOOKUP(BN187,$BZ$20:CA350,2,0),0),VALUE(RIGHT(LEFT($B196,21),10)))</f>
        <v>29</v>
      </c>
      <c r="BP187" s="105">
        <f t="shared" si="213"/>
        <v>39</v>
      </c>
      <c r="BQ187" s="105">
        <f t="shared" si="214"/>
        <v>43</v>
      </c>
      <c r="BR187" s="105">
        <f t="shared" si="215"/>
        <v>38</v>
      </c>
      <c r="BS187" s="105">
        <f t="shared" si="216"/>
        <v>46</v>
      </c>
      <c r="BT187" s="105">
        <f t="shared" si="217"/>
        <v>41</v>
      </c>
      <c r="BV187" s="97" t="s">
        <v>331</v>
      </c>
      <c r="BW187" s="98">
        <f t="shared" ref="BW187:BW218" si="218">AE149</f>
        <v>246</v>
      </c>
      <c r="BX187" s="97" t="str">
        <f t="shared" si="190"/>
        <v>PST 245</v>
      </c>
    </row>
    <row r="188" spans="2:79" x14ac:dyDescent="0.3">
      <c r="B188" s="99" t="s">
        <v>835</v>
      </c>
      <c r="C188" s="99"/>
      <c r="D188" s="99"/>
      <c r="E188" s="99"/>
      <c r="F188" s="99"/>
      <c r="G188" s="99"/>
      <c r="H188" s="99"/>
      <c r="I188" s="43"/>
      <c r="J188" s="99" t="str">
        <f t="shared" si="193"/>
        <v xml:space="preserve">   161  288      4531      5722      6932      8207      9481     10793</v>
      </c>
      <c r="U188" s="112"/>
      <c r="W188" s="100"/>
      <c r="X188" s="100" t="e">
        <v>#N/A</v>
      </c>
      <c r="Z188" s="101">
        <v>168</v>
      </c>
      <c r="AA188" s="101">
        <v>0</v>
      </c>
      <c r="AB188" s="101">
        <v>0</v>
      </c>
      <c r="AD188" s="102" t="e">
        <f t="shared" si="173"/>
        <v>#VALUE!</v>
      </c>
      <c r="AE188" s="102" t="e">
        <f t="shared" si="173"/>
        <v>#VALUE!</v>
      </c>
      <c r="AF188" s="102" t="e">
        <f t="shared" si="196"/>
        <v>#VALUE!</v>
      </c>
      <c r="AG188" s="102" t="e">
        <f t="shared" si="197"/>
        <v>#VALUE!</v>
      </c>
      <c r="AH188" s="102" t="e">
        <f t="shared" si="198"/>
        <v>#VALUE!</v>
      </c>
      <c r="AI188" s="102" t="e">
        <f t="shared" si="199"/>
        <v>#VALUE!</v>
      </c>
      <c r="AJ188" s="102" t="e">
        <f t="shared" si="200"/>
        <v>#VALUE!</v>
      </c>
      <c r="AK188" s="102" t="e">
        <f t="shared" si="201"/>
        <v>#VALUE!</v>
      </c>
      <c r="AL188" s="102" t="e">
        <f>VLOOKUP($AE188,Usinas!$B$3:$F$241,5,FALSE)</f>
        <v>#VALUE!</v>
      </c>
      <c r="AM188" s="102" t="e">
        <f>VLOOKUP($AE188,Usinas!$B$3:$H$241,7,FALSE)</f>
        <v>#VALUE!</v>
      </c>
      <c r="AN188" s="102" t="e">
        <f>VLOOKUP($AE188,Usinas!$B$3:$D$241,3,FALSE)</f>
        <v>#VALUE!</v>
      </c>
      <c r="AP188" s="103">
        <v>168</v>
      </c>
      <c r="AQ188" s="103" t="str">
        <f>IF(BA188=1,VLOOKUP($AP188,Usinas!$B$3:$F$244,2,0),"")</f>
        <v/>
      </c>
      <c r="AR188" s="103" t="str">
        <f>IF(BA188=1,VLOOKUP($AP188,Usinas!$B$3:$F$241,3,0),"")</f>
        <v/>
      </c>
      <c r="AS188" s="103" t="str">
        <f>IF(BA188,VLOOKUP($AP188,Usinas!$B$3:$F$244,4,0),"")</f>
        <v/>
      </c>
      <c r="AT188" s="103" t="str">
        <f t="shared" si="187"/>
        <v/>
      </c>
      <c r="AU188" s="104" t="str">
        <f t="shared" si="202"/>
        <v/>
      </c>
      <c r="AV188" s="104" t="str">
        <f t="shared" si="202"/>
        <v/>
      </c>
      <c r="AW188" s="104" t="str">
        <f t="shared" si="202"/>
        <v/>
      </c>
      <c r="AX188" s="104" t="str">
        <f t="shared" si="202"/>
        <v/>
      </c>
      <c r="AY188" s="104" t="str">
        <f t="shared" si="202"/>
        <v/>
      </c>
      <c r="AZ188" s="104" t="str">
        <f t="shared" si="202"/>
        <v/>
      </c>
      <c r="BA188" s="103">
        <f t="shared" si="188"/>
        <v>0</v>
      </c>
      <c r="BB188" s="103">
        <f t="shared" si="189"/>
        <v>0</v>
      </c>
      <c r="BC188" s="103" t="str">
        <f>IF(BA188=1,VLOOKUP($AP188,Usinas!$B$3:$H$244,7,0),"")</f>
        <v/>
      </c>
      <c r="BM188" s="105" t="e">
        <f t="shared" si="211"/>
        <v>#VALUE!</v>
      </c>
      <c r="BN188" s="105" t="e">
        <f t="shared" si="212"/>
        <v>#VALUE!</v>
      </c>
      <c r="BO188" s="151" t="e">
        <f>IF($BP$15=1,IFERROR(VLOOKUP(BN188,$BZ$20:CA351,2,0),0),VALUE(RIGHT(LEFT($B197,21),10)))</f>
        <v>#VALUE!</v>
      </c>
      <c r="BP188" s="105" t="e">
        <f t="shared" si="213"/>
        <v>#VALUE!</v>
      </c>
      <c r="BQ188" s="105" t="e">
        <f t="shared" si="214"/>
        <v>#VALUE!</v>
      </c>
      <c r="BR188" s="105" t="e">
        <f t="shared" si="215"/>
        <v>#VALUE!</v>
      </c>
      <c r="BS188" s="105" t="e">
        <f t="shared" si="216"/>
        <v>#VALUE!</v>
      </c>
      <c r="BT188" s="105" t="e">
        <f t="shared" si="217"/>
        <v>#VALUE!</v>
      </c>
      <c r="BV188" s="97" t="s">
        <v>331</v>
      </c>
      <c r="BW188" s="98">
        <f t="shared" si="218"/>
        <v>247</v>
      </c>
      <c r="BX188" s="97" t="str">
        <f t="shared" si="190"/>
        <v>PST 246</v>
      </c>
    </row>
    <row r="189" spans="2:79" x14ac:dyDescent="0.3">
      <c r="B189" s="99" t="s">
        <v>836</v>
      </c>
      <c r="C189" s="99"/>
      <c r="D189" s="99"/>
      <c r="E189" s="99"/>
      <c r="F189" s="99"/>
      <c r="G189" s="99"/>
      <c r="H189" s="99"/>
      <c r="I189" s="43"/>
      <c r="J189" s="99" t="str">
        <f t="shared" si="193"/>
        <v xml:space="preserve">   162  290       440       553       618       782       904      1076</v>
      </c>
      <c r="U189" s="112"/>
      <c r="W189" s="100"/>
      <c r="X189" s="100" t="e">
        <v>#N/A</v>
      </c>
      <c r="Z189" s="101">
        <v>169</v>
      </c>
      <c r="AA189" s="101">
        <v>1</v>
      </c>
      <c r="AB189" s="101">
        <v>0.24490000000000001</v>
      </c>
      <c r="AD189" s="102" t="e">
        <f t="shared" si="173"/>
        <v>#VALUE!</v>
      </c>
      <c r="AE189" s="102" t="e">
        <f t="shared" si="173"/>
        <v>#VALUE!</v>
      </c>
      <c r="AF189" s="102" t="e">
        <f t="shared" si="196"/>
        <v>#VALUE!</v>
      </c>
      <c r="AG189" s="102" t="e">
        <f t="shared" si="197"/>
        <v>#VALUE!</v>
      </c>
      <c r="AH189" s="102" t="e">
        <f t="shared" si="198"/>
        <v>#VALUE!</v>
      </c>
      <c r="AI189" s="102" t="e">
        <f t="shared" si="199"/>
        <v>#VALUE!</v>
      </c>
      <c r="AJ189" s="102" t="e">
        <f t="shared" si="200"/>
        <v>#VALUE!</v>
      </c>
      <c r="AK189" s="102" t="e">
        <f t="shared" si="201"/>
        <v>#VALUE!</v>
      </c>
      <c r="AL189" s="102" t="e">
        <f>VLOOKUP($AE189,Usinas!$B$3:$F$241,5,FALSE)</f>
        <v>#VALUE!</v>
      </c>
      <c r="AM189" s="102" t="e">
        <f>VLOOKUP($AE189,Usinas!$B$3:$H$241,7,FALSE)</f>
        <v>#VALUE!</v>
      </c>
      <c r="AN189" s="102" t="e">
        <f>VLOOKUP($AE189,Usinas!$B$3:$D$241,3,FALSE)</f>
        <v>#VALUE!</v>
      </c>
      <c r="AP189" s="103">
        <v>169</v>
      </c>
      <c r="AQ189" s="103" t="str">
        <f>IF(BA189=1,VLOOKUP($AP189,Usinas!$B$3:$F$244,2,0),"")</f>
        <v xml:space="preserve">SOBRADINHO  </v>
      </c>
      <c r="AR189" s="103" t="str">
        <f>IF(BA189=1,VLOOKUP($AP189,Usinas!$B$3:$F$241,3,0),"")</f>
        <v>SÃO FRANCISCO (NE)</v>
      </c>
      <c r="AS189" s="103" t="str">
        <f>IF(BA189,VLOOKUP($AP189,Usinas!$B$3:$F$244,4,0),"")</f>
        <v>NORDESTE</v>
      </c>
      <c r="AT189" s="103">
        <f t="shared" si="187"/>
        <v>0.24490000000000001</v>
      </c>
      <c r="AU189" s="104">
        <f t="shared" si="202"/>
        <v>692.82209999999998</v>
      </c>
      <c r="AV189" s="104">
        <f t="shared" si="202"/>
        <v>705.80180000000007</v>
      </c>
      <c r="AW189" s="104">
        <f t="shared" si="202"/>
        <v>799.84339999999997</v>
      </c>
      <c r="AX189" s="104">
        <f t="shared" si="202"/>
        <v>844.41520000000003</v>
      </c>
      <c r="AY189" s="104">
        <f t="shared" si="202"/>
        <v>806.45569999999998</v>
      </c>
      <c r="AZ189" s="104">
        <f t="shared" si="202"/>
        <v>791.51679999999999</v>
      </c>
      <c r="BA189" s="103">
        <f t="shared" si="188"/>
        <v>1</v>
      </c>
      <c r="BB189" s="103">
        <f t="shared" si="189"/>
        <v>0</v>
      </c>
      <c r="BC189" s="103" t="str">
        <f>IF(BA189=1,VLOOKUP($AP189,Usinas!$B$3:$H$244,7,0),"")</f>
        <v>NORDESTE</v>
      </c>
      <c r="BM189" s="105" t="e">
        <f t="shared" si="211"/>
        <v>#VALUE!</v>
      </c>
      <c r="BN189" s="105" t="e">
        <f t="shared" si="212"/>
        <v>#VALUE!</v>
      </c>
      <c r="BO189" s="151" t="e">
        <f>IF($BP$15=1,IFERROR(VLOOKUP(BN189,$BZ$20:CA352,2,0),0),VALUE(RIGHT(LEFT($B198,21),10)))</f>
        <v>#VALUE!</v>
      </c>
      <c r="BP189" s="105" t="e">
        <f t="shared" si="213"/>
        <v>#VALUE!</v>
      </c>
      <c r="BQ189" s="105" t="e">
        <f t="shared" si="214"/>
        <v>#VALUE!</v>
      </c>
      <c r="BR189" s="105" t="e">
        <f t="shared" si="215"/>
        <v>#VALUE!</v>
      </c>
      <c r="BS189" s="105" t="e">
        <f t="shared" si="216"/>
        <v>#VALUE!</v>
      </c>
      <c r="BT189" s="105" t="e">
        <f t="shared" si="217"/>
        <v>#VALUE!</v>
      </c>
      <c r="BV189" s="97" t="s">
        <v>331</v>
      </c>
      <c r="BW189" s="98">
        <f t="shared" si="218"/>
        <v>248</v>
      </c>
      <c r="BX189" s="97" t="str">
        <f t="shared" si="190"/>
        <v>PST 247</v>
      </c>
    </row>
    <row r="190" spans="2:79" x14ac:dyDescent="0.3">
      <c r="B190" s="99" t="s">
        <v>882</v>
      </c>
      <c r="C190" s="99"/>
      <c r="D190" s="99"/>
      <c r="E190" s="99"/>
      <c r="F190" s="99"/>
      <c r="G190" s="99"/>
      <c r="H190" s="99"/>
      <c r="I190" s="43"/>
      <c r="J190" s="99" t="str">
        <f t="shared" ref="J190:J191" si="219">IF(B190&lt;&gt;0,RIGHT("      "&amp;ROUND(AD181,0),6)&amp;(RIGHT("     "&amp;ROUND(AE181,0),5))&amp;RIGHT("          "&amp;ROUND(AF181,0),10)&amp;RIGHT("          "&amp;ROUND(AG181,),10)&amp;RIGHT("         "&amp;ROUND(AH181,0),10)&amp;RIGHT("          "&amp;ROUND(AI181,0),10)&amp;RIGHT("          "&amp;ROUND(AJ181,0),10)&amp;RIGHT("          "&amp;ROUND(AK181,0),10),"")</f>
        <v xml:space="preserve">   163  291       608       687       750       751       777       848</v>
      </c>
      <c r="U190" s="112"/>
      <c r="W190" s="100"/>
      <c r="X190" s="100" t="e">
        <v>#N/A</v>
      </c>
      <c r="Z190" s="101">
        <v>170</v>
      </c>
      <c r="AA190" s="101">
        <v>0</v>
      </c>
      <c r="AB190" s="101">
        <v>0</v>
      </c>
      <c r="AD190" s="102" t="e">
        <f t="shared" si="173"/>
        <v>#VALUE!</v>
      </c>
      <c r="AE190" s="102" t="e">
        <f t="shared" si="173"/>
        <v>#VALUE!</v>
      </c>
      <c r="AF190" s="102" t="e">
        <f t="shared" si="196"/>
        <v>#VALUE!</v>
      </c>
      <c r="AG190" s="102" t="e">
        <f t="shared" si="197"/>
        <v>#VALUE!</v>
      </c>
      <c r="AH190" s="102" t="e">
        <f t="shared" si="198"/>
        <v>#VALUE!</v>
      </c>
      <c r="AI190" s="102" t="e">
        <f t="shared" si="199"/>
        <v>#VALUE!</v>
      </c>
      <c r="AJ190" s="102" t="e">
        <f t="shared" si="200"/>
        <v>#VALUE!</v>
      </c>
      <c r="AK190" s="102" t="e">
        <f t="shared" si="201"/>
        <v>#VALUE!</v>
      </c>
      <c r="AL190" s="102" t="e">
        <f>VLOOKUP($AE190,Usinas!$B$3:$F$241,5,FALSE)</f>
        <v>#VALUE!</v>
      </c>
      <c r="AM190" s="102" t="e">
        <f>VLOOKUP($AE190,Usinas!$B$3:$H$241,7,FALSE)</f>
        <v>#VALUE!</v>
      </c>
      <c r="AN190" s="102" t="e">
        <f>VLOOKUP($AE190,Usinas!$B$3:$D$241,3,FALSE)</f>
        <v>#VALUE!</v>
      </c>
      <c r="AP190" s="103">
        <v>170</v>
      </c>
      <c r="AQ190" s="103" t="str">
        <f>IF(BA190=1,VLOOKUP($AP190,Usinas!$B$3:$F$244,2,0),"")</f>
        <v/>
      </c>
      <c r="AR190" s="103" t="str">
        <f>IF(BA190=1,VLOOKUP($AP190,Usinas!$B$3:$F$241,3,0),"")</f>
        <v/>
      </c>
      <c r="AS190" s="103" t="str">
        <f>IF(BA190,VLOOKUP($AP190,Usinas!$B$3:$F$244,4,0),"")</f>
        <v/>
      </c>
      <c r="AT190" s="103" t="str">
        <f t="shared" si="187"/>
        <v/>
      </c>
      <c r="AU190" s="104" t="str">
        <f t="shared" si="202"/>
        <v/>
      </c>
      <c r="AV190" s="104" t="str">
        <f t="shared" si="202"/>
        <v/>
      </c>
      <c r="AW190" s="104" t="str">
        <f t="shared" si="202"/>
        <v/>
      </c>
      <c r="AX190" s="104" t="str">
        <f t="shared" si="202"/>
        <v/>
      </c>
      <c r="AY190" s="104" t="str">
        <f t="shared" si="202"/>
        <v/>
      </c>
      <c r="AZ190" s="104" t="str">
        <f t="shared" si="202"/>
        <v/>
      </c>
      <c r="BA190" s="103">
        <f t="shared" si="188"/>
        <v>0</v>
      </c>
      <c r="BB190" s="103">
        <f t="shared" si="189"/>
        <v>0</v>
      </c>
      <c r="BC190" s="103" t="str">
        <f>IF(BA190=1,VLOOKUP($AP190,Usinas!$B$3:$H$244,7,0),"")</f>
        <v/>
      </c>
      <c r="BM190" s="105" t="e">
        <f t="shared" si="211"/>
        <v>#VALUE!</v>
      </c>
      <c r="BN190" s="105" t="e">
        <f t="shared" si="212"/>
        <v>#VALUE!</v>
      </c>
      <c r="BO190" s="151" t="e">
        <f>IF($BP$15=1,IFERROR(VLOOKUP(BN190,$BZ$20:CA353,2,0),0),VALUE(RIGHT(LEFT($B199,21),10)))</f>
        <v>#VALUE!</v>
      </c>
      <c r="BP190" s="105" t="e">
        <f t="shared" si="213"/>
        <v>#VALUE!</v>
      </c>
      <c r="BQ190" s="105" t="e">
        <f t="shared" si="214"/>
        <v>#VALUE!</v>
      </c>
      <c r="BR190" s="105" t="e">
        <f t="shared" si="215"/>
        <v>#VALUE!</v>
      </c>
      <c r="BS190" s="105" t="e">
        <f t="shared" si="216"/>
        <v>#VALUE!</v>
      </c>
      <c r="BT190" s="105" t="e">
        <f t="shared" si="217"/>
        <v>#VALUE!</v>
      </c>
      <c r="BV190" s="97" t="s">
        <v>331</v>
      </c>
      <c r="BW190" s="98">
        <f t="shared" si="218"/>
        <v>249</v>
      </c>
      <c r="BX190" s="97" t="str">
        <f t="shared" si="190"/>
        <v>PST 248</v>
      </c>
    </row>
    <row r="191" spans="2:79" x14ac:dyDescent="0.3">
      <c r="B191" s="99" t="s">
        <v>883</v>
      </c>
      <c r="C191" s="99"/>
      <c r="D191" s="99"/>
      <c r="E191" s="99"/>
      <c r="F191" s="99"/>
      <c r="G191" s="99"/>
      <c r="H191" s="99"/>
      <c r="I191" s="43"/>
      <c r="J191" s="99" t="str">
        <f t="shared" si="219"/>
        <v xml:space="preserve">   164  294       226       232       258       247       251       250</v>
      </c>
      <c r="U191" s="112"/>
      <c r="W191" s="100"/>
      <c r="X191" s="100" t="e">
        <v>#N/A</v>
      </c>
      <c r="Z191" s="101">
        <v>171</v>
      </c>
      <c r="AA191" s="101">
        <v>0</v>
      </c>
      <c r="AB191" s="101">
        <v>0</v>
      </c>
      <c r="AD191" s="102" t="e">
        <f t="shared" si="173"/>
        <v>#VALUE!</v>
      </c>
      <c r="AE191" s="102" t="e">
        <f t="shared" si="173"/>
        <v>#VALUE!</v>
      </c>
      <c r="AF191" s="102" t="e">
        <f t="shared" si="196"/>
        <v>#VALUE!</v>
      </c>
      <c r="AG191" s="102" t="e">
        <f t="shared" si="197"/>
        <v>#VALUE!</v>
      </c>
      <c r="AH191" s="102" t="e">
        <f t="shared" si="198"/>
        <v>#VALUE!</v>
      </c>
      <c r="AI191" s="102" t="e">
        <f t="shared" si="199"/>
        <v>#VALUE!</v>
      </c>
      <c r="AJ191" s="102" t="e">
        <f t="shared" si="200"/>
        <v>#VALUE!</v>
      </c>
      <c r="AK191" s="102" t="e">
        <f t="shared" si="201"/>
        <v>#VALUE!</v>
      </c>
      <c r="AL191" s="102" t="e">
        <f>VLOOKUP($AE191,Usinas!$B$3:$F$241,5,FALSE)</f>
        <v>#VALUE!</v>
      </c>
      <c r="AM191" s="102" t="e">
        <f>VLOOKUP($AE191,Usinas!$B$3:$H$241,7,FALSE)</f>
        <v>#VALUE!</v>
      </c>
      <c r="AN191" s="102" t="e">
        <f>VLOOKUP($AE191,Usinas!$B$3:$D$241,3,FALSE)</f>
        <v>#VALUE!</v>
      </c>
      <c r="AP191" s="103">
        <v>171</v>
      </c>
      <c r="AQ191" s="103" t="str">
        <f>IF(BA191=1,VLOOKUP($AP191,Usinas!$B$3:$F$244,2,0),"")</f>
        <v/>
      </c>
      <c r="AR191" s="103" t="str">
        <f>IF(BA191=1,VLOOKUP($AP191,Usinas!$B$3:$F$241,3,0),"")</f>
        <v/>
      </c>
      <c r="AS191" s="103" t="str">
        <f>IF(BA191,VLOOKUP($AP191,Usinas!$B$3:$F$244,4,0),"")</f>
        <v/>
      </c>
      <c r="AT191" s="103" t="str">
        <f t="shared" si="187"/>
        <v/>
      </c>
      <c r="AU191" s="104" t="str">
        <f t="shared" ref="AU191:AZ200" si="220">IF($BA191=1,IFERROR(VLOOKUP($AP191,$AE$21:$AK$211,AU$19,0),VLOOKUP($AP191,$BE$21:$BK$65,AU$19,0))*$AT191,"")</f>
        <v/>
      </c>
      <c r="AV191" s="104" t="str">
        <f t="shared" si="220"/>
        <v/>
      </c>
      <c r="AW191" s="104" t="str">
        <f t="shared" si="220"/>
        <v/>
      </c>
      <c r="AX191" s="104" t="str">
        <f t="shared" si="220"/>
        <v/>
      </c>
      <c r="AY191" s="104" t="str">
        <f t="shared" si="220"/>
        <v/>
      </c>
      <c r="AZ191" s="104" t="str">
        <f t="shared" si="220"/>
        <v/>
      </c>
      <c r="BA191" s="103">
        <f t="shared" si="188"/>
        <v>0</v>
      </c>
      <c r="BB191" s="103">
        <f t="shared" si="189"/>
        <v>0</v>
      </c>
      <c r="BC191" s="103" t="str">
        <f>IF(BA191=1,VLOOKUP($AP191,Usinas!$B$3:$H$244,7,0),"")</f>
        <v/>
      </c>
      <c r="BM191" s="105" t="e">
        <f t="shared" si="211"/>
        <v>#VALUE!</v>
      </c>
      <c r="BN191" s="105" t="e">
        <f t="shared" si="212"/>
        <v>#VALUE!</v>
      </c>
      <c r="BO191" s="151" t="e">
        <f>IF($BP$15=1,IFERROR(VLOOKUP(BN191,$BZ$20:CA354,2,0),0),VALUE(RIGHT(LEFT($B200,21),10)))</f>
        <v>#VALUE!</v>
      </c>
      <c r="BP191" s="105" t="e">
        <f t="shared" si="213"/>
        <v>#VALUE!</v>
      </c>
      <c r="BQ191" s="105" t="e">
        <f t="shared" si="214"/>
        <v>#VALUE!</v>
      </c>
      <c r="BR191" s="105" t="e">
        <f t="shared" si="215"/>
        <v>#VALUE!</v>
      </c>
      <c r="BS191" s="105" t="e">
        <f t="shared" si="216"/>
        <v>#VALUE!</v>
      </c>
      <c r="BT191" s="105" t="e">
        <f t="shared" si="217"/>
        <v>#VALUE!</v>
      </c>
      <c r="BV191" s="97" t="s">
        <v>331</v>
      </c>
      <c r="BW191" s="98">
        <f t="shared" si="218"/>
        <v>251</v>
      </c>
      <c r="BX191" s="97" t="str">
        <f t="shared" si="190"/>
        <v>PST 249</v>
      </c>
    </row>
    <row r="192" spans="2:79" x14ac:dyDescent="0.3">
      <c r="B192" s="99" t="s">
        <v>837</v>
      </c>
      <c r="C192" s="99"/>
      <c r="D192" s="99"/>
      <c r="E192" s="99"/>
      <c r="F192" s="99"/>
      <c r="G192" s="99"/>
      <c r="H192" s="99"/>
      <c r="I192" s="43"/>
      <c r="J192" s="99" t="str">
        <f>IF(B192&lt;&gt;0,RIGHT("      "&amp;ROUND(AD183,0),6)&amp;(RIGHT("     "&amp;ROUND(AE183,0),5))&amp;RIGHT("          "&amp;ROUND(AF183,0),10)&amp;RIGHT("          "&amp;ROUND(AG183,),10)&amp;RIGHT("         "&amp;ROUND(AH183,0),10)&amp;RIGHT("          "&amp;ROUND(AI183,0),10)&amp;RIGHT("          "&amp;ROUND(AJ183,0),10)&amp;RIGHT("          "&amp;ROUND(AK183,0),10),"")</f>
        <v xml:space="preserve">   165  295        87        93        91        95       102       106</v>
      </c>
      <c r="U192" s="112"/>
      <c r="X192" s="42" t="e">
        <v>#N/A</v>
      </c>
      <c r="Z192" s="101">
        <v>172</v>
      </c>
      <c r="AA192" s="101">
        <v>1</v>
      </c>
      <c r="AB192" s="101">
        <v>0.4425</v>
      </c>
      <c r="AD192" s="102" t="e">
        <f t="shared" si="173"/>
        <v>#VALUE!</v>
      </c>
      <c r="AE192" s="102" t="e">
        <f t="shared" si="173"/>
        <v>#VALUE!</v>
      </c>
      <c r="AF192" s="102" t="e">
        <f t="shared" si="196"/>
        <v>#VALUE!</v>
      </c>
      <c r="AG192" s="102" t="e">
        <f t="shared" si="197"/>
        <v>#VALUE!</v>
      </c>
      <c r="AH192" s="102" t="e">
        <f t="shared" si="198"/>
        <v>#VALUE!</v>
      </c>
      <c r="AI192" s="102" t="e">
        <f t="shared" si="199"/>
        <v>#VALUE!</v>
      </c>
      <c r="AJ192" s="102" t="e">
        <f t="shared" si="200"/>
        <v>#VALUE!</v>
      </c>
      <c r="AK192" s="102" t="e">
        <f t="shared" si="201"/>
        <v>#VALUE!</v>
      </c>
      <c r="AL192" s="102" t="e">
        <f>VLOOKUP($AE192,Usinas!$B$3:$F$241,5,FALSE)</f>
        <v>#VALUE!</v>
      </c>
      <c r="AM192" s="102" t="e">
        <f>VLOOKUP($AE192,Usinas!$B$3:$H$241,7,FALSE)</f>
        <v>#VALUE!</v>
      </c>
      <c r="AN192" s="102" t="e">
        <f>VLOOKUP($AE192,Usinas!$B$3:$D$241,3,FALSE)</f>
        <v>#VALUE!</v>
      </c>
      <c r="AP192" s="103">
        <v>172</v>
      </c>
      <c r="AQ192" s="103" t="str">
        <f>IF(BA192=1,VLOOKUP($AP192,Usinas!$B$3:$F$244,2,0),"")</f>
        <v>ITAPARICA</v>
      </c>
      <c r="AR192" s="103" t="str">
        <f>IF(BA192=1,VLOOKUP($AP192,Usinas!$B$3:$F$241,3,0),"")</f>
        <v>SÃO FRANCISCO (NE)</v>
      </c>
      <c r="AS192" s="103" t="str">
        <f>IF(BA192,VLOOKUP($AP192,Usinas!$B$3:$F$244,4,0),"")</f>
        <v>NORDESTE</v>
      </c>
      <c r="AT192" s="103">
        <f t="shared" si="187"/>
        <v>0.4425</v>
      </c>
      <c r="AU192" s="104">
        <f t="shared" si="220"/>
        <v>1231.4775</v>
      </c>
      <c r="AV192" s="104">
        <f t="shared" si="220"/>
        <v>1258.47</v>
      </c>
      <c r="AW192" s="104">
        <f t="shared" si="220"/>
        <v>1389.45</v>
      </c>
      <c r="AX192" s="104">
        <f t="shared" si="220"/>
        <v>1527.0675000000001</v>
      </c>
      <c r="AY192" s="104">
        <f t="shared" si="220"/>
        <v>1475.7375</v>
      </c>
      <c r="AZ192" s="104">
        <f t="shared" si="220"/>
        <v>1434.585</v>
      </c>
      <c r="BA192" s="103">
        <f t="shared" si="188"/>
        <v>1</v>
      </c>
      <c r="BB192" s="103">
        <f t="shared" si="189"/>
        <v>0</v>
      </c>
      <c r="BC192" s="103" t="str">
        <f>IF(BA192=1,VLOOKUP($AP192,Usinas!$B$3:$H$244,7,0),"")</f>
        <v>NORDESTE</v>
      </c>
      <c r="BM192" s="105" t="e">
        <f t="shared" si="211"/>
        <v>#VALUE!</v>
      </c>
      <c r="BN192" s="105" t="e">
        <f t="shared" si="212"/>
        <v>#VALUE!</v>
      </c>
      <c r="BO192" s="151" t="e">
        <f>IF($BP$15=1,IFERROR(VLOOKUP(BN192,$BZ$20:CA355,2,0),0),VALUE(RIGHT(LEFT($B201,21),10)))</f>
        <v>#VALUE!</v>
      </c>
      <c r="BP192" s="105" t="e">
        <f t="shared" si="213"/>
        <v>#VALUE!</v>
      </c>
      <c r="BQ192" s="105" t="e">
        <f t="shared" si="214"/>
        <v>#VALUE!</v>
      </c>
      <c r="BR192" s="105" t="e">
        <f t="shared" si="215"/>
        <v>#VALUE!</v>
      </c>
      <c r="BS192" s="105" t="e">
        <f t="shared" si="216"/>
        <v>#VALUE!</v>
      </c>
      <c r="BT192" s="105" t="e">
        <f t="shared" si="217"/>
        <v>#VALUE!</v>
      </c>
      <c r="BV192" s="97" t="s">
        <v>331</v>
      </c>
      <c r="BW192" s="98">
        <f t="shared" si="218"/>
        <v>252</v>
      </c>
      <c r="BX192" s="97" t="str">
        <f t="shared" si="190"/>
        <v>PST 251</v>
      </c>
    </row>
    <row r="193" spans="2:76" ht="13.95" customHeight="1" x14ac:dyDescent="0.3">
      <c r="B193" s="99" t="s">
        <v>884</v>
      </c>
      <c r="C193" s="99"/>
      <c r="D193" s="99"/>
      <c r="E193" s="99"/>
      <c r="F193" s="99"/>
      <c r="G193" s="99"/>
      <c r="H193" s="99"/>
      <c r="I193" s="43"/>
      <c r="J193" s="99" t="str">
        <f>IF(B193&lt;&gt;0,RIGHT("      "&amp;ROUND(AD184,0),6)&amp;(RIGHT("     "&amp;ROUND(AE184,0),5))&amp;RIGHT("          "&amp;ROUND(AF184,0),10)&amp;RIGHT("          "&amp;ROUND(AG184,),10)&amp;RIGHT("         "&amp;ROUND(AH184,0),10)&amp;RIGHT("          "&amp;ROUND(AI184,0),10)&amp;RIGHT("          "&amp;ROUND(AJ184,0),10)&amp;RIGHT("          "&amp;ROUND(AK184,0),10),"")</f>
        <v xml:space="preserve">   166  296        33        44        48        42        52        45</v>
      </c>
      <c r="U193" s="112"/>
      <c r="X193" s="42" t="e">
        <v>#N/A</v>
      </c>
      <c r="Z193" s="101">
        <v>173</v>
      </c>
      <c r="AA193" s="101">
        <v>0</v>
      </c>
      <c r="AB193" s="101">
        <v>0</v>
      </c>
      <c r="AD193" s="102" t="e">
        <f t="shared" si="173"/>
        <v>#VALUE!</v>
      </c>
      <c r="AE193" s="102" t="e">
        <f t="shared" si="173"/>
        <v>#VALUE!</v>
      </c>
      <c r="AF193" s="102" t="e">
        <f t="shared" si="196"/>
        <v>#VALUE!</v>
      </c>
      <c r="AG193" s="102" t="e">
        <f t="shared" si="197"/>
        <v>#VALUE!</v>
      </c>
      <c r="AH193" s="102" t="e">
        <f t="shared" si="198"/>
        <v>#VALUE!</v>
      </c>
      <c r="AI193" s="102" t="e">
        <f t="shared" si="199"/>
        <v>#VALUE!</v>
      </c>
      <c r="AJ193" s="102" t="e">
        <f t="shared" si="200"/>
        <v>#VALUE!</v>
      </c>
      <c r="AK193" s="102" t="e">
        <f t="shared" si="201"/>
        <v>#VALUE!</v>
      </c>
      <c r="AL193" s="102" t="e">
        <f>VLOOKUP($AE193,Usinas!$B$3:$F$241,5,FALSE)</f>
        <v>#VALUE!</v>
      </c>
      <c r="AM193" s="102" t="e">
        <f>VLOOKUP($AE193,Usinas!$B$3:$H$241,7,FALSE)</f>
        <v>#VALUE!</v>
      </c>
      <c r="AN193" s="102" t="e">
        <f>VLOOKUP($AE193,Usinas!$B$3:$D$241,3,FALSE)</f>
        <v>#VALUE!</v>
      </c>
      <c r="AP193" s="103">
        <v>173</v>
      </c>
      <c r="AQ193" s="103" t="str">
        <f>IF(BA193=1,VLOOKUP($AP193,Usinas!$B$3:$F$244,2,0),"")</f>
        <v/>
      </c>
      <c r="AR193" s="103" t="str">
        <f>IF(BA193=1,VLOOKUP($AP193,Usinas!$B$3:$F$241,3,0),"")</f>
        <v/>
      </c>
      <c r="AS193" s="103" t="str">
        <f>IF(BA193,VLOOKUP($AP193,Usinas!$B$3:$F$244,4,0),"")</f>
        <v/>
      </c>
      <c r="AT193" s="103" t="str">
        <f t="shared" si="187"/>
        <v/>
      </c>
      <c r="AU193" s="104" t="str">
        <f t="shared" si="220"/>
        <v/>
      </c>
      <c r="AV193" s="104" t="str">
        <f t="shared" si="220"/>
        <v/>
      </c>
      <c r="AW193" s="104" t="str">
        <f t="shared" si="220"/>
        <v/>
      </c>
      <c r="AX193" s="104" t="str">
        <f t="shared" si="220"/>
        <v/>
      </c>
      <c r="AY193" s="104" t="str">
        <f t="shared" si="220"/>
        <v/>
      </c>
      <c r="AZ193" s="104" t="str">
        <f t="shared" si="220"/>
        <v/>
      </c>
      <c r="BA193" s="103">
        <f t="shared" si="188"/>
        <v>0</v>
      </c>
      <c r="BB193" s="103">
        <f t="shared" si="189"/>
        <v>0</v>
      </c>
      <c r="BC193" s="103" t="str">
        <f>IF(BA193=1,VLOOKUP($AP193,Usinas!$B$3:$H$244,7,0),"")</f>
        <v/>
      </c>
      <c r="BM193" s="105" t="e">
        <f t="shared" si="211"/>
        <v>#VALUE!</v>
      </c>
      <c r="BN193" s="105" t="e">
        <f t="shared" si="212"/>
        <v>#VALUE!</v>
      </c>
      <c r="BO193" s="151" t="e">
        <f>IF($BP$15=1,IFERROR(VLOOKUP(BN193,$BZ$20:CA356,2,0),0),VALUE(RIGHT(LEFT($B202,21),10)))</f>
        <v>#VALUE!</v>
      </c>
      <c r="BP193" s="105" t="e">
        <f t="shared" si="213"/>
        <v>#VALUE!</v>
      </c>
      <c r="BQ193" s="105" t="e">
        <f t="shared" si="214"/>
        <v>#VALUE!</v>
      </c>
      <c r="BR193" s="105" t="e">
        <f t="shared" si="215"/>
        <v>#VALUE!</v>
      </c>
      <c r="BS193" s="105" t="e">
        <f t="shared" si="216"/>
        <v>#VALUE!</v>
      </c>
      <c r="BT193" s="105" t="e">
        <f t="shared" si="217"/>
        <v>#VALUE!</v>
      </c>
      <c r="BV193" s="97" t="s">
        <v>331</v>
      </c>
      <c r="BW193" s="98">
        <f t="shared" si="218"/>
        <v>253</v>
      </c>
      <c r="BX193" s="97" t="str">
        <f t="shared" si="190"/>
        <v>PST 252</v>
      </c>
    </row>
    <row r="194" spans="2:76" x14ac:dyDescent="0.3">
      <c r="B194" s="99" t="s">
        <v>885</v>
      </c>
      <c r="C194" s="99"/>
      <c r="D194" s="99"/>
      <c r="E194" s="99"/>
      <c r="F194" s="99"/>
      <c r="G194" s="99"/>
      <c r="H194" s="99"/>
      <c r="I194" s="43"/>
      <c r="J194" s="99" t="str">
        <f>IF(B194&lt;&gt;0,RIGHT("      "&amp;ROUND(AD185,0),6)&amp;(RIGHT("     "&amp;ROUND(AE185,0),5))&amp;RIGHT("          "&amp;ROUND(AF185,0),10)&amp;RIGHT("          "&amp;ROUND(AG185,),10)&amp;RIGHT("         "&amp;ROUND(AH185,0),10)&amp;RIGHT("          "&amp;ROUND(AI185,0),10)&amp;RIGHT("          "&amp;ROUND(AJ185,0),10)&amp;RIGHT("          "&amp;ROUND(AK185,0),10),"")</f>
        <v xml:space="preserve">   167  297       360       360       360       360       360       360</v>
      </c>
      <c r="U194" s="112"/>
      <c r="X194" s="42" t="e">
        <v>#N/A</v>
      </c>
      <c r="Z194" s="101">
        <v>174</v>
      </c>
      <c r="AA194" s="101">
        <v>0</v>
      </c>
      <c r="AB194" s="101">
        <v>0</v>
      </c>
      <c r="AD194" s="102" t="e">
        <f t="shared" si="173"/>
        <v>#VALUE!</v>
      </c>
      <c r="AE194" s="102" t="e">
        <f t="shared" si="173"/>
        <v>#VALUE!</v>
      </c>
      <c r="AF194" s="102" t="e">
        <f t="shared" si="196"/>
        <v>#VALUE!</v>
      </c>
      <c r="AG194" s="102" t="e">
        <f t="shared" si="197"/>
        <v>#VALUE!</v>
      </c>
      <c r="AH194" s="102" t="e">
        <f t="shared" si="198"/>
        <v>#VALUE!</v>
      </c>
      <c r="AI194" s="102" t="e">
        <f t="shared" si="199"/>
        <v>#VALUE!</v>
      </c>
      <c r="AJ194" s="102" t="e">
        <f t="shared" si="200"/>
        <v>#VALUE!</v>
      </c>
      <c r="AK194" s="102" t="e">
        <f t="shared" si="201"/>
        <v>#VALUE!</v>
      </c>
      <c r="AL194" s="102" t="e">
        <f>VLOOKUP($AE194,Usinas!$B$3:$F$241,5,FALSE)</f>
        <v>#VALUE!</v>
      </c>
      <c r="AM194" s="102" t="e">
        <f>VLOOKUP($AE194,Usinas!$B$3:$H$241,7,FALSE)</f>
        <v>#VALUE!</v>
      </c>
      <c r="AN194" s="102" t="e">
        <f>VLOOKUP($AE194,Usinas!$B$3:$D$241,3,FALSE)</f>
        <v>#VALUE!</v>
      </c>
      <c r="AP194" s="103">
        <v>174</v>
      </c>
      <c r="AQ194" s="103" t="str">
        <f>IF(BA194=1,VLOOKUP($AP194,Usinas!$B$3:$F$244,2,0),"")</f>
        <v/>
      </c>
      <c r="AR194" s="103" t="str">
        <f>IF(BA194=1,VLOOKUP($AP194,Usinas!$B$3:$F$241,3,0),"")</f>
        <v/>
      </c>
      <c r="AS194" s="103" t="str">
        <f>IF(BA194,VLOOKUP($AP194,Usinas!$B$3:$F$244,4,0),"")</f>
        <v/>
      </c>
      <c r="AT194" s="103" t="str">
        <f t="shared" si="187"/>
        <v/>
      </c>
      <c r="AU194" s="104" t="str">
        <f t="shared" si="220"/>
        <v/>
      </c>
      <c r="AV194" s="104" t="str">
        <f t="shared" si="220"/>
        <v/>
      </c>
      <c r="AW194" s="104" t="str">
        <f t="shared" si="220"/>
        <v/>
      </c>
      <c r="AX194" s="104" t="str">
        <f t="shared" si="220"/>
        <v/>
      </c>
      <c r="AY194" s="104" t="str">
        <f t="shared" si="220"/>
        <v/>
      </c>
      <c r="AZ194" s="104" t="str">
        <f t="shared" si="220"/>
        <v/>
      </c>
      <c r="BA194" s="103">
        <f t="shared" si="188"/>
        <v>0</v>
      </c>
      <c r="BB194" s="103">
        <f t="shared" si="189"/>
        <v>0</v>
      </c>
      <c r="BC194" s="103" t="str">
        <f>IF(BA194=1,VLOOKUP($AP194,Usinas!$B$3:$H$244,7,0),"")</f>
        <v/>
      </c>
      <c r="BM194" s="105" t="e">
        <f t="shared" si="211"/>
        <v>#VALUE!</v>
      </c>
      <c r="BN194" s="105" t="e">
        <f t="shared" si="211"/>
        <v>#VALUE!</v>
      </c>
      <c r="BO194" s="105" t="e">
        <f t="shared" si="211"/>
        <v>#VALUE!</v>
      </c>
      <c r="BP194" s="105" t="e">
        <f t="shared" si="211"/>
        <v>#VALUE!</v>
      </c>
      <c r="BQ194" s="105" t="e">
        <f t="shared" si="211"/>
        <v>#VALUE!</v>
      </c>
      <c r="BR194" s="105" t="e">
        <f t="shared" si="211"/>
        <v>#VALUE!</v>
      </c>
      <c r="BS194" s="105" t="e">
        <f t="shared" si="211"/>
        <v>#VALUE!</v>
      </c>
      <c r="BT194" s="105" t="e">
        <f t="shared" si="211"/>
        <v>#VALUE!</v>
      </c>
      <c r="BV194" s="97" t="s">
        <v>331</v>
      </c>
      <c r="BW194" s="98">
        <f t="shared" si="218"/>
        <v>254</v>
      </c>
      <c r="BX194" s="97" t="str">
        <f t="shared" si="190"/>
        <v>PST 253</v>
      </c>
    </row>
    <row r="195" spans="2:76" x14ac:dyDescent="0.3">
      <c r="B195" s="99" t="s">
        <v>886</v>
      </c>
      <c r="C195" s="99"/>
      <c r="D195" s="99"/>
      <c r="E195" s="99"/>
      <c r="F195" s="99"/>
      <c r="G195" s="99"/>
      <c r="H195" s="99"/>
      <c r="I195" s="43"/>
      <c r="J195" s="99" t="str">
        <f>IF(B195&lt;&gt;0,RIGHT("      "&amp;ROUND(AD186,0),6)&amp;(RIGHT("     "&amp;ROUND(AE186,0),5))&amp;RIGHT("          "&amp;ROUND(AF186,0),10)&amp;RIGHT("          "&amp;ROUND(AG186,),10)&amp;RIGHT("         "&amp;ROUND(AH186,0),10)&amp;RIGHT("          "&amp;ROUND(AI186,0),10)&amp;RIGHT("          "&amp;ROUND(AJ186,0),10)&amp;RIGHT("          "&amp;ROUND(AK186,0),10),"")</f>
        <v xml:space="preserve">   167  301        33        42        48        42        52        45</v>
      </c>
      <c r="O195"/>
      <c r="U195" s="112"/>
      <c r="X195" s="42" t="e">
        <v>#N/A</v>
      </c>
      <c r="Z195" s="101">
        <v>175</v>
      </c>
      <c r="AA195" s="101">
        <v>0</v>
      </c>
      <c r="AB195" s="101">
        <v>0</v>
      </c>
      <c r="AD195" s="102" t="e">
        <f t="shared" si="173"/>
        <v>#VALUE!</v>
      </c>
      <c r="AE195" s="102" t="e">
        <f t="shared" si="173"/>
        <v>#VALUE!</v>
      </c>
      <c r="AF195" s="102" t="e">
        <f t="shared" si="196"/>
        <v>#VALUE!</v>
      </c>
      <c r="AG195" s="102" t="e">
        <f t="shared" si="197"/>
        <v>#VALUE!</v>
      </c>
      <c r="AH195" s="102" t="e">
        <f t="shared" si="198"/>
        <v>#VALUE!</v>
      </c>
      <c r="AI195" s="102" t="e">
        <f t="shared" si="199"/>
        <v>#VALUE!</v>
      </c>
      <c r="AJ195" s="102" t="e">
        <f t="shared" si="200"/>
        <v>#VALUE!</v>
      </c>
      <c r="AK195" s="102" t="e">
        <f t="shared" si="201"/>
        <v>#VALUE!</v>
      </c>
      <c r="AL195" s="102" t="e">
        <f>VLOOKUP($AE195,Usinas!$B$3:$F$241,5,FALSE)</f>
        <v>#VALUE!</v>
      </c>
      <c r="AM195" s="102" t="e">
        <f>VLOOKUP($AE195,Usinas!$B$3:$H$241,7,FALSE)</f>
        <v>#VALUE!</v>
      </c>
      <c r="AN195" s="102" t="e">
        <f>VLOOKUP($AE195,Usinas!$B$3:$D$241,3,FALSE)</f>
        <v>#VALUE!</v>
      </c>
      <c r="AP195" s="103">
        <v>175</v>
      </c>
      <c r="AQ195" s="103" t="str">
        <f>IF(BA195=1,VLOOKUP($AP195,Usinas!$B$3:$F$244,2,0),"")</f>
        <v/>
      </c>
      <c r="AR195" s="103" t="str">
        <f>IF(BA195=1,VLOOKUP($AP195,Usinas!$B$3:$F$241,3,0),"")</f>
        <v/>
      </c>
      <c r="AS195" s="103" t="str">
        <f>IF(BA195,VLOOKUP($AP195,Usinas!$B$3:$F$244,4,0),"")</f>
        <v/>
      </c>
      <c r="AT195" s="103" t="str">
        <f t="shared" si="187"/>
        <v/>
      </c>
      <c r="AU195" s="104" t="str">
        <f t="shared" si="220"/>
        <v/>
      </c>
      <c r="AV195" s="104" t="str">
        <f t="shared" si="220"/>
        <v/>
      </c>
      <c r="AW195" s="104" t="str">
        <f t="shared" si="220"/>
        <v/>
      </c>
      <c r="AX195" s="104" t="str">
        <f t="shared" si="220"/>
        <v/>
      </c>
      <c r="AY195" s="104" t="str">
        <f t="shared" si="220"/>
        <v/>
      </c>
      <c r="AZ195" s="104" t="str">
        <f t="shared" si="220"/>
        <v/>
      </c>
      <c r="BA195" s="103">
        <f t="shared" si="188"/>
        <v>0</v>
      </c>
      <c r="BB195" s="103">
        <f t="shared" si="189"/>
        <v>0</v>
      </c>
      <c r="BC195" s="103" t="str">
        <f>IF(BA195=1,VLOOKUP($AP195,Usinas!$B$3:$H$244,7,0),"")</f>
        <v/>
      </c>
      <c r="BM195" s="105" t="e">
        <f t="shared" si="211"/>
        <v>#VALUE!</v>
      </c>
      <c r="BN195" s="105" t="e">
        <f t="shared" si="211"/>
        <v>#VALUE!</v>
      </c>
      <c r="BO195" s="105" t="e">
        <f t="shared" si="211"/>
        <v>#VALUE!</v>
      </c>
      <c r="BP195" s="105" t="e">
        <f t="shared" si="211"/>
        <v>#VALUE!</v>
      </c>
      <c r="BQ195" s="105" t="e">
        <f t="shared" si="211"/>
        <v>#VALUE!</v>
      </c>
      <c r="BR195" s="105" t="e">
        <f t="shared" si="211"/>
        <v>#VALUE!</v>
      </c>
      <c r="BS195" s="105" t="e">
        <f t="shared" si="211"/>
        <v>#VALUE!</v>
      </c>
      <c r="BT195" s="105" t="e">
        <f t="shared" si="211"/>
        <v>#VALUE!</v>
      </c>
      <c r="BV195" s="97" t="s">
        <v>331</v>
      </c>
      <c r="BW195" s="98">
        <f t="shared" si="218"/>
        <v>255</v>
      </c>
      <c r="BX195" s="97" t="str">
        <f t="shared" si="190"/>
        <v>PST 254</v>
      </c>
    </row>
    <row r="196" spans="2:76" x14ac:dyDescent="0.3">
      <c r="B196" s="99" t="s">
        <v>838</v>
      </c>
      <c r="C196" s="99"/>
      <c r="D196" s="99"/>
      <c r="E196" s="99"/>
      <c r="F196" s="99"/>
      <c r="G196" s="99"/>
      <c r="H196" s="99"/>
      <c r="I196" s="43"/>
      <c r="J196" s="99" t="str">
        <f>IF(B196&lt;&gt;0,RIGHT("      "&amp;ROUND(AD187,0),6)&amp;(RIGHT("     "&amp;ROUND(AE187,0),5))&amp;RIGHT("          "&amp;ROUND(AF187,0),10)&amp;RIGHT("          "&amp;ROUND(AG187,),10)&amp;RIGHT("         "&amp;ROUND(AH187,0),10)&amp;RIGHT("          "&amp;ROUND(AI187,0),10)&amp;RIGHT("          "&amp;ROUND(AJ187,0),10)&amp;RIGHT("          "&amp;ROUND(AK187,0),10),"")</f>
        <v xml:space="preserve">   169  320        40        53        59        52        63        56</v>
      </c>
      <c r="U196" s="112"/>
      <c r="X196" s="42" t="e">
        <v>#N/A</v>
      </c>
      <c r="Z196" s="101">
        <v>176</v>
      </c>
      <c r="AA196" s="101">
        <v>1</v>
      </c>
      <c r="AB196" s="101">
        <v>1.0213000000000001</v>
      </c>
      <c r="AD196" s="102" t="e">
        <f t="shared" si="173"/>
        <v>#VALUE!</v>
      </c>
      <c r="AE196" s="102" t="e">
        <f t="shared" si="173"/>
        <v>#VALUE!</v>
      </c>
      <c r="AF196" s="102" t="e">
        <f t="shared" si="196"/>
        <v>#VALUE!</v>
      </c>
      <c r="AG196" s="102" t="e">
        <f t="shared" si="197"/>
        <v>#VALUE!</v>
      </c>
      <c r="AH196" s="102" t="e">
        <f t="shared" si="198"/>
        <v>#VALUE!</v>
      </c>
      <c r="AI196" s="102" t="e">
        <f t="shared" si="199"/>
        <v>#VALUE!</v>
      </c>
      <c r="AJ196" s="102" t="e">
        <f t="shared" si="200"/>
        <v>#VALUE!</v>
      </c>
      <c r="AK196" s="102" t="e">
        <f t="shared" si="201"/>
        <v>#VALUE!</v>
      </c>
      <c r="AL196" s="102" t="e">
        <f>VLOOKUP($AE196,Usinas!$B$3:$F$241,5,FALSE)</f>
        <v>#VALUE!</v>
      </c>
      <c r="AM196" s="102" t="e">
        <f>VLOOKUP($AE196,Usinas!$B$3:$H$241,7,FALSE)</f>
        <v>#VALUE!</v>
      </c>
      <c r="AN196" s="102" t="e">
        <f>VLOOKUP($AE196,Usinas!$B$3:$D$241,3,FALSE)</f>
        <v>#VALUE!</v>
      </c>
      <c r="AP196" s="103">
        <v>176</v>
      </c>
      <c r="AQ196" s="103" t="str">
        <f>IF(BA196=1,VLOOKUP($AP196,Usinas!$B$3:$F$244,2,0),"")</f>
        <v>COMPLEXO</v>
      </c>
      <c r="AR196" s="103" t="str">
        <f>IF(BA196=1,VLOOKUP($AP196,Usinas!$B$3:$F$241,3,0),"")</f>
        <v>SÃO FRANCISCO (NE)</v>
      </c>
      <c r="AS196" s="103" t="str">
        <f>IF(BA196,VLOOKUP($AP196,Usinas!$B$3:$F$244,4,0),"")</f>
        <v>NORDESTE</v>
      </c>
      <c r="AT196" s="103">
        <f t="shared" si="187"/>
        <v>1.0213000000000001</v>
      </c>
      <c r="AU196" s="104">
        <f t="shared" si="220"/>
        <v>2842.2779</v>
      </c>
      <c r="AV196" s="104">
        <f t="shared" si="220"/>
        <v>2904.5772000000002</v>
      </c>
      <c r="AW196" s="104">
        <f t="shared" si="220"/>
        <v>3206.8820000000005</v>
      </c>
      <c r="AX196" s="104">
        <f t="shared" si="220"/>
        <v>3524.5063000000005</v>
      </c>
      <c r="AY196" s="104">
        <f t="shared" si="220"/>
        <v>3406.0355000000004</v>
      </c>
      <c r="AZ196" s="104">
        <f t="shared" si="220"/>
        <v>3311.0546000000004</v>
      </c>
      <c r="BA196" s="103">
        <f t="shared" si="188"/>
        <v>1</v>
      </c>
      <c r="BB196" s="103">
        <f t="shared" si="189"/>
        <v>0</v>
      </c>
      <c r="BC196" s="103" t="str">
        <f>IF(BA196=1,VLOOKUP($AP196,Usinas!$B$3:$H$244,7,0),"")</f>
        <v>NORDESTE</v>
      </c>
      <c r="BM196" s="105" t="e">
        <f t="shared" si="211"/>
        <v>#VALUE!</v>
      </c>
      <c r="BN196" s="105" t="e">
        <f t="shared" si="211"/>
        <v>#VALUE!</v>
      </c>
      <c r="BO196" s="105" t="e">
        <f t="shared" si="211"/>
        <v>#VALUE!</v>
      </c>
      <c r="BP196" s="105" t="e">
        <f t="shared" si="211"/>
        <v>#VALUE!</v>
      </c>
      <c r="BQ196" s="105" t="e">
        <f t="shared" si="211"/>
        <v>#VALUE!</v>
      </c>
      <c r="BR196" s="105" t="e">
        <f t="shared" si="211"/>
        <v>#VALUE!</v>
      </c>
      <c r="BS196" s="105" t="e">
        <f t="shared" si="211"/>
        <v>#VALUE!</v>
      </c>
      <c r="BT196" s="105" t="e">
        <f t="shared" si="211"/>
        <v>#VALUE!</v>
      </c>
      <c r="BV196" s="97" t="s">
        <v>331</v>
      </c>
      <c r="BW196" s="98">
        <f t="shared" si="218"/>
        <v>257</v>
      </c>
      <c r="BX196" s="97" t="str">
        <f t="shared" si="190"/>
        <v>PST 255</v>
      </c>
    </row>
    <row r="197" spans="2:76" x14ac:dyDescent="0.3">
      <c r="B197" s="99"/>
      <c r="C197" s="99"/>
      <c r="D197" s="99"/>
      <c r="E197" s="99"/>
      <c r="F197" s="99"/>
      <c r="G197" s="99"/>
      <c r="H197" s="99"/>
      <c r="I197" s="43"/>
      <c r="J197" s="99" t="str">
        <f t="shared" ref="J197:J202" si="221">IF(B197&lt;&gt;0,RIGHT("      "&amp;ROUND(AD188,0),6)&amp;(RIGHT("     "&amp;ROUND(AE188,0),5))&amp;RIGHT("          "&amp;ROUND(AF188,0),10)&amp;RIGHT("          "&amp;ROUND(AG188,),10)&amp;RIGHT("         "&amp;ROUND(AH188,0),10)&amp;RIGHT("          "&amp;ROUND(AI188,0),10)&amp;RIGHT("          "&amp;ROUND(AJ188,0),10)&amp;RIGHT("          "&amp;ROUND(AK188,0),10),"")</f>
        <v/>
      </c>
      <c r="U197" s="112"/>
      <c r="X197" s="42" t="e">
        <v>#N/A</v>
      </c>
      <c r="Z197" s="101">
        <v>177</v>
      </c>
      <c r="AA197" s="101">
        <v>0</v>
      </c>
      <c r="AB197" s="101">
        <v>0</v>
      </c>
      <c r="AD197" s="102" t="e">
        <f t="shared" si="173"/>
        <v>#VALUE!</v>
      </c>
      <c r="AE197" s="102" t="e">
        <f t="shared" si="173"/>
        <v>#VALUE!</v>
      </c>
      <c r="AF197" s="102" t="e">
        <f t="shared" si="196"/>
        <v>#VALUE!</v>
      </c>
      <c r="AG197" s="102" t="e">
        <f t="shared" si="197"/>
        <v>#VALUE!</v>
      </c>
      <c r="AH197" s="102" t="e">
        <f t="shared" si="198"/>
        <v>#VALUE!</v>
      </c>
      <c r="AI197" s="102" t="e">
        <f t="shared" si="199"/>
        <v>#VALUE!</v>
      </c>
      <c r="AJ197" s="102" t="e">
        <f t="shared" si="200"/>
        <v>#VALUE!</v>
      </c>
      <c r="AK197" s="102" t="e">
        <f t="shared" si="201"/>
        <v>#VALUE!</v>
      </c>
      <c r="AL197" s="102" t="e">
        <f>VLOOKUP($AE197,Usinas!$B$3:$F$241,5,FALSE)</f>
        <v>#VALUE!</v>
      </c>
      <c r="AM197" s="102" t="e">
        <f>VLOOKUP($AE197,Usinas!$B$3:$H$241,7,FALSE)</f>
        <v>#VALUE!</v>
      </c>
      <c r="AN197" s="102" t="e">
        <f>VLOOKUP($AE197,Usinas!$B$3:$D$241,3,FALSE)</f>
        <v>#VALUE!</v>
      </c>
      <c r="AP197" s="103">
        <v>177</v>
      </c>
      <c r="AQ197" s="103" t="str">
        <f>IF(BA197=1,VLOOKUP($AP197,Usinas!$B$3:$F$244,2,0),"")</f>
        <v/>
      </c>
      <c r="AR197" s="103" t="str">
        <f>IF(BA197=1,VLOOKUP($AP197,Usinas!$B$3:$F$241,3,0),"")</f>
        <v/>
      </c>
      <c r="AS197" s="103" t="str">
        <f>IF(BA197,VLOOKUP($AP197,Usinas!$B$3:$F$244,4,0),"")</f>
        <v/>
      </c>
      <c r="AT197" s="103" t="str">
        <f t="shared" si="187"/>
        <v/>
      </c>
      <c r="AU197" s="104" t="str">
        <f t="shared" si="220"/>
        <v/>
      </c>
      <c r="AV197" s="104" t="str">
        <f t="shared" si="220"/>
        <v/>
      </c>
      <c r="AW197" s="104" t="str">
        <f t="shared" si="220"/>
        <v/>
      </c>
      <c r="AX197" s="104" t="str">
        <f t="shared" si="220"/>
        <v/>
      </c>
      <c r="AY197" s="104" t="str">
        <f t="shared" si="220"/>
        <v/>
      </c>
      <c r="AZ197" s="104" t="str">
        <f t="shared" si="220"/>
        <v/>
      </c>
      <c r="BA197" s="103">
        <f t="shared" si="188"/>
        <v>0</v>
      </c>
      <c r="BB197" s="103">
        <f t="shared" si="189"/>
        <v>0</v>
      </c>
      <c r="BC197" s="103" t="str">
        <f>IF(BA197=1,VLOOKUP($AP197,Usinas!$B$3:$H$244,7,0),"")</f>
        <v/>
      </c>
      <c r="BM197" s="105" t="e">
        <f t="shared" ref="BM197:BM211" si="222">VALUE(LEFT($B197,6))</f>
        <v>#VALUE!</v>
      </c>
      <c r="BN197" s="105" t="e">
        <f t="shared" ref="BN197:BN211" si="223">VALUE(RIGHT(LEFT($B197,11),5))</f>
        <v>#VALUE!</v>
      </c>
      <c r="BO197" s="151" t="e">
        <f>IF($BP$15=1,IFERROR(VLOOKUP(BN197,$BZ$20:CA360,2,0),0),VALUE(RIGHT(LEFT($B197,21),10)))</f>
        <v>#VALUE!</v>
      </c>
      <c r="BP197" s="105" t="e">
        <f t="shared" ref="BP197:BP211" si="224">VALUE(RIGHT(LEFT($B197,31),10))</f>
        <v>#VALUE!</v>
      </c>
      <c r="BQ197" s="105" t="e">
        <f t="shared" ref="BQ197:BQ211" si="225">VALUE(RIGHT(LEFT($B197,41),10))</f>
        <v>#VALUE!</v>
      </c>
      <c r="BR197" s="105" t="e">
        <f t="shared" ref="BR197:BR211" si="226">VALUE(RIGHT(LEFT($B197,51),10))</f>
        <v>#VALUE!</v>
      </c>
      <c r="BS197" s="105" t="e">
        <f t="shared" ref="BS197:BS211" si="227">VALUE(RIGHT(LEFT($B197,61),10))</f>
        <v>#VALUE!</v>
      </c>
      <c r="BT197" s="105" t="e">
        <f t="shared" ref="BT197:BT211" si="228">VALUE(RIGHT(LEFT($B197,71),10))</f>
        <v>#VALUE!</v>
      </c>
      <c r="BV197" s="97" t="s">
        <v>331</v>
      </c>
      <c r="BW197" s="98">
        <f t="shared" si="218"/>
        <v>259</v>
      </c>
      <c r="BX197" s="97" t="str">
        <f t="shared" si="190"/>
        <v>PST 257</v>
      </c>
    </row>
    <row r="198" spans="2:76" x14ac:dyDescent="0.3">
      <c r="B198" s="99"/>
      <c r="C198" s="99"/>
      <c r="D198" s="99"/>
      <c r="E198" s="99"/>
      <c r="F198" s="99"/>
      <c r="G198" s="99"/>
      <c r="H198" s="99"/>
      <c r="I198" s="43"/>
      <c r="J198" s="99" t="str">
        <f t="shared" si="221"/>
        <v/>
      </c>
      <c r="U198" s="112"/>
      <c r="X198" s="42" t="e">
        <v>#N/A</v>
      </c>
      <c r="Z198" s="101">
        <v>178</v>
      </c>
      <c r="AA198" s="101">
        <v>1</v>
      </c>
      <c r="AB198" s="101">
        <v>1.0781000000000001</v>
      </c>
      <c r="AD198" s="102" t="e">
        <f t="shared" si="173"/>
        <v>#VALUE!</v>
      </c>
      <c r="AE198" s="102" t="e">
        <f t="shared" si="173"/>
        <v>#VALUE!</v>
      </c>
      <c r="AF198" s="102" t="e">
        <f t="shared" si="196"/>
        <v>#VALUE!</v>
      </c>
      <c r="AG198" s="102" t="e">
        <f t="shared" si="197"/>
        <v>#VALUE!</v>
      </c>
      <c r="AH198" s="102" t="e">
        <f t="shared" si="198"/>
        <v>#VALUE!</v>
      </c>
      <c r="AI198" s="102" t="e">
        <f t="shared" si="199"/>
        <v>#VALUE!</v>
      </c>
      <c r="AJ198" s="102" t="e">
        <f t="shared" si="200"/>
        <v>#VALUE!</v>
      </c>
      <c r="AK198" s="102" t="e">
        <f t="shared" si="201"/>
        <v>#VALUE!</v>
      </c>
      <c r="AL198" s="102" t="e">
        <f>VLOOKUP($AE198,Usinas!$B$3:$F$241,5,FALSE)</f>
        <v>#VALUE!</v>
      </c>
      <c r="AM198" s="102" t="e">
        <f>VLOOKUP($AE198,Usinas!$B$3:$H$241,7,FALSE)</f>
        <v>#VALUE!</v>
      </c>
      <c r="AN198" s="102" t="e">
        <f>VLOOKUP($AE198,Usinas!$B$3:$D$241,3,FALSE)</f>
        <v>#VALUE!</v>
      </c>
      <c r="AP198" s="103">
        <v>178</v>
      </c>
      <c r="AQ198" s="103" t="str">
        <f>IF(BA198=1,VLOOKUP($AP198,Usinas!$B$3:$F$244,2,0),"")</f>
        <v>XINGÓ</v>
      </c>
      <c r="AR198" s="103" t="str">
        <f>IF(BA198=1,VLOOKUP($AP198,Usinas!$B$3:$F$241,3,0),"")</f>
        <v>SÃO FRANCISCO (NE)</v>
      </c>
      <c r="AS198" s="103" t="str">
        <f>IF(BA198,VLOOKUP($AP198,Usinas!$B$3:$F$244,4,0),"")</f>
        <v>NORDESTE</v>
      </c>
      <c r="AT198" s="103">
        <f t="shared" si="187"/>
        <v>1.0781000000000001</v>
      </c>
      <c r="AU198" s="104">
        <f t="shared" si="220"/>
        <v>2956.1502</v>
      </c>
      <c r="AV198" s="104">
        <f t="shared" si="220"/>
        <v>3060.7259000000004</v>
      </c>
      <c r="AW198" s="104">
        <f t="shared" si="220"/>
        <v>3316.2356</v>
      </c>
      <c r="AX198" s="104">
        <f t="shared" si="220"/>
        <v>3704.3516000000004</v>
      </c>
      <c r="AY198" s="104">
        <f t="shared" si="220"/>
        <v>3621.3379</v>
      </c>
      <c r="AZ198" s="104">
        <f t="shared" si="220"/>
        <v>3501.6688000000004</v>
      </c>
      <c r="BA198" s="103">
        <f t="shared" si="188"/>
        <v>1</v>
      </c>
      <c r="BB198" s="103">
        <f t="shared" si="189"/>
        <v>0</v>
      </c>
      <c r="BC198" s="103" t="str">
        <f>IF(BA198=1,VLOOKUP($AP198,Usinas!$B$3:$H$244,7,0),"")</f>
        <v>NORDESTE</v>
      </c>
      <c r="BM198" s="105" t="e">
        <f t="shared" si="222"/>
        <v>#VALUE!</v>
      </c>
      <c r="BN198" s="105" t="e">
        <f t="shared" si="223"/>
        <v>#VALUE!</v>
      </c>
      <c r="BO198" s="151" t="e">
        <f>IF($BP$15=1,IFERROR(VLOOKUP(BN198,$BZ$20:CA361,2,0),0),VALUE(RIGHT(LEFT($B198,21),10)))</f>
        <v>#VALUE!</v>
      </c>
      <c r="BP198" s="105" t="e">
        <f t="shared" si="224"/>
        <v>#VALUE!</v>
      </c>
      <c r="BQ198" s="105" t="e">
        <f t="shared" si="225"/>
        <v>#VALUE!</v>
      </c>
      <c r="BR198" s="105" t="e">
        <f t="shared" si="226"/>
        <v>#VALUE!</v>
      </c>
      <c r="BS198" s="105" t="e">
        <f t="shared" si="227"/>
        <v>#VALUE!</v>
      </c>
      <c r="BT198" s="105" t="e">
        <f t="shared" si="228"/>
        <v>#VALUE!</v>
      </c>
      <c r="BV198" s="97" t="s">
        <v>331</v>
      </c>
      <c r="BW198" s="98">
        <f t="shared" si="218"/>
        <v>261</v>
      </c>
      <c r="BX198" s="97" t="str">
        <f t="shared" si="190"/>
        <v>PST 259</v>
      </c>
    </row>
    <row r="199" spans="2:76" x14ac:dyDescent="0.3">
      <c r="B199" s="99"/>
      <c r="C199" s="99"/>
      <c r="D199" s="99"/>
      <c r="E199" s="99"/>
      <c r="F199" s="99"/>
      <c r="G199" s="99"/>
      <c r="H199" s="99"/>
      <c r="I199" s="43"/>
      <c r="J199" s="99" t="str">
        <f t="shared" si="221"/>
        <v/>
      </c>
      <c r="U199" s="112"/>
      <c r="X199" s="42" t="e">
        <v>#N/A</v>
      </c>
      <c r="Z199" s="101">
        <v>179</v>
      </c>
      <c r="AA199" s="101">
        <v>0</v>
      </c>
      <c r="AB199" s="101">
        <v>0</v>
      </c>
      <c r="AD199" s="102" t="e">
        <f t="shared" si="173"/>
        <v>#VALUE!</v>
      </c>
      <c r="AE199" s="102" t="e">
        <f t="shared" si="173"/>
        <v>#VALUE!</v>
      </c>
      <c r="AF199" s="102" t="e">
        <f t="shared" si="196"/>
        <v>#VALUE!</v>
      </c>
      <c r="AG199" s="102" t="e">
        <f t="shared" si="197"/>
        <v>#VALUE!</v>
      </c>
      <c r="AH199" s="102" t="e">
        <f t="shared" si="198"/>
        <v>#VALUE!</v>
      </c>
      <c r="AI199" s="102" t="e">
        <f t="shared" si="199"/>
        <v>#VALUE!</v>
      </c>
      <c r="AJ199" s="102" t="e">
        <f t="shared" si="200"/>
        <v>#VALUE!</v>
      </c>
      <c r="AK199" s="102" t="e">
        <f t="shared" si="201"/>
        <v>#VALUE!</v>
      </c>
      <c r="AL199" s="102" t="e">
        <f>VLOOKUP($AE199,Usinas!$B$3:$F$241,5,FALSE)</f>
        <v>#VALUE!</v>
      </c>
      <c r="AM199" s="102" t="e">
        <f>VLOOKUP($AE199,Usinas!$B$3:$H$241,7,FALSE)</f>
        <v>#VALUE!</v>
      </c>
      <c r="AN199" s="102" t="e">
        <f>VLOOKUP($AE199,Usinas!$B$3:$D$241,3,FALSE)</f>
        <v>#VALUE!</v>
      </c>
      <c r="AP199" s="103">
        <v>179</v>
      </c>
      <c r="AQ199" s="103" t="str">
        <f>IF(BA199=1,VLOOKUP($AP199,Usinas!$B$3:$F$244,2,0),"")</f>
        <v/>
      </c>
      <c r="AR199" s="103" t="str">
        <f>IF(BA199=1,VLOOKUP($AP199,Usinas!$B$3:$F$241,3,0),"")</f>
        <v/>
      </c>
      <c r="AS199" s="103" t="str">
        <f>IF(BA199,VLOOKUP($AP199,Usinas!$B$3:$F$244,4,0),"")</f>
        <v/>
      </c>
      <c r="AT199" s="103" t="str">
        <f t="shared" si="187"/>
        <v/>
      </c>
      <c r="AU199" s="104" t="str">
        <f t="shared" si="220"/>
        <v/>
      </c>
      <c r="AV199" s="104" t="str">
        <f t="shared" si="220"/>
        <v/>
      </c>
      <c r="AW199" s="104" t="str">
        <f t="shared" si="220"/>
        <v/>
      </c>
      <c r="AX199" s="104" t="str">
        <f t="shared" si="220"/>
        <v/>
      </c>
      <c r="AY199" s="104" t="str">
        <f t="shared" si="220"/>
        <v/>
      </c>
      <c r="AZ199" s="104" t="str">
        <f t="shared" si="220"/>
        <v/>
      </c>
      <c r="BA199" s="103">
        <f t="shared" si="188"/>
        <v>0</v>
      </c>
      <c r="BB199" s="103">
        <f t="shared" si="189"/>
        <v>0</v>
      </c>
      <c r="BC199" s="103" t="str">
        <f>IF(BA199=1,VLOOKUP($AP199,Usinas!$B$3:$H$244,7,0),"")</f>
        <v/>
      </c>
      <c r="BM199" s="105" t="e">
        <f t="shared" si="222"/>
        <v>#VALUE!</v>
      </c>
      <c r="BN199" s="105" t="e">
        <f t="shared" si="223"/>
        <v>#VALUE!</v>
      </c>
      <c r="BO199" s="151" t="e">
        <f>IF($BP$15=1,IFERROR(VLOOKUP(BN199,$BZ$20:CA362,2,0),0),VALUE(RIGHT(LEFT($B199,21),10)))</f>
        <v>#VALUE!</v>
      </c>
      <c r="BP199" s="105" t="e">
        <f t="shared" si="224"/>
        <v>#VALUE!</v>
      </c>
      <c r="BQ199" s="105" t="e">
        <f t="shared" si="225"/>
        <v>#VALUE!</v>
      </c>
      <c r="BR199" s="105" t="e">
        <f t="shared" si="226"/>
        <v>#VALUE!</v>
      </c>
      <c r="BS199" s="105" t="e">
        <f t="shared" si="227"/>
        <v>#VALUE!</v>
      </c>
      <c r="BT199" s="105" t="e">
        <f t="shared" si="228"/>
        <v>#VALUE!</v>
      </c>
      <c r="BV199" s="97" t="s">
        <v>331</v>
      </c>
      <c r="BW199" s="98">
        <f t="shared" si="218"/>
        <v>262</v>
      </c>
      <c r="BX199" s="97" t="str">
        <f t="shared" si="190"/>
        <v>PST 261</v>
      </c>
    </row>
    <row r="200" spans="2:76" x14ac:dyDescent="0.3">
      <c r="B200" s="99"/>
      <c r="C200" s="99"/>
      <c r="D200" s="99"/>
      <c r="E200" s="99"/>
      <c r="F200" s="99"/>
      <c r="G200" s="99"/>
      <c r="H200" s="99"/>
      <c r="I200" s="43"/>
      <c r="J200" s="99" t="str">
        <f t="shared" si="221"/>
        <v/>
      </c>
      <c r="U200" s="112"/>
      <c r="X200" s="42" t="e">
        <v>#N/A</v>
      </c>
      <c r="Z200" s="101">
        <v>180</v>
      </c>
      <c r="AA200" s="101">
        <v>0</v>
      </c>
      <c r="AB200" s="101">
        <v>0</v>
      </c>
      <c r="AD200" s="102" t="e">
        <f t="shared" si="173"/>
        <v>#VALUE!</v>
      </c>
      <c r="AE200" s="102" t="e">
        <f t="shared" si="173"/>
        <v>#VALUE!</v>
      </c>
      <c r="AF200" s="102" t="e">
        <f t="shared" si="196"/>
        <v>#VALUE!</v>
      </c>
      <c r="AG200" s="102" t="e">
        <f t="shared" si="197"/>
        <v>#VALUE!</v>
      </c>
      <c r="AH200" s="102" t="e">
        <f t="shared" si="198"/>
        <v>#VALUE!</v>
      </c>
      <c r="AI200" s="102" t="e">
        <f t="shared" si="199"/>
        <v>#VALUE!</v>
      </c>
      <c r="AJ200" s="102" t="e">
        <f t="shared" si="200"/>
        <v>#VALUE!</v>
      </c>
      <c r="AK200" s="102" t="e">
        <f t="shared" si="201"/>
        <v>#VALUE!</v>
      </c>
      <c r="AL200" s="102" t="e">
        <f>VLOOKUP($AE200,Usinas!$B$3:$F$241,5,FALSE)</f>
        <v>#VALUE!</v>
      </c>
      <c r="AM200" s="102" t="e">
        <f>VLOOKUP($AE200,Usinas!$B$3:$H$241,7,FALSE)</f>
        <v>#VALUE!</v>
      </c>
      <c r="AN200" s="102" t="e">
        <f>VLOOKUP($AE200,Usinas!$B$3:$D$241,3,FALSE)</f>
        <v>#VALUE!</v>
      </c>
      <c r="AP200" s="103">
        <v>180</v>
      </c>
      <c r="AQ200" s="103" t="str">
        <f>IF(BA200=1,VLOOKUP($AP200,Usinas!$B$3:$F$244,2,0),"")</f>
        <v/>
      </c>
      <c r="AR200" s="103" t="str">
        <f>IF(BA200=1,VLOOKUP($AP200,Usinas!$B$3:$F$241,3,0),"")</f>
        <v/>
      </c>
      <c r="AS200" s="103" t="str">
        <f>IF(BA200,VLOOKUP($AP200,Usinas!$B$3:$F$244,4,0),"")</f>
        <v/>
      </c>
      <c r="AT200" s="103" t="str">
        <f t="shared" si="187"/>
        <v/>
      </c>
      <c r="AU200" s="104" t="str">
        <f t="shared" si="220"/>
        <v/>
      </c>
      <c r="AV200" s="104" t="str">
        <f t="shared" si="220"/>
        <v/>
      </c>
      <c r="AW200" s="104" t="str">
        <f t="shared" si="220"/>
        <v/>
      </c>
      <c r="AX200" s="104" t="str">
        <f t="shared" si="220"/>
        <v/>
      </c>
      <c r="AY200" s="104" t="str">
        <f t="shared" si="220"/>
        <v/>
      </c>
      <c r="AZ200" s="104" t="str">
        <f t="shared" si="220"/>
        <v/>
      </c>
      <c r="BA200" s="103">
        <f t="shared" si="188"/>
        <v>0</v>
      </c>
      <c r="BB200" s="103">
        <f t="shared" si="189"/>
        <v>0</v>
      </c>
      <c r="BC200" s="103" t="str">
        <f>IF(BA200=1,VLOOKUP($AP200,Usinas!$B$3:$H$244,7,0),"")</f>
        <v/>
      </c>
      <c r="BM200" s="105" t="e">
        <f t="shared" si="222"/>
        <v>#VALUE!</v>
      </c>
      <c r="BN200" s="105" t="e">
        <f t="shared" si="223"/>
        <v>#VALUE!</v>
      </c>
      <c r="BO200" s="151" t="e">
        <f>IF($BP$15=1,IFERROR(VLOOKUP(BN200,$BZ$20:CA363,2,0),0),VALUE(RIGHT(LEFT($B200,21),10)))</f>
        <v>#VALUE!</v>
      </c>
      <c r="BP200" s="105" t="e">
        <f t="shared" si="224"/>
        <v>#VALUE!</v>
      </c>
      <c r="BQ200" s="105" t="e">
        <f t="shared" si="225"/>
        <v>#VALUE!</v>
      </c>
      <c r="BR200" s="105" t="e">
        <f t="shared" si="226"/>
        <v>#VALUE!</v>
      </c>
      <c r="BS200" s="105" t="e">
        <f t="shared" si="227"/>
        <v>#VALUE!</v>
      </c>
      <c r="BT200" s="105" t="e">
        <f t="shared" si="228"/>
        <v>#VALUE!</v>
      </c>
      <c r="BV200" s="97" t="s">
        <v>331</v>
      </c>
      <c r="BW200" s="98">
        <f t="shared" si="218"/>
        <v>263</v>
      </c>
      <c r="BX200" s="97" t="str">
        <f t="shared" si="190"/>
        <v>PST 262</v>
      </c>
    </row>
    <row r="201" spans="2:76" x14ac:dyDescent="0.3">
      <c r="B201" s="99"/>
      <c r="C201" s="99"/>
      <c r="D201" s="99"/>
      <c r="E201" s="99"/>
      <c r="F201" s="99"/>
      <c r="G201" s="99"/>
      <c r="H201" s="99"/>
      <c r="I201" s="43"/>
      <c r="J201" s="99" t="str">
        <f t="shared" si="221"/>
        <v/>
      </c>
      <c r="U201" s="112"/>
      <c r="X201" s="42" t="e">
        <v>#N/A</v>
      </c>
      <c r="Z201" s="101">
        <v>181</v>
      </c>
      <c r="AA201" s="101">
        <v>0</v>
      </c>
      <c r="AB201" s="101">
        <v>0</v>
      </c>
      <c r="AD201" s="102" t="e">
        <f t="shared" si="173"/>
        <v>#VALUE!</v>
      </c>
      <c r="AE201" s="102" t="e">
        <f t="shared" si="173"/>
        <v>#VALUE!</v>
      </c>
      <c r="AF201" s="102" t="e">
        <f t="shared" si="196"/>
        <v>#VALUE!</v>
      </c>
      <c r="AG201" s="102" t="e">
        <f t="shared" si="197"/>
        <v>#VALUE!</v>
      </c>
      <c r="AH201" s="102" t="e">
        <f t="shared" si="198"/>
        <v>#VALUE!</v>
      </c>
      <c r="AI201" s="102" t="e">
        <f t="shared" si="199"/>
        <v>#VALUE!</v>
      </c>
      <c r="AJ201" s="102" t="e">
        <f t="shared" si="200"/>
        <v>#VALUE!</v>
      </c>
      <c r="AK201" s="102" t="e">
        <f t="shared" si="201"/>
        <v>#VALUE!</v>
      </c>
      <c r="AL201" s="102" t="e">
        <f>VLOOKUP($AE201,Usinas!$B$3:$F$241,5,FALSE)</f>
        <v>#VALUE!</v>
      </c>
      <c r="AM201" s="102" t="e">
        <f>VLOOKUP($AE201,Usinas!$B$3:$H$241,7,FALSE)</f>
        <v>#VALUE!</v>
      </c>
      <c r="AN201" s="102" t="e">
        <f>VLOOKUP($AE201,Usinas!$B$3:$D$241,3,FALSE)</f>
        <v>#VALUE!</v>
      </c>
      <c r="AP201" s="103">
        <v>181</v>
      </c>
      <c r="AQ201" s="103" t="str">
        <f>IF(BA201=1,VLOOKUP($AP201,Usinas!$B$3:$F$244,2,0),"")</f>
        <v/>
      </c>
      <c r="AR201" s="103" t="str">
        <f>IF(BA201=1,VLOOKUP($AP201,Usinas!$B$3:$F$241,3,0),"")</f>
        <v/>
      </c>
      <c r="AS201" s="103" t="str">
        <f>IF(BA201,VLOOKUP($AP201,Usinas!$B$3:$F$244,4,0),"")</f>
        <v/>
      </c>
      <c r="AT201" s="103" t="str">
        <f t="shared" si="187"/>
        <v/>
      </c>
      <c r="AU201" s="104" t="str">
        <f t="shared" ref="AU201:AZ210" si="229">IF($BA201=1,IFERROR(VLOOKUP($AP201,$AE$21:$AK$211,AU$19,0),VLOOKUP($AP201,$BE$21:$BK$65,AU$19,0))*$AT201,"")</f>
        <v/>
      </c>
      <c r="AV201" s="104" t="str">
        <f t="shared" si="229"/>
        <v/>
      </c>
      <c r="AW201" s="104" t="str">
        <f t="shared" si="229"/>
        <v/>
      </c>
      <c r="AX201" s="104" t="str">
        <f t="shared" si="229"/>
        <v/>
      </c>
      <c r="AY201" s="104" t="str">
        <f t="shared" si="229"/>
        <v/>
      </c>
      <c r="AZ201" s="104" t="str">
        <f t="shared" si="229"/>
        <v/>
      </c>
      <c r="BA201" s="103">
        <f t="shared" si="188"/>
        <v>0</v>
      </c>
      <c r="BB201" s="103">
        <f t="shared" si="189"/>
        <v>0</v>
      </c>
      <c r="BC201" s="103" t="str">
        <f>IF(BA201=1,VLOOKUP($AP201,Usinas!$B$3:$H$244,7,0),"")</f>
        <v/>
      </c>
      <c r="BM201" s="105" t="e">
        <f t="shared" si="222"/>
        <v>#VALUE!</v>
      </c>
      <c r="BN201" s="105" t="e">
        <f t="shared" si="223"/>
        <v>#VALUE!</v>
      </c>
      <c r="BO201" s="151" t="e">
        <f>IF($BP$15=1,IFERROR(VLOOKUP(BN201,$BZ$20:CA364,2,0),0),VALUE(RIGHT(LEFT($B201,21),10)))</f>
        <v>#VALUE!</v>
      </c>
      <c r="BP201" s="105" t="e">
        <f t="shared" si="224"/>
        <v>#VALUE!</v>
      </c>
      <c r="BQ201" s="105" t="e">
        <f t="shared" si="225"/>
        <v>#VALUE!</v>
      </c>
      <c r="BR201" s="105" t="e">
        <f t="shared" si="226"/>
        <v>#VALUE!</v>
      </c>
      <c r="BS201" s="105" t="e">
        <f t="shared" si="227"/>
        <v>#VALUE!</v>
      </c>
      <c r="BT201" s="105" t="e">
        <f t="shared" si="228"/>
        <v>#VALUE!</v>
      </c>
      <c r="BV201" s="97" t="s">
        <v>331</v>
      </c>
      <c r="BW201" s="98">
        <f t="shared" si="218"/>
        <v>266</v>
      </c>
      <c r="BX201" s="97" t="str">
        <f t="shared" si="190"/>
        <v>PST 263</v>
      </c>
    </row>
    <row r="202" spans="2:76" x14ac:dyDescent="0.3">
      <c r="B202" s="99"/>
      <c r="C202" s="99"/>
      <c r="D202" s="99"/>
      <c r="E202" s="99"/>
      <c r="F202" s="99"/>
      <c r="G202" s="99"/>
      <c r="H202" s="99"/>
      <c r="I202" s="43"/>
      <c r="J202" s="99" t="str">
        <f t="shared" si="221"/>
        <v/>
      </c>
      <c r="U202" s="112"/>
      <c r="X202" s="42" t="e">
        <v>#N/A</v>
      </c>
      <c r="Z202" s="101">
        <v>182</v>
      </c>
      <c r="AA202" s="101">
        <v>0</v>
      </c>
      <c r="AB202" s="101">
        <v>0</v>
      </c>
      <c r="AD202" s="102" t="e">
        <f t="shared" si="173"/>
        <v>#VALUE!</v>
      </c>
      <c r="AE202" s="102" t="e">
        <f t="shared" si="173"/>
        <v>#VALUE!</v>
      </c>
      <c r="AF202" s="102" t="e">
        <f t="shared" si="196"/>
        <v>#VALUE!</v>
      </c>
      <c r="AG202" s="102" t="e">
        <f t="shared" si="197"/>
        <v>#VALUE!</v>
      </c>
      <c r="AH202" s="102" t="e">
        <f t="shared" si="198"/>
        <v>#VALUE!</v>
      </c>
      <c r="AI202" s="102" t="e">
        <f t="shared" si="199"/>
        <v>#VALUE!</v>
      </c>
      <c r="AJ202" s="102" t="e">
        <f t="shared" si="200"/>
        <v>#VALUE!</v>
      </c>
      <c r="AK202" s="102" t="e">
        <f t="shared" si="201"/>
        <v>#VALUE!</v>
      </c>
      <c r="AL202" s="102" t="e">
        <f>VLOOKUP($AE202,Usinas!$B$3:$F$241,5,FALSE)</f>
        <v>#VALUE!</v>
      </c>
      <c r="AM202" s="102" t="e">
        <f>VLOOKUP($AE202,Usinas!$B$3:$H$241,7,FALSE)</f>
        <v>#VALUE!</v>
      </c>
      <c r="AN202" s="102" t="e">
        <f>VLOOKUP($AE202,Usinas!$B$3:$D$241,3,FALSE)</f>
        <v>#VALUE!</v>
      </c>
      <c r="AP202" s="103">
        <v>182</v>
      </c>
      <c r="AQ202" s="103" t="str">
        <f>IF(BA202=1,VLOOKUP($AP202,Usinas!$B$3:$F$244,2,0),"")</f>
        <v/>
      </c>
      <c r="AR202" s="103" t="str">
        <f>IF(BA202=1,VLOOKUP($AP202,Usinas!$B$3:$F$241,3,0),"")</f>
        <v/>
      </c>
      <c r="AS202" s="103" t="str">
        <f>IF(BA202,VLOOKUP($AP202,Usinas!$B$3:$F$244,4,0),"")</f>
        <v/>
      </c>
      <c r="AT202" s="103" t="str">
        <f t="shared" si="187"/>
        <v/>
      </c>
      <c r="AU202" s="104" t="str">
        <f t="shared" si="229"/>
        <v/>
      </c>
      <c r="AV202" s="104" t="str">
        <f t="shared" si="229"/>
        <v/>
      </c>
      <c r="AW202" s="104" t="str">
        <f t="shared" si="229"/>
        <v/>
      </c>
      <c r="AX202" s="104" t="str">
        <f t="shared" si="229"/>
        <v/>
      </c>
      <c r="AY202" s="104" t="str">
        <f t="shared" si="229"/>
        <v/>
      </c>
      <c r="AZ202" s="104" t="str">
        <f t="shared" si="229"/>
        <v/>
      </c>
      <c r="BA202" s="103">
        <f t="shared" si="188"/>
        <v>0</v>
      </c>
      <c r="BB202" s="103">
        <f t="shared" si="189"/>
        <v>0</v>
      </c>
      <c r="BC202" s="103" t="str">
        <f>IF(BA202=1,VLOOKUP($AP202,Usinas!$B$3:$H$244,7,0),"")</f>
        <v/>
      </c>
      <c r="BM202" s="105" t="e">
        <f t="shared" si="222"/>
        <v>#VALUE!</v>
      </c>
      <c r="BN202" s="105" t="e">
        <f t="shared" si="223"/>
        <v>#VALUE!</v>
      </c>
      <c r="BO202" s="151" t="e">
        <f>IF($BP$15=1,IFERROR(VLOOKUP(BN202,$BZ$20:CA365,2,0),0),VALUE(RIGHT(LEFT($B202,21),10)))</f>
        <v>#VALUE!</v>
      </c>
      <c r="BP202" s="105" t="e">
        <f t="shared" si="224"/>
        <v>#VALUE!</v>
      </c>
      <c r="BQ202" s="105" t="e">
        <f t="shared" si="225"/>
        <v>#VALUE!</v>
      </c>
      <c r="BR202" s="105" t="e">
        <f t="shared" si="226"/>
        <v>#VALUE!</v>
      </c>
      <c r="BS202" s="105" t="e">
        <f t="shared" si="227"/>
        <v>#VALUE!</v>
      </c>
      <c r="BT202" s="105" t="e">
        <f t="shared" si="228"/>
        <v>#VALUE!</v>
      </c>
      <c r="BV202" s="97" t="s">
        <v>331</v>
      </c>
      <c r="BW202" s="98">
        <f t="shared" si="218"/>
        <v>269</v>
      </c>
      <c r="BX202" s="97" t="str">
        <f t="shared" si="190"/>
        <v>PST 266</v>
      </c>
    </row>
    <row r="203" spans="2:76" x14ac:dyDescent="0.3">
      <c r="B203" s="99"/>
      <c r="C203" s="99"/>
      <c r="D203" s="99"/>
      <c r="E203" s="99"/>
      <c r="F203" s="99"/>
      <c r="G203" s="99"/>
      <c r="H203" s="99"/>
      <c r="I203" s="43"/>
      <c r="J203" s="99" t="str">
        <f t="shared" ref="J203" si="230">IF(B203&lt;&gt;0,RIGHT("      "&amp;ROUND(AD194,0),6)&amp;(RIGHT("     "&amp;ROUND(AE194,0),5))&amp;RIGHT("          "&amp;ROUND(AF194,0),10)&amp;RIGHT("          "&amp;ROUND(AG194,),10)&amp;RIGHT("         "&amp;ROUND(AH194,0),10)&amp;RIGHT("          "&amp;ROUND(AI194,0),10)&amp;RIGHT("          "&amp;ROUND(AJ194,0),10)&amp;RIGHT("          "&amp;ROUND(AK194,0),10),"")</f>
        <v/>
      </c>
      <c r="X203" s="42" t="e">
        <v>#N/A</v>
      </c>
      <c r="Z203" s="101">
        <v>183</v>
      </c>
      <c r="AA203" s="101">
        <v>1</v>
      </c>
      <c r="AB203" s="101">
        <v>0.93640000000000001</v>
      </c>
      <c r="AD203" s="102" t="e">
        <f t="shared" si="173"/>
        <v>#VALUE!</v>
      </c>
      <c r="AE203" s="102" t="e">
        <f t="shared" si="173"/>
        <v>#VALUE!</v>
      </c>
      <c r="AF203" s="102" t="e">
        <f t="shared" si="196"/>
        <v>#VALUE!</v>
      </c>
      <c r="AG203" s="102" t="e">
        <f t="shared" si="197"/>
        <v>#VALUE!</v>
      </c>
      <c r="AH203" s="102" t="e">
        <f t="shared" si="198"/>
        <v>#VALUE!</v>
      </c>
      <c r="AI203" s="102" t="e">
        <f t="shared" si="199"/>
        <v>#VALUE!</v>
      </c>
      <c r="AJ203" s="102" t="e">
        <f t="shared" si="200"/>
        <v>#VALUE!</v>
      </c>
      <c r="AK203" s="102" t="e">
        <f t="shared" si="201"/>
        <v>#VALUE!</v>
      </c>
      <c r="AL203" s="102" t="e">
        <f>VLOOKUP($AE203,Usinas!$B$3:$F$241,5,FALSE)</f>
        <v>#VALUE!</v>
      </c>
      <c r="AM203" s="102" t="e">
        <f>VLOOKUP($AE203,Usinas!$B$3:$H$241,7,FALSE)</f>
        <v>#VALUE!</v>
      </c>
      <c r="AN203" s="102" t="e">
        <f>VLOOKUP($AE203,Usinas!$B$3:$D$241,3,FALSE)</f>
        <v>#VALUE!</v>
      </c>
      <c r="AP203" s="103">
        <v>183</v>
      </c>
      <c r="AQ203" s="103" t="str">
        <f>IF(BA203=1,VLOOKUP($AP203,Usinas!$B$3:$F$244,2,0),"")</f>
        <v>SÁ CARVALHO</v>
      </c>
      <c r="AR203" s="103" t="str">
        <f>IF(BA203=1,VLOOKUP($AP203,Usinas!$B$3:$F$241,3,0),"")</f>
        <v>DOCE</v>
      </c>
      <c r="AS203" s="103" t="str">
        <f>IF(BA203,VLOOKUP($AP203,Usinas!$B$3:$F$244,4,0),"")</f>
        <v>SUDESTE</v>
      </c>
      <c r="AT203" s="103">
        <f t="shared" si="187"/>
        <v>0.93640000000000001</v>
      </c>
      <c r="AU203" s="104">
        <f t="shared" si="229"/>
        <v>143.26920000000001</v>
      </c>
      <c r="AV203" s="104">
        <f t="shared" si="229"/>
        <v>178.85239999999999</v>
      </c>
      <c r="AW203" s="104">
        <f t="shared" si="229"/>
        <v>147.01480000000001</v>
      </c>
      <c r="AX203" s="104">
        <f t="shared" si="229"/>
        <v>122.66840000000001</v>
      </c>
      <c r="AY203" s="104">
        <f t="shared" si="229"/>
        <v>137.6508</v>
      </c>
      <c r="AZ203" s="104">
        <f t="shared" si="229"/>
        <v>94.576400000000007</v>
      </c>
      <c r="BA203" s="103">
        <f t="shared" si="188"/>
        <v>1</v>
      </c>
      <c r="BB203" s="103">
        <f t="shared" si="189"/>
        <v>0</v>
      </c>
      <c r="BC203" s="103" t="str">
        <f>IF(BA203=1,VLOOKUP($AP203,Usinas!$B$3:$H$244,7,0),"")</f>
        <v>SUDESTE</v>
      </c>
      <c r="BM203" s="105" t="e">
        <f t="shared" si="222"/>
        <v>#VALUE!</v>
      </c>
      <c r="BN203" s="105" t="e">
        <f t="shared" si="223"/>
        <v>#VALUE!</v>
      </c>
      <c r="BO203" s="151" t="e">
        <f>IF($BP$15=1,IFERROR(VLOOKUP(BN203,$BZ$20:CA366,2,0),0),VALUE(RIGHT(LEFT($B203,21),10)))</f>
        <v>#VALUE!</v>
      </c>
      <c r="BP203" s="105" t="e">
        <f t="shared" si="224"/>
        <v>#VALUE!</v>
      </c>
      <c r="BQ203" s="105" t="e">
        <f t="shared" si="225"/>
        <v>#VALUE!</v>
      </c>
      <c r="BR203" s="105" t="e">
        <f t="shared" si="226"/>
        <v>#VALUE!</v>
      </c>
      <c r="BS203" s="105" t="e">
        <f t="shared" si="227"/>
        <v>#VALUE!</v>
      </c>
      <c r="BT203" s="105" t="e">
        <f t="shared" si="228"/>
        <v>#VALUE!</v>
      </c>
      <c r="BV203" s="97" t="s">
        <v>331</v>
      </c>
      <c r="BW203" s="98">
        <f t="shared" si="218"/>
        <v>270</v>
      </c>
      <c r="BX203" s="97" t="str">
        <f t="shared" si="190"/>
        <v>PST 269</v>
      </c>
    </row>
    <row r="204" spans="2:76" x14ac:dyDescent="0.3">
      <c r="B204" s="99"/>
      <c r="C204" s="99"/>
      <c r="D204" s="99"/>
      <c r="E204" s="99"/>
      <c r="F204" s="99"/>
      <c r="G204" s="99"/>
      <c r="H204" s="99"/>
      <c r="I204" s="43"/>
      <c r="J204" s="99" t="str">
        <f t="shared" ref="J204:J209" si="231">IF(B204&lt;&gt;0,RIGHT("      "&amp;ROUND(AD195,0),6)&amp;(RIGHT("     "&amp;ROUND(AE195,0),5))&amp;RIGHT("          "&amp;ROUND(AF195,0),10)&amp;RIGHT("          "&amp;ROUND(AG195,),10)&amp;RIGHT("         "&amp;ROUND(AH195,0),10)&amp;RIGHT("          "&amp;ROUND(AI195,0),10)&amp;RIGHT("          "&amp;ROUND(AJ195,0),10)&amp;RIGHT("          "&amp;ROUND(AK195,0),10),"")</f>
        <v/>
      </c>
      <c r="X204" s="42" t="e">
        <v>#N/A</v>
      </c>
      <c r="Z204" s="101">
        <v>184</v>
      </c>
      <c r="AA204" s="101">
        <v>0</v>
      </c>
      <c r="AB204" s="101">
        <v>0</v>
      </c>
      <c r="AD204" s="102" t="e">
        <f t="shared" si="173"/>
        <v>#VALUE!</v>
      </c>
      <c r="AE204" s="102" t="e">
        <f t="shared" si="173"/>
        <v>#VALUE!</v>
      </c>
      <c r="AF204" s="102" t="e">
        <f t="shared" si="196"/>
        <v>#VALUE!</v>
      </c>
      <c r="AG204" s="102" t="e">
        <f t="shared" si="197"/>
        <v>#VALUE!</v>
      </c>
      <c r="AH204" s="102" t="e">
        <f t="shared" si="198"/>
        <v>#VALUE!</v>
      </c>
      <c r="AI204" s="102" t="e">
        <f t="shared" si="199"/>
        <v>#VALUE!</v>
      </c>
      <c r="AJ204" s="102" t="e">
        <f t="shared" si="200"/>
        <v>#VALUE!</v>
      </c>
      <c r="AK204" s="102" t="e">
        <f t="shared" si="201"/>
        <v>#VALUE!</v>
      </c>
      <c r="AL204" s="102" t="e">
        <f>VLOOKUP($AE204,Usinas!$B$3:$F$241,5,FALSE)</f>
        <v>#VALUE!</v>
      </c>
      <c r="AM204" s="102" t="e">
        <f>VLOOKUP($AE204,Usinas!$B$3:$H$241,7,FALSE)</f>
        <v>#VALUE!</v>
      </c>
      <c r="AN204" s="102" t="e">
        <f>VLOOKUP($AE204,Usinas!$B$3:$D$241,3,FALSE)</f>
        <v>#VALUE!</v>
      </c>
      <c r="AP204" s="103">
        <v>184</v>
      </c>
      <c r="AQ204" s="103" t="str">
        <f>IF(BA204=1,VLOOKUP($AP204,Usinas!$B$3:$F$244,2,0),"")</f>
        <v/>
      </c>
      <c r="AR204" s="103" t="str">
        <f>IF(BA204=1,VLOOKUP($AP204,Usinas!$B$3:$F$241,3,0),"")</f>
        <v/>
      </c>
      <c r="AS204" s="103" t="str">
        <f>IF(BA204,VLOOKUP($AP204,Usinas!$B$3:$F$244,4,0),"")</f>
        <v/>
      </c>
      <c r="AT204" s="103" t="str">
        <f t="shared" si="187"/>
        <v/>
      </c>
      <c r="AU204" s="104" t="str">
        <f t="shared" si="229"/>
        <v/>
      </c>
      <c r="AV204" s="104" t="str">
        <f t="shared" si="229"/>
        <v/>
      </c>
      <c r="AW204" s="104" t="str">
        <f t="shared" si="229"/>
        <v/>
      </c>
      <c r="AX204" s="104" t="str">
        <f t="shared" si="229"/>
        <v/>
      </c>
      <c r="AY204" s="104" t="str">
        <f t="shared" si="229"/>
        <v/>
      </c>
      <c r="AZ204" s="104" t="str">
        <f t="shared" si="229"/>
        <v/>
      </c>
      <c r="BA204" s="103">
        <f t="shared" si="188"/>
        <v>0</v>
      </c>
      <c r="BB204" s="103">
        <f t="shared" si="189"/>
        <v>0</v>
      </c>
      <c r="BC204" s="103" t="str">
        <f>IF(BA204=1,VLOOKUP($AP204,Usinas!$B$3:$H$244,7,0),"")</f>
        <v/>
      </c>
      <c r="BM204" s="105" t="e">
        <f t="shared" si="222"/>
        <v>#VALUE!</v>
      </c>
      <c r="BN204" s="105" t="e">
        <f t="shared" si="223"/>
        <v>#VALUE!</v>
      </c>
      <c r="BO204" s="151" t="e">
        <f>IF($BP$15=1,IFERROR(VLOOKUP(BN204,$BZ$20:CA367,2,0),0),VALUE(RIGHT(LEFT($B204,21),10)))</f>
        <v>#VALUE!</v>
      </c>
      <c r="BP204" s="105" t="e">
        <f t="shared" si="224"/>
        <v>#VALUE!</v>
      </c>
      <c r="BQ204" s="105" t="e">
        <f t="shared" si="225"/>
        <v>#VALUE!</v>
      </c>
      <c r="BR204" s="105" t="e">
        <f t="shared" si="226"/>
        <v>#VALUE!</v>
      </c>
      <c r="BS204" s="105" t="e">
        <f t="shared" si="227"/>
        <v>#VALUE!</v>
      </c>
      <c r="BT204" s="105" t="e">
        <f t="shared" si="228"/>
        <v>#VALUE!</v>
      </c>
      <c r="BV204" s="97" t="s">
        <v>331</v>
      </c>
      <c r="BW204" s="98">
        <f t="shared" si="218"/>
        <v>271</v>
      </c>
      <c r="BX204" s="97" t="str">
        <f t="shared" si="190"/>
        <v>PST 270</v>
      </c>
    </row>
    <row r="205" spans="2:76" x14ac:dyDescent="0.3">
      <c r="B205" s="99"/>
      <c r="C205" s="99"/>
      <c r="D205" s="99"/>
      <c r="E205" s="99"/>
      <c r="F205" s="99"/>
      <c r="G205" s="99"/>
      <c r="H205" s="99"/>
      <c r="I205" s="43"/>
      <c r="J205" s="99" t="str">
        <f t="shared" si="231"/>
        <v/>
      </c>
      <c r="X205" s="42" t="e">
        <v>#N/A</v>
      </c>
      <c r="Z205" s="101">
        <v>185</v>
      </c>
      <c r="AA205" s="101">
        <v>0</v>
      </c>
      <c r="AB205" s="101">
        <v>0</v>
      </c>
      <c r="AD205" s="102" t="e">
        <f t="shared" si="173"/>
        <v>#VALUE!</v>
      </c>
      <c r="AE205" s="102" t="e">
        <f t="shared" si="173"/>
        <v>#VALUE!</v>
      </c>
      <c r="AF205" s="102" t="e">
        <f t="shared" si="196"/>
        <v>#VALUE!</v>
      </c>
      <c r="AG205" s="102" t="e">
        <f t="shared" si="197"/>
        <v>#VALUE!</v>
      </c>
      <c r="AH205" s="102" t="e">
        <f t="shared" si="198"/>
        <v>#VALUE!</v>
      </c>
      <c r="AI205" s="102" t="e">
        <f t="shared" si="199"/>
        <v>#VALUE!</v>
      </c>
      <c r="AJ205" s="102" t="e">
        <f t="shared" si="200"/>
        <v>#VALUE!</v>
      </c>
      <c r="AK205" s="102" t="e">
        <f t="shared" si="201"/>
        <v>#VALUE!</v>
      </c>
      <c r="AL205" s="102" t="e">
        <f>VLOOKUP($AE205,Usinas!$B$3:$F$241,5,FALSE)</f>
        <v>#VALUE!</v>
      </c>
      <c r="AM205" s="102" t="e">
        <f>VLOOKUP($AE205,Usinas!$B$3:$H$241,7,FALSE)</f>
        <v>#VALUE!</v>
      </c>
      <c r="AN205" s="102" t="e">
        <f>VLOOKUP($AE205,Usinas!$B$3:$D$241,3,FALSE)</f>
        <v>#VALUE!</v>
      </c>
      <c r="AP205" s="103">
        <v>185</v>
      </c>
      <c r="AQ205" s="103" t="str">
        <f>IF(BA205=1,VLOOKUP($AP205,Usinas!$B$3:$F$244,2,0),"")</f>
        <v/>
      </c>
      <c r="AR205" s="103" t="str">
        <f>IF(BA205=1,VLOOKUP($AP205,Usinas!$B$3:$F$241,3,0),"")</f>
        <v/>
      </c>
      <c r="AS205" s="103" t="str">
        <f>IF(BA205,VLOOKUP($AP205,Usinas!$B$3:$F$244,4,0),"")</f>
        <v/>
      </c>
      <c r="AT205" s="103" t="str">
        <f t="shared" si="187"/>
        <v/>
      </c>
      <c r="AU205" s="104" t="str">
        <f t="shared" si="229"/>
        <v/>
      </c>
      <c r="AV205" s="104" t="str">
        <f t="shared" si="229"/>
        <v/>
      </c>
      <c r="AW205" s="104" t="str">
        <f t="shared" si="229"/>
        <v/>
      </c>
      <c r="AX205" s="104" t="str">
        <f t="shared" si="229"/>
        <v/>
      </c>
      <c r="AY205" s="104" t="str">
        <f t="shared" si="229"/>
        <v/>
      </c>
      <c r="AZ205" s="104" t="str">
        <f t="shared" si="229"/>
        <v/>
      </c>
      <c r="BA205" s="103">
        <f t="shared" si="188"/>
        <v>0</v>
      </c>
      <c r="BB205" s="103">
        <f t="shared" si="189"/>
        <v>0</v>
      </c>
      <c r="BC205" s="103" t="str">
        <f>IF(BA205=1,VLOOKUP($AP205,Usinas!$B$3:$H$244,7,0),"")</f>
        <v/>
      </c>
      <c r="BM205" s="105" t="e">
        <f t="shared" si="222"/>
        <v>#VALUE!</v>
      </c>
      <c r="BN205" s="105" t="e">
        <f t="shared" si="223"/>
        <v>#VALUE!</v>
      </c>
      <c r="BO205" s="151" t="e">
        <f>IF($BP$15=1,IFERROR(VLOOKUP(BN205,$BZ$20:CA368,2,0),0),VALUE(RIGHT(LEFT($B205,21),10)))</f>
        <v>#VALUE!</v>
      </c>
      <c r="BP205" s="105" t="e">
        <f t="shared" si="224"/>
        <v>#VALUE!</v>
      </c>
      <c r="BQ205" s="105" t="e">
        <f t="shared" si="225"/>
        <v>#VALUE!</v>
      </c>
      <c r="BR205" s="105" t="e">
        <f t="shared" si="226"/>
        <v>#VALUE!</v>
      </c>
      <c r="BS205" s="105" t="e">
        <f t="shared" si="227"/>
        <v>#VALUE!</v>
      </c>
      <c r="BT205" s="105" t="e">
        <f t="shared" si="228"/>
        <v>#VALUE!</v>
      </c>
      <c r="BV205" s="97" t="s">
        <v>331</v>
      </c>
      <c r="BW205" s="98">
        <f t="shared" si="218"/>
        <v>273</v>
      </c>
      <c r="BX205" s="97" t="str">
        <f t="shared" si="190"/>
        <v>PST 271</v>
      </c>
    </row>
    <row r="206" spans="2:76" x14ac:dyDescent="0.3">
      <c r="B206" s="99"/>
      <c r="C206" s="99"/>
      <c r="D206" s="99"/>
      <c r="E206" s="99"/>
      <c r="F206" s="99"/>
      <c r="G206" s="99"/>
      <c r="H206" s="99"/>
      <c r="I206" s="43"/>
      <c r="J206" s="99"/>
      <c r="X206" s="42" t="e">
        <v>#N/A</v>
      </c>
      <c r="Z206" s="101">
        <v>186</v>
      </c>
      <c r="AA206" s="101">
        <v>0</v>
      </c>
      <c r="AB206" s="101">
        <v>0</v>
      </c>
      <c r="AD206" s="102" t="e">
        <f t="shared" si="173"/>
        <v>#VALUE!</v>
      </c>
      <c r="AE206" s="102" t="e">
        <f t="shared" si="173"/>
        <v>#VALUE!</v>
      </c>
      <c r="AF206" s="102" t="e">
        <f t="shared" si="196"/>
        <v>#VALUE!</v>
      </c>
      <c r="AG206" s="102" t="e">
        <f t="shared" si="197"/>
        <v>#VALUE!</v>
      </c>
      <c r="AH206" s="102" t="e">
        <f t="shared" si="198"/>
        <v>#VALUE!</v>
      </c>
      <c r="AI206" s="102" t="e">
        <f t="shared" si="199"/>
        <v>#VALUE!</v>
      </c>
      <c r="AJ206" s="102" t="e">
        <f t="shared" si="200"/>
        <v>#VALUE!</v>
      </c>
      <c r="AK206" s="102" t="e">
        <f t="shared" si="201"/>
        <v>#VALUE!</v>
      </c>
      <c r="AL206" s="102" t="e">
        <f>VLOOKUP($AE206,Usinas!$B$3:$F$241,5,FALSE)</f>
        <v>#VALUE!</v>
      </c>
      <c r="AM206" s="102" t="e">
        <f>VLOOKUP($AE206,Usinas!$B$3:$H$241,7,FALSE)</f>
        <v>#VALUE!</v>
      </c>
      <c r="AN206" s="102" t="e">
        <f>VLOOKUP($AE206,Usinas!$B$3:$D$241,3,FALSE)</f>
        <v>#VALUE!</v>
      </c>
      <c r="AP206" s="103">
        <v>186</v>
      </c>
      <c r="AQ206" s="103" t="str">
        <f>IF(BA206=1,VLOOKUP($AP206,Usinas!$B$3:$F$244,2,0),"")</f>
        <v/>
      </c>
      <c r="AR206" s="103" t="str">
        <f>IF(BA206=1,VLOOKUP($AP206,Usinas!$B$3:$F$241,3,0),"")</f>
        <v/>
      </c>
      <c r="AS206" s="103" t="str">
        <f>IF(BA206,VLOOKUP($AP206,Usinas!$B$3:$F$244,4,0),"")</f>
        <v/>
      </c>
      <c r="AT206" s="103" t="str">
        <f t="shared" si="187"/>
        <v/>
      </c>
      <c r="AU206" s="104" t="str">
        <f t="shared" si="229"/>
        <v/>
      </c>
      <c r="AV206" s="104" t="str">
        <f t="shared" si="229"/>
        <v/>
      </c>
      <c r="AW206" s="104" t="str">
        <f t="shared" si="229"/>
        <v/>
      </c>
      <c r="AX206" s="104" t="str">
        <f t="shared" si="229"/>
        <v/>
      </c>
      <c r="AY206" s="104" t="str">
        <f t="shared" si="229"/>
        <v/>
      </c>
      <c r="AZ206" s="104" t="str">
        <f t="shared" si="229"/>
        <v/>
      </c>
      <c r="BA206" s="103">
        <f t="shared" si="188"/>
        <v>0</v>
      </c>
      <c r="BB206" s="103">
        <f t="shared" si="189"/>
        <v>0</v>
      </c>
      <c r="BC206" s="103" t="str">
        <f>IF(BA206=1,VLOOKUP($AP206,Usinas!$B$3:$H$244,7,0),"")</f>
        <v/>
      </c>
      <c r="BM206" s="105" t="e">
        <f t="shared" si="222"/>
        <v>#VALUE!</v>
      </c>
      <c r="BN206" s="105" t="e">
        <f t="shared" si="223"/>
        <v>#VALUE!</v>
      </c>
      <c r="BO206" s="151" t="e">
        <f>IF($BP$15=1,IFERROR(VLOOKUP(BN206,$BZ$20:CA369,2,0),0),VALUE(RIGHT(LEFT($B206,21),10)))</f>
        <v>#VALUE!</v>
      </c>
      <c r="BP206" s="105" t="e">
        <f t="shared" si="224"/>
        <v>#VALUE!</v>
      </c>
      <c r="BQ206" s="105" t="e">
        <f t="shared" si="225"/>
        <v>#VALUE!</v>
      </c>
      <c r="BR206" s="105" t="e">
        <f t="shared" si="226"/>
        <v>#VALUE!</v>
      </c>
      <c r="BS206" s="105" t="e">
        <f t="shared" si="227"/>
        <v>#VALUE!</v>
      </c>
      <c r="BT206" s="105" t="e">
        <f t="shared" si="228"/>
        <v>#VALUE!</v>
      </c>
      <c r="BV206" s="97" t="s">
        <v>331</v>
      </c>
      <c r="BW206" s="98">
        <f t="shared" si="218"/>
        <v>275</v>
      </c>
      <c r="BX206" s="97" t="str">
        <f t="shared" si="190"/>
        <v>PST 273</v>
      </c>
    </row>
    <row r="207" spans="2:76" x14ac:dyDescent="0.3">
      <c r="B207" s="99"/>
      <c r="C207" s="99"/>
      <c r="D207" s="99"/>
      <c r="E207" s="99"/>
      <c r="F207" s="99"/>
      <c r="G207" s="99"/>
      <c r="H207" s="99"/>
      <c r="I207" s="43"/>
      <c r="J207" s="99" t="str">
        <f t="shared" si="231"/>
        <v/>
      </c>
      <c r="X207" s="42" t="e">
        <v>#N/A</v>
      </c>
      <c r="Z207" s="101">
        <v>187</v>
      </c>
      <c r="AA207" s="101">
        <v>0</v>
      </c>
      <c r="AB207" s="101">
        <v>0</v>
      </c>
      <c r="AD207" s="102" t="e">
        <f t="shared" si="173"/>
        <v>#VALUE!</v>
      </c>
      <c r="AE207" s="102" t="e">
        <f t="shared" si="173"/>
        <v>#VALUE!</v>
      </c>
      <c r="AF207" s="102" t="e">
        <f t="shared" si="196"/>
        <v>#VALUE!</v>
      </c>
      <c r="AG207" s="102" t="e">
        <f t="shared" si="197"/>
        <v>#VALUE!</v>
      </c>
      <c r="AH207" s="102" t="e">
        <f t="shared" si="198"/>
        <v>#VALUE!</v>
      </c>
      <c r="AI207" s="102" t="e">
        <f t="shared" si="199"/>
        <v>#VALUE!</v>
      </c>
      <c r="AJ207" s="102" t="e">
        <f t="shared" si="200"/>
        <v>#VALUE!</v>
      </c>
      <c r="AK207" s="102" t="e">
        <f t="shared" si="201"/>
        <v>#VALUE!</v>
      </c>
      <c r="AL207" s="102" t="e">
        <f>VLOOKUP($AE207,Usinas!$B$3:$F$241,5,FALSE)</f>
        <v>#VALUE!</v>
      </c>
      <c r="AM207" s="102" t="e">
        <f>VLOOKUP($AE207,Usinas!$B$3:$H$241,7,FALSE)</f>
        <v>#VALUE!</v>
      </c>
      <c r="AN207" s="102" t="e">
        <f>VLOOKUP($AE207,Usinas!$B$3:$D$241,3,FALSE)</f>
        <v>#VALUE!</v>
      </c>
      <c r="AP207" s="103">
        <v>187</v>
      </c>
      <c r="AQ207" s="103" t="str">
        <f>IF(BA207=1,VLOOKUP($AP207,Usinas!$B$3:$F$244,2,0),"")</f>
        <v/>
      </c>
      <c r="AR207" s="103" t="str">
        <f>IF(BA207=1,VLOOKUP($AP207,Usinas!$B$3:$F$241,3,0),"")</f>
        <v/>
      </c>
      <c r="AS207" s="103" t="str">
        <f>IF(BA207,VLOOKUP($AP207,Usinas!$B$3:$F$244,4,0),"")</f>
        <v/>
      </c>
      <c r="AT207" s="103" t="str">
        <f t="shared" si="187"/>
        <v/>
      </c>
      <c r="AU207" s="104" t="str">
        <f t="shared" si="229"/>
        <v/>
      </c>
      <c r="AV207" s="104" t="str">
        <f t="shared" si="229"/>
        <v/>
      </c>
      <c r="AW207" s="104" t="str">
        <f t="shared" si="229"/>
        <v/>
      </c>
      <c r="AX207" s="104" t="str">
        <f t="shared" si="229"/>
        <v/>
      </c>
      <c r="AY207" s="104" t="str">
        <f t="shared" si="229"/>
        <v/>
      </c>
      <c r="AZ207" s="104" t="str">
        <f t="shared" si="229"/>
        <v/>
      </c>
      <c r="BA207" s="103">
        <f t="shared" si="188"/>
        <v>0</v>
      </c>
      <c r="BB207" s="103">
        <f t="shared" si="189"/>
        <v>0</v>
      </c>
      <c r="BC207" s="103" t="str">
        <f>IF(BA207=1,VLOOKUP($AP207,Usinas!$B$3:$H$244,7,0),"")</f>
        <v/>
      </c>
      <c r="BM207" s="105" t="e">
        <f t="shared" si="222"/>
        <v>#VALUE!</v>
      </c>
      <c r="BN207" s="105" t="e">
        <f t="shared" si="223"/>
        <v>#VALUE!</v>
      </c>
      <c r="BO207" s="151" t="e">
        <f>IF($BP$15=1,IFERROR(VLOOKUP(BN207,$BZ$20:CA370,2,0),0),VALUE(RIGHT(LEFT($B207,21),10)))</f>
        <v>#VALUE!</v>
      </c>
      <c r="BP207" s="105" t="e">
        <f t="shared" si="224"/>
        <v>#VALUE!</v>
      </c>
      <c r="BQ207" s="105" t="e">
        <f t="shared" si="225"/>
        <v>#VALUE!</v>
      </c>
      <c r="BR207" s="105" t="e">
        <f t="shared" si="226"/>
        <v>#VALUE!</v>
      </c>
      <c r="BS207" s="105" t="e">
        <f t="shared" si="227"/>
        <v>#VALUE!</v>
      </c>
      <c r="BT207" s="105" t="e">
        <f t="shared" si="228"/>
        <v>#VALUE!</v>
      </c>
      <c r="BV207" s="97" t="s">
        <v>331</v>
      </c>
      <c r="BW207" s="98">
        <f t="shared" si="218"/>
        <v>277</v>
      </c>
      <c r="BX207" s="97" t="str">
        <f t="shared" si="190"/>
        <v>PST 275</v>
      </c>
    </row>
    <row r="208" spans="2:76" x14ac:dyDescent="0.3">
      <c r="B208" s="99"/>
      <c r="C208" s="99"/>
      <c r="D208" s="99"/>
      <c r="E208" s="99"/>
      <c r="F208" s="99"/>
      <c r="G208" s="99"/>
      <c r="H208" s="99"/>
      <c r="I208" s="43"/>
      <c r="J208" s="99" t="str">
        <f t="shared" si="231"/>
        <v/>
      </c>
      <c r="X208" s="42" t="e">
        <v>#N/A</v>
      </c>
      <c r="Z208" s="101">
        <v>188</v>
      </c>
      <c r="AA208" s="101">
        <v>1</v>
      </c>
      <c r="AB208" s="101">
        <v>0.71499999999999997</v>
      </c>
      <c r="AD208" s="102" t="e">
        <f t="shared" si="173"/>
        <v>#VALUE!</v>
      </c>
      <c r="AE208" s="102" t="e">
        <f t="shared" si="173"/>
        <v>#VALUE!</v>
      </c>
      <c r="AF208" s="102" t="e">
        <f t="shared" si="196"/>
        <v>#VALUE!</v>
      </c>
      <c r="AG208" s="102" t="e">
        <f t="shared" si="197"/>
        <v>#VALUE!</v>
      </c>
      <c r="AH208" s="102" t="e">
        <f t="shared" si="198"/>
        <v>#VALUE!</v>
      </c>
      <c r="AI208" s="102" t="e">
        <f t="shared" si="199"/>
        <v>#VALUE!</v>
      </c>
      <c r="AJ208" s="102" t="e">
        <f t="shared" si="200"/>
        <v>#VALUE!</v>
      </c>
      <c r="AK208" s="102" t="e">
        <f t="shared" si="201"/>
        <v>#VALUE!</v>
      </c>
      <c r="AL208" s="102" t="e">
        <f>VLOOKUP($AE208,Usinas!$B$3:$F$241,5,FALSE)</f>
        <v>#VALUE!</v>
      </c>
      <c r="AM208" s="102" t="e">
        <f>VLOOKUP($AE208,Usinas!$B$3:$H$241,7,FALSE)</f>
        <v>#VALUE!</v>
      </c>
      <c r="AN208" s="102" t="e">
        <f>VLOOKUP($AE208,Usinas!$B$3:$D$241,3,FALSE)</f>
        <v>#VALUE!</v>
      </c>
      <c r="AP208" s="103">
        <v>188</v>
      </c>
      <c r="AQ208" s="103" t="str">
        <f>IF(BA208=1,VLOOKUP($AP208,Usinas!$B$3:$F$244,2,0),"")</f>
        <v>ITAPEBI</v>
      </c>
      <c r="AR208" s="103" t="str">
        <f>IF(BA208=1,VLOOKUP($AP208,Usinas!$B$3:$F$241,3,0),"")</f>
        <v>JEQUITINHONHA (NE)</v>
      </c>
      <c r="AS208" s="103" t="str">
        <f>IF(BA208,VLOOKUP($AP208,Usinas!$B$3:$F$244,4,0),"")</f>
        <v>NORDESTE</v>
      </c>
      <c r="AT208" s="103">
        <f t="shared" si="187"/>
        <v>0.71499999999999997</v>
      </c>
      <c r="AU208" s="104">
        <f t="shared" si="229"/>
        <v>474.76</v>
      </c>
      <c r="AV208" s="104">
        <f t="shared" si="229"/>
        <v>380.38</v>
      </c>
      <c r="AW208" s="104">
        <f t="shared" si="229"/>
        <v>265.97999999999996</v>
      </c>
      <c r="AX208" s="104">
        <f t="shared" si="229"/>
        <v>302.44499999999999</v>
      </c>
      <c r="AY208" s="104">
        <f t="shared" si="229"/>
        <v>352.495</v>
      </c>
      <c r="AZ208" s="104">
        <f t="shared" si="229"/>
        <v>266.69499999999999</v>
      </c>
      <c r="BA208" s="103">
        <f t="shared" si="188"/>
        <v>1</v>
      </c>
      <c r="BB208" s="103">
        <f t="shared" si="189"/>
        <v>0</v>
      </c>
      <c r="BC208" s="103" t="str">
        <f>IF(BA208=1,VLOOKUP($AP208,Usinas!$B$3:$H$244,7,0),"")</f>
        <v>NORDESTE</v>
      </c>
      <c r="BM208" s="105" t="e">
        <f t="shared" si="222"/>
        <v>#VALUE!</v>
      </c>
      <c r="BN208" s="105" t="e">
        <f t="shared" si="223"/>
        <v>#VALUE!</v>
      </c>
      <c r="BO208" s="151" t="e">
        <f>IF($BP$15=1,IFERROR(VLOOKUP(BN208,$BZ$20:CA371,2,0),0),VALUE(RIGHT(LEFT($B208,21),10)))</f>
        <v>#VALUE!</v>
      </c>
      <c r="BP208" s="105" t="e">
        <f t="shared" si="224"/>
        <v>#VALUE!</v>
      </c>
      <c r="BQ208" s="105" t="e">
        <f t="shared" si="225"/>
        <v>#VALUE!</v>
      </c>
      <c r="BR208" s="105" t="e">
        <f t="shared" si="226"/>
        <v>#VALUE!</v>
      </c>
      <c r="BS208" s="105" t="e">
        <f t="shared" si="227"/>
        <v>#VALUE!</v>
      </c>
      <c r="BT208" s="105" t="e">
        <f t="shared" si="228"/>
        <v>#VALUE!</v>
      </c>
      <c r="BV208" s="97" t="s">
        <v>331</v>
      </c>
      <c r="BW208" s="98">
        <f t="shared" si="218"/>
        <v>278</v>
      </c>
      <c r="BX208" s="97" t="str">
        <f t="shared" si="190"/>
        <v>PST 277</v>
      </c>
    </row>
    <row r="209" spans="2:76" x14ac:dyDescent="0.3">
      <c r="B209" s="99"/>
      <c r="C209" s="99"/>
      <c r="D209" s="99"/>
      <c r="E209" s="99"/>
      <c r="F209" s="99"/>
      <c r="G209" s="99"/>
      <c r="H209" s="99"/>
      <c r="I209" s="43"/>
      <c r="J209" s="99" t="str">
        <f t="shared" si="231"/>
        <v/>
      </c>
      <c r="X209" s="42" t="e">
        <v>#N/A</v>
      </c>
      <c r="Z209" s="101">
        <v>189</v>
      </c>
      <c r="AA209" s="101">
        <v>0</v>
      </c>
      <c r="AB209" s="101">
        <v>0</v>
      </c>
      <c r="AD209" s="102" t="e">
        <f t="shared" si="173"/>
        <v>#VALUE!</v>
      </c>
      <c r="AE209" s="102" t="e">
        <f t="shared" si="173"/>
        <v>#VALUE!</v>
      </c>
      <c r="AF209" s="102" t="e">
        <f t="shared" si="196"/>
        <v>#VALUE!</v>
      </c>
      <c r="AG209" s="102" t="e">
        <f t="shared" si="197"/>
        <v>#VALUE!</v>
      </c>
      <c r="AH209" s="102" t="e">
        <f t="shared" si="198"/>
        <v>#VALUE!</v>
      </c>
      <c r="AI209" s="102" t="e">
        <f t="shared" si="199"/>
        <v>#VALUE!</v>
      </c>
      <c r="AJ209" s="102" t="e">
        <f t="shared" si="200"/>
        <v>#VALUE!</v>
      </c>
      <c r="AK209" s="102" t="e">
        <f t="shared" si="201"/>
        <v>#VALUE!</v>
      </c>
      <c r="AL209" s="102" t="e">
        <f>VLOOKUP($AE209,Usinas!$B$3:$F$241,5,FALSE)</f>
        <v>#VALUE!</v>
      </c>
      <c r="AM209" s="102" t="e">
        <f>VLOOKUP($AE209,Usinas!$B$3:$H$241,7,FALSE)</f>
        <v>#VALUE!</v>
      </c>
      <c r="AN209" s="102" t="e">
        <f>VLOOKUP($AE209,Usinas!$B$3:$D$241,3,FALSE)</f>
        <v>#VALUE!</v>
      </c>
      <c r="AP209" s="103">
        <v>189</v>
      </c>
      <c r="AQ209" s="103" t="str">
        <f>IF(BA209=1,VLOOKUP($AP209,Usinas!$B$3:$F$244,2,0),"")</f>
        <v/>
      </c>
      <c r="AR209" s="103" t="str">
        <f>IF(BA209=1,VLOOKUP($AP209,Usinas!$B$3:$F$241,3,0),"")</f>
        <v/>
      </c>
      <c r="AS209" s="103" t="str">
        <f>IF(BA209,VLOOKUP($AP209,Usinas!$B$3:$F$244,4,0),"")</f>
        <v/>
      </c>
      <c r="AT209" s="103" t="str">
        <f t="shared" si="187"/>
        <v/>
      </c>
      <c r="AU209" s="104" t="str">
        <f t="shared" si="229"/>
        <v/>
      </c>
      <c r="AV209" s="104" t="str">
        <f t="shared" si="229"/>
        <v/>
      </c>
      <c r="AW209" s="104" t="str">
        <f t="shared" si="229"/>
        <v/>
      </c>
      <c r="AX209" s="104" t="str">
        <f t="shared" si="229"/>
        <v/>
      </c>
      <c r="AY209" s="104" t="str">
        <f t="shared" si="229"/>
        <v/>
      </c>
      <c r="AZ209" s="104" t="str">
        <f t="shared" si="229"/>
        <v/>
      </c>
      <c r="BA209" s="103">
        <f t="shared" si="188"/>
        <v>0</v>
      </c>
      <c r="BB209" s="103">
        <f t="shared" si="189"/>
        <v>0</v>
      </c>
      <c r="BC209" s="103" t="str">
        <f>IF(BA209=1,VLOOKUP($AP209,Usinas!$B$3:$H$244,7,0),"")</f>
        <v/>
      </c>
      <c r="BM209" s="105" t="e">
        <f t="shared" si="222"/>
        <v>#VALUE!</v>
      </c>
      <c r="BN209" s="105" t="e">
        <f t="shared" si="223"/>
        <v>#VALUE!</v>
      </c>
      <c r="BO209" s="151" t="e">
        <f>IF($BP$15=1,IFERROR(VLOOKUP(BN209,$BZ$20:CA372,2,0),0),VALUE(RIGHT(LEFT($B209,21),10)))</f>
        <v>#VALUE!</v>
      </c>
      <c r="BP209" s="105" t="e">
        <f t="shared" si="224"/>
        <v>#VALUE!</v>
      </c>
      <c r="BQ209" s="105" t="e">
        <f t="shared" si="225"/>
        <v>#VALUE!</v>
      </c>
      <c r="BR209" s="105" t="e">
        <f t="shared" si="226"/>
        <v>#VALUE!</v>
      </c>
      <c r="BS209" s="105" t="e">
        <f t="shared" si="227"/>
        <v>#VALUE!</v>
      </c>
      <c r="BT209" s="105" t="e">
        <f t="shared" si="228"/>
        <v>#VALUE!</v>
      </c>
      <c r="BV209" s="97" t="s">
        <v>331</v>
      </c>
      <c r="BW209" s="98">
        <f t="shared" si="218"/>
        <v>279</v>
      </c>
      <c r="BX209" s="97" t="str">
        <f t="shared" si="190"/>
        <v>PST 278</v>
      </c>
    </row>
    <row r="210" spans="2:76" x14ac:dyDescent="0.3">
      <c r="B210" s="99"/>
      <c r="C210" s="99"/>
      <c r="D210" s="99"/>
      <c r="E210" s="99"/>
      <c r="F210" s="99"/>
      <c r="G210" s="99"/>
      <c r="H210" s="99"/>
      <c r="I210" s="43"/>
      <c r="J210" s="99" t="str">
        <f t="shared" ref="J210:J211" si="232">IF(B210&lt;&gt;0,RIGHT("      "&amp;ROUND(AD210,0),6)&amp;(RIGHT("     "&amp;ROUND(AE210,0),5))&amp;RIGHT("          "&amp;ROUND(AF210,0),10)&amp;RIGHT("          "&amp;ROUND(AG210,),10)&amp;RIGHT("         "&amp;ROUND(AH210,0),10)&amp;RIGHT("          "&amp;ROUND(AI210,0),10)&amp;RIGHT("          "&amp;ROUND(AJ210,0),10)&amp;RIGHT("          "&amp;ROUND(AK210,0),10),"")</f>
        <v/>
      </c>
      <c r="X210" s="42" t="e">
        <v>#N/A</v>
      </c>
      <c r="Z210" s="101">
        <v>190</v>
      </c>
      <c r="AA210" s="101">
        <v>1</v>
      </c>
      <c r="AB210" s="101">
        <v>0.37840000000000001</v>
      </c>
      <c r="AD210" s="102" t="e">
        <f t="shared" si="173"/>
        <v>#VALUE!</v>
      </c>
      <c r="AE210" s="102" t="e">
        <f t="shared" si="173"/>
        <v>#VALUE!</v>
      </c>
      <c r="AF210" s="102" t="e">
        <f t="shared" si="196"/>
        <v>#VALUE!</v>
      </c>
      <c r="AG210" s="102" t="e">
        <f t="shared" si="197"/>
        <v>#VALUE!</v>
      </c>
      <c r="AH210" s="102" t="e">
        <f t="shared" si="198"/>
        <v>#VALUE!</v>
      </c>
      <c r="AI210" s="102" t="e">
        <f t="shared" si="199"/>
        <v>#VALUE!</v>
      </c>
      <c r="AJ210" s="102" t="e">
        <f t="shared" si="200"/>
        <v>#VALUE!</v>
      </c>
      <c r="AK210" s="102" t="e">
        <f t="shared" si="201"/>
        <v>#VALUE!</v>
      </c>
      <c r="AL210" s="102" t="e">
        <f>VLOOKUP($AE210,Usinas!$B$3:$F$241,5,FALSE)</f>
        <v>#VALUE!</v>
      </c>
      <c r="AM210" s="102" t="e">
        <f>VLOOKUP($AE210,Usinas!$B$3:$H$241,7,FALSE)</f>
        <v>#VALUE!</v>
      </c>
      <c r="AN210" s="102" t="e">
        <f>VLOOKUP($AE210,Usinas!$B$3:$D$241,3,FALSE)</f>
        <v>#VALUE!</v>
      </c>
      <c r="AP210" s="103">
        <v>190</v>
      </c>
      <c r="AQ210" s="103" t="str">
        <f>IF(BA210=1,VLOOKUP($AP210,Usinas!$B$3:$F$244,2,0),"")</f>
        <v>B. ESPERANCA</v>
      </c>
      <c r="AR210" s="103" t="str">
        <f>IF(BA210=1,VLOOKUP($AP210,Usinas!$B$3:$F$241,3,0),"")</f>
        <v>PARNAÍBA</v>
      </c>
      <c r="AS210" s="103" t="str">
        <f>IF(BA210,VLOOKUP($AP210,Usinas!$B$3:$F$244,4,0),"")</f>
        <v>NORDESTE</v>
      </c>
      <c r="AT210" s="103">
        <f t="shared" si="187"/>
        <v>0.37840000000000001</v>
      </c>
      <c r="AU210" s="104">
        <f t="shared" si="229"/>
        <v>139.25120000000001</v>
      </c>
      <c r="AV210" s="104">
        <f t="shared" si="229"/>
        <v>154.00880000000001</v>
      </c>
      <c r="AW210" s="104">
        <f t="shared" si="229"/>
        <v>168.7664</v>
      </c>
      <c r="AX210" s="104">
        <f t="shared" si="229"/>
        <v>169.5232</v>
      </c>
      <c r="AY210" s="104">
        <f t="shared" si="229"/>
        <v>212.66079999999999</v>
      </c>
      <c r="AZ210" s="104">
        <f t="shared" si="229"/>
        <v>245.58160000000001</v>
      </c>
      <c r="BA210" s="103">
        <f t="shared" si="188"/>
        <v>1</v>
      </c>
      <c r="BB210" s="103">
        <f t="shared" si="189"/>
        <v>0</v>
      </c>
      <c r="BC210" s="103" t="str">
        <f>IF(BA210=1,VLOOKUP($AP210,Usinas!$B$3:$H$244,7,0),"")</f>
        <v>NORDESTE</v>
      </c>
      <c r="BM210" s="105" t="e">
        <f t="shared" si="222"/>
        <v>#VALUE!</v>
      </c>
      <c r="BN210" s="105" t="e">
        <f t="shared" si="223"/>
        <v>#VALUE!</v>
      </c>
      <c r="BO210" s="151" t="e">
        <f>IF($BP$15=1,IFERROR(VLOOKUP(BN210,$BZ$20:CA373,2,0),0),VALUE(RIGHT(LEFT($B210,21),10)))</f>
        <v>#VALUE!</v>
      </c>
      <c r="BP210" s="105" t="e">
        <f t="shared" si="224"/>
        <v>#VALUE!</v>
      </c>
      <c r="BQ210" s="105" t="e">
        <f t="shared" si="225"/>
        <v>#VALUE!</v>
      </c>
      <c r="BR210" s="105" t="e">
        <f t="shared" si="226"/>
        <v>#VALUE!</v>
      </c>
      <c r="BS210" s="105" t="e">
        <f t="shared" si="227"/>
        <v>#VALUE!</v>
      </c>
      <c r="BT210" s="105" t="e">
        <f t="shared" si="228"/>
        <v>#VALUE!</v>
      </c>
      <c r="BV210" s="97" t="s">
        <v>331</v>
      </c>
      <c r="BW210" s="98">
        <f t="shared" si="218"/>
        <v>280</v>
      </c>
      <c r="BX210" s="97" t="str">
        <f t="shared" si="190"/>
        <v>PST 279</v>
      </c>
    </row>
    <row r="211" spans="2:76" x14ac:dyDescent="0.3">
      <c r="B211" s="99"/>
      <c r="C211" s="99"/>
      <c r="D211" s="99"/>
      <c r="E211" s="99"/>
      <c r="F211" s="99"/>
      <c r="G211" s="99"/>
      <c r="H211" s="99"/>
      <c r="I211" s="43"/>
      <c r="J211" s="99" t="str">
        <f t="shared" si="232"/>
        <v/>
      </c>
      <c r="X211" s="42" t="e">
        <v>#N/A</v>
      </c>
      <c r="Z211" s="101">
        <v>191</v>
      </c>
      <c r="AA211" s="101">
        <v>1</v>
      </c>
      <c r="AB211" s="101">
        <v>0.38679999999999998</v>
      </c>
      <c r="AD211" s="102" t="e">
        <f t="shared" si="173"/>
        <v>#VALUE!</v>
      </c>
      <c r="AE211" s="102" t="e">
        <f t="shared" si="173"/>
        <v>#VALUE!</v>
      </c>
      <c r="AF211" s="102" t="e">
        <f t="shared" si="196"/>
        <v>#VALUE!</v>
      </c>
      <c r="AG211" s="102" t="e">
        <f t="shared" si="197"/>
        <v>#VALUE!</v>
      </c>
      <c r="AH211" s="102" t="e">
        <f t="shared" si="198"/>
        <v>#VALUE!</v>
      </c>
      <c r="AI211" s="102" t="e">
        <f t="shared" si="199"/>
        <v>#VALUE!</v>
      </c>
      <c r="AJ211" s="102" t="e">
        <f t="shared" si="200"/>
        <v>#VALUE!</v>
      </c>
      <c r="AK211" s="102" t="e">
        <f t="shared" si="201"/>
        <v>#VALUE!</v>
      </c>
      <c r="AL211" s="102" t="e">
        <f>VLOOKUP($AE211,Usinas!$B$3:$F$241,5,FALSE)</f>
        <v>#VALUE!</v>
      </c>
      <c r="AM211" s="102" t="e">
        <f>VLOOKUP($AE211,Usinas!$B$3:$H$241,7,FALSE)</f>
        <v>#VALUE!</v>
      </c>
      <c r="AN211" s="102" t="e">
        <f>VLOOKUP($AE211,Usinas!$B$3:$D$241,3,FALSE)</f>
        <v>#VALUE!</v>
      </c>
      <c r="AP211" s="103">
        <v>191</v>
      </c>
      <c r="AQ211" s="103" t="str">
        <f>IF(BA211=1,VLOOKUP($AP211,Usinas!$B$3:$F$244,2,0),"")</f>
        <v>CANA BRAVA</v>
      </c>
      <c r="AR211" s="103" t="str">
        <f>IF(BA211=1,VLOOKUP($AP211,Usinas!$B$3:$F$241,3,0),"")</f>
        <v>TOCANTINS (SE)</v>
      </c>
      <c r="AS211" s="103" t="str">
        <f>IF(BA211,VLOOKUP($AP211,Usinas!$B$3:$F$244,4,0),"")</f>
        <v>SUDESTE</v>
      </c>
      <c r="AT211" s="103">
        <f t="shared" si="187"/>
        <v>0.38679999999999998</v>
      </c>
      <c r="AU211" s="104">
        <f t="shared" ref="AU211:AZ220" si="233">IF($BA211=1,IFERROR(VLOOKUP($AP211,$AE$21:$AK$211,AU$19,0),VLOOKUP($AP211,$BE$21:$BK$65,AU$19,0))*$AT211,"")</f>
        <v>417.35719999999998</v>
      </c>
      <c r="AV211" s="104">
        <f t="shared" si="233"/>
        <v>505.16079999999999</v>
      </c>
      <c r="AW211" s="104">
        <f t="shared" si="233"/>
        <v>480.0188</v>
      </c>
      <c r="AX211" s="104">
        <f t="shared" si="233"/>
        <v>465.7072</v>
      </c>
      <c r="AY211" s="104">
        <f t="shared" si="233"/>
        <v>561.24680000000001</v>
      </c>
      <c r="AZ211" s="104">
        <f t="shared" si="233"/>
        <v>492.00959999999998</v>
      </c>
      <c r="BA211" s="103">
        <f t="shared" si="188"/>
        <v>1</v>
      </c>
      <c r="BB211" s="103">
        <f t="shared" si="189"/>
        <v>0</v>
      </c>
      <c r="BC211" s="103" t="str">
        <f>IF(BA211=1,VLOOKUP($AP211,Usinas!$B$3:$H$244,7,0),"")</f>
        <v>SUDESTE</v>
      </c>
      <c r="BM211" s="105" t="e">
        <f t="shared" si="222"/>
        <v>#VALUE!</v>
      </c>
      <c r="BN211" s="105" t="e">
        <f t="shared" si="223"/>
        <v>#VALUE!</v>
      </c>
      <c r="BO211" s="151" t="e">
        <f>IF($BP$15=1,IFERROR(VLOOKUP(BN211,$BZ$20:CA374,2,0),0),VALUE(RIGHT(LEFT($B211,21),10)))</f>
        <v>#VALUE!</v>
      </c>
      <c r="BP211" s="105" t="e">
        <f t="shared" si="224"/>
        <v>#VALUE!</v>
      </c>
      <c r="BQ211" s="105" t="e">
        <f t="shared" si="225"/>
        <v>#VALUE!</v>
      </c>
      <c r="BR211" s="105" t="e">
        <f t="shared" si="226"/>
        <v>#VALUE!</v>
      </c>
      <c r="BS211" s="105" t="e">
        <f t="shared" si="227"/>
        <v>#VALUE!</v>
      </c>
      <c r="BT211" s="105" t="e">
        <f t="shared" si="228"/>
        <v>#VALUE!</v>
      </c>
      <c r="BV211" s="97" t="s">
        <v>331</v>
      </c>
      <c r="BW211" s="98">
        <f t="shared" si="218"/>
        <v>281</v>
      </c>
      <c r="BX211" s="97" t="str">
        <f t="shared" si="190"/>
        <v>PST 280</v>
      </c>
    </row>
    <row r="212" spans="2:76" x14ac:dyDescent="0.3">
      <c r="X212" s="42" t="e">
        <v>#N/A</v>
      </c>
      <c r="Z212" s="101">
        <v>192</v>
      </c>
      <c r="AA212" s="101">
        <v>0</v>
      </c>
      <c r="AB212" s="101">
        <v>0</v>
      </c>
      <c r="AP212" s="103">
        <v>192</v>
      </c>
      <c r="AQ212" s="103" t="str">
        <f>IF(BA212=1,VLOOKUP($AP212,Usinas!$B$3:$F$244,2,0),"")</f>
        <v/>
      </c>
      <c r="AR212" s="103" t="str">
        <f>IF(BA212=1,VLOOKUP($AP212,Usinas!$B$3:$F$241,3,0),"")</f>
        <v/>
      </c>
      <c r="AS212" s="103" t="str">
        <f>IF(BA212,VLOOKUP($AP212,Usinas!$B$3:$F$244,4,0),"")</f>
        <v/>
      </c>
      <c r="AT212" s="103" t="str">
        <f t="shared" si="187"/>
        <v/>
      </c>
      <c r="AU212" s="104" t="str">
        <f t="shared" si="233"/>
        <v/>
      </c>
      <c r="AV212" s="104" t="str">
        <f t="shared" si="233"/>
        <v/>
      </c>
      <c r="AW212" s="104" t="str">
        <f t="shared" si="233"/>
        <v/>
      </c>
      <c r="AX212" s="104" t="str">
        <f t="shared" si="233"/>
        <v/>
      </c>
      <c r="AY212" s="104" t="str">
        <f t="shared" si="233"/>
        <v/>
      </c>
      <c r="AZ212" s="104" t="str">
        <f t="shared" si="233"/>
        <v/>
      </c>
      <c r="BA212" s="103">
        <f t="shared" si="188"/>
        <v>0</v>
      </c>
      <c r="BB212" s="103">
        <f t="shared" si="189"/>
        <v>0</v>
      </c>
      <c r="BC212" s="103" t="str">
        <f>IF(BA212=1,VLOOKUP($AP212,Usinas!$B$3:$H$244,7,0),"")</f>
        <v/>
      </c>
      <c r="BV212" s="97" t="s">
        <v>331</v>
      </c>
      <c r="BW212" s="98">
        <f t="shared" si="218"/>
        <v>283</v>
      </c>
      <c r="BX212" s="97" t="str">
        <f t="shared" si="190"/>
        <v>PST 281</v>
      </c>
    </row>
    <row r="213" spans="2:76" x14ac:dyDescent="0.3">
      <c r="X213" s="42" t="e">
        <v>#N/A</v>
      </c>
      <c r="Z213" s="101">
        <v>193</v>
      </c>
      <c r="AA213" s="101">
        <v>0</v>
      </c>
      <c r="AB213" s="101">
        <v>0</v>
      </c>
      <c r="AP213" s="103">
        <v>193</v>
      </c>
      <c r="AQ213" s="103" t="str">
        <f>IF(BA213=1,VLOOKUP($AP213,Usinas!$B$3:$F$244,2,0),"")</f>
        <v/>
      </c>
      <c r="AR213" s="103" t="str">
        <f>IF(BA213=1,VLOOKUP($AP213,Usinas!$B$3:$F$241,3,0),"")</f>
        <v/>
      </c>
      <c r="AS213" s="103" t="str">
        <f>IF(BA213,VLOOKUP($AP213,Usinas!$B$3:$F$244,4,0),"")</f>
        <v/>
      </c>
      <c r="AT213" s="103" t="str">
        <f t="shared" si="187"/>
        <v/>
      </c>
      <c r="AU213" s="104" t="str">
        <f t="shared" si="233"/>
        <v/>
      </c>
      <c r="AV213" s="104" t="str">
        <f t="shared" si="233"/>
        <v/>
      </c>
      <c r="AW213" s="104" t="str">
        <f t="shared" si="233"/>
        <v/>
      </c>
      <c r="AX213" s="104" t="str">
        <f t="shared" si="233"/>
        <v/>
      </c>
      <c r="AY213" s="104" t="str">
        <f t="shared" si="233"/>
        <v/>
      </c>
      <c r="AZ213" s="104" t="str">
        <f t="shared" si="233"/>
        <v/>
      </c>
      <c r="BA213" s="103">
        <f t="shared" si="188"/>
        <v>0</v>
      </c>
      <c r="BB213" s="103">
        <f t="shared" si="189"/>
        <v>0</v>
      </c>
      <c r="BC213" s="103" t="str">
        <f>IF(BA213=1,VLOOKUP($AP213,Usinas!$B$3:$H$244,7,0),"")</f>
        <v/>
      </c>
      <c r="BV213" s="97" t="s">
        <v>331</v>
      </c>
      <c r="BW213" s="98">
        <f t="shared" si="218"/>
        <v>284</v>
      </c>
      <c r="BX213" s="97" t="str">
        <f t="shared" si="190"/>
        <v>PST 283</v>
      </c>
    </row>
    <row r="214" spans="2:76" x14ac:dyDescent="0.3">
      <c r="X214" s="42" t="e">
        <v>#N/A</v>
      </c>
      <c r="Z214" s="101">
        <v>194</v>
      </c>
      <c r="AA214" s="101">
        <v>0</v>
      </c>
      <c r="AB214" s="101">
        <v>0</v>
      </c>
      <c r="AP214" s="103">
        <v>194</v>
      </c>
      <c r="AQ214" s="103" t="str">
        <f>IF(BA214=1,VLOOKUP($AP214,Usinas!$B$3:$F$244,2,0),"")</f>
        <v/>
      </c>
      <c r="AR214" s="103" t="str">
        <f>IF(BA214=1,VLOOKUP($AP214,Usinas!$B$3:$F$241,3,0),"")</f>
        <v/>
      </c>
      <c r="AS214" s="103" t="str">
        <f>IF(BA214,VLOOKUP($AP214,Usinas!$B$3:$F$244,4,0),"")</f>
        <v/>
      </c>
      <c r="AT214" s="103" t="str">
        <f t="shared" ref="AT214:AT277" si="234">IF(BA214=1,VLOOKUP($AP214,$Z$21:$AB$372,3,0),"")</f>
        <v/>
      </c>
      <c r="AU214" s="104" t="str">
        <f t="shared" si="233"/>
        <v/>
      </c>
      <c r="AV214" s="104" t="str">
        <f t="shared" si="233"/>
        <v/>
      </c>
      <c r="AW214" s="104" t="str">
        <f t="shared" si="233"/>
        <v/>
      </c>
      <c r="AX214" s="104" t="str">
        <f t="shared" si="233"/>
        <v/>
      </c>
      <c r="AY214" s="104" t="str">
        <f t="shared" si="233"/>
        <v/>
      </c>
      <c r="AZ214" s="104" t="str">
        <f t="shared" si="233"/>
        <v/>
      </c>
      <c r="BA214" s="103">
        <f t="shared" ref="BA214:BA277" si="235">VLOOKUP(AP214,$Z$21:$AA$372,2,0)</f>
        <v>0</v>
      </c>
      <c r="BB214" s="103">
        <f t="shared" ref="BB214:BB277" si="236">IF(BA214=0,0,IF(OR(ISNA(AR214),ISNA(AS214),ISNA(AT214),ISNA(AU214),ISNA(AV214),ISNA(AW214),ISNA(AX214),ISNA(AY214),ISNA(AZ214)),1,0))</f>
        <v>0</v>
      </c>
      <c r="BC214" s="103" t="str">
        <f>IF(BA214=1,VLOOKUP($AP214,Usinas!$B$3:$H$244,7,0),"")</f>
        <v/>
      </c>
      <c r="BV214" s="97" t="s">
        <v>331</v>
      </c>
      <c r="BW214" s="98">
        <f t="shared" si="218"/>
        <v>285</v>
      </c>
      <c r="BX214" s="97" t="str">
        <f t="shared" ref="BX214:BX250" si="237">IFERROR(BV213&amp;" "&amp;BW213,"")</f>
        <v>PST 284</v>
      </c>
    </row>
    <row r="215" spans="2:76" x14ac:dyDescent="0.3">
      <c r="X215" s="42" t="e">
        <v>#N/A</v>
      </c>
      <c r="Z215" s="101">
        <v>195</v>
      </c>
      <c r="AA215" s="101">
        <v>0</v>
      </c>
      <c r="AB215" s="101">
        <v>0</v>
      </c>
      <c r="AP215" s="103">
        <v>195</v>
      </c>
      <c r="AQ215" s="103" t="str">
        <f>IF(BA215=1,VLOOKUP($AP215,Usinas!$B$3:$F$244,2,0),"")</f>
        <v/>
      </c>
      <c r="AR215" s="103" t="str">
        <f>IF(BA215=1,VLOOKUP($AP215,Usinas!$B$3:$F$241,3,0),"")</f>
        <v/>
      </c>
      <c r="AS215" s="103" t="str">
        <f>IF(BA215,VLOOKUP($AP215,Usinas!$B$3:$F$244,4,0),"")</f>
        <v/>
      </c>
      <c r="AT215" s="103" t="str">
        <f t="shared" si="234"/>
        <v/>
      </c>
      <c r="AU215" s="104" t="str">
        <f t="shared" si="233"/>
        <v/>
      </c>
      <c r="AV215" s="104" t="str">
        <f t="shared" si="233"/>
        <v/>
      </c>
      <c r="AW215" s="104" t="str">
        <f t="shared" si="233"/>
        <v/>
      </c>
      <c r="AX215" s="104" t="str">
        <f t="shared" si="233"/>
        <v/>
      </c>
      <c r="AY215" s="104" t="str">
        <f t="shared" si="233"/>
        <v/>
      </c>
      <c r="AZ215" s="104" t="str">
        <f t="shared" si="233"/>
        <v/>
      </c>
      <c r="BA215" s="103">
        <f t="shared" si="235"/>
        <v>0</v>
      </c>
      <c r="BB215" s="103">
        <f t="shared" si="236"/>
        <v>0</v>
      </c>
      <c r="BC215" s="103" t="str">
        <f>IF(BA215=1,VLOOKUP($AP215,Usinas!$B$3:$H$244,7,0),"")</f>
        <v/>
      </c>
      <c r="BV215" s="97" t="s">
        <v>331</v>
      </c>
      <c r="BW215" s="98">
        <f t="shared" si="218"/>
        <v>286</v>
      </c>
      <c r="BX215" s="97" t="str">
        <f t="shared" si="237"/>
        <v>PST 285</v>
      </c>
    </row>
    <row r="216" spans="2:76" x14ac:dyDescent="0.3">
      <c r="X216" s="42" t="e">
        <v>#N/A</v>
      </c>
      <c r="Z216" s="101">
        <v>196</v>
      </c>
      <c r="AA216" s="101">
        <v>1</v>
      </c>
      <c r="AB216" s="101">
        <v>1.6902999999999999</v>
      </c>
      <c r="AP216" s="103">
        <v>196</v>
      </c>
      <c r="AQ216" s="103" t="str">
        <f>IF(BA216=1,VLOOKUP($AP216,Usinas!$B$3:$F$244,2,0),"")</f>
        <v>ROSAL</v>
      </c>
      <c r="AR216" s="103" t="str">
        <f>IF(BA216=1,VLOOKUP($AP216,Usinas!$B$3:$F$241,3,0),"")</f>
        <v>ITABAPOANA</v>
      </c>
      <c r="AS216" s="103" t="str">
        <f>IF(BA216,VLOOKUP($AP216,Usinas!$B$3:$F$244,4,0),"")</f>
        <v>SUDESTE</v>
      </c>
      <c r="AT216" s="103">
        <f t="shared" si="234"/>
        <v>1.6902999999999999</v>
      </c>
      <c r="AU216" s="104">
        <f t="shared" si="233"/>
        <v>150.4367</v>
      </c>
      <c r="AV216" s="104">
        <f t="shared" si="233"/>
        <v>170.72029999999998</v>
      </c>
      <c r="AW216" s="104">
        <f t="shared" si="233"/>
        <v>121.7016</v>
      </c>
      <c r="AX216" s="104">
        <f t="shared" si="233"/>
        <v>118.321</v>
      </c>
      <c r="AY216" s="104">
        <f t="shared" si="233"/>
        <v>118.321</v>
      </c>
      <c r="AZ216" s="104">
        <f t="shared" si="233"/>
        <v>99.727699999999999</v>
      </c>
      <c r="BA216" s="103">
        <f t="shared" si="235"/>
        <v>1</v>
      </c>
      <c r="BB216" s="103">
        <f t="shared" si="236"/>
        <v>0</v>
      </c>
      <c r="BC216" s="103" t="str">
        <f>IF(BA216=1,VLOOKUP($AP216,Usinas!$B$3:$H$244,7,0),"")</f>
        <v>SUDESTE</v>
      </c>
      <c r="BV216" s="97" t="s">
        <v>331</v>
      </c>
      <c r="BW216" s="98">
        <f t="shared" si="218"/>
        <v>287</v>
      </c>
      <c r="BX216" s="97" t="str">
        <f t="shared" si="237"/>
        <v>PST 286</v>
      </c>
    </row>
    <row r="217" spans="2:76" x14ac:dyDescent="0.3">
      <c r="X217" s="42" t="e">
        <v>#N/A</v>
      </c>
      <c r="Z217" s="101">
        <v>197</v>
      </c>
      <c r="AA217" s="101">
        <v>1</v>
      </c>
      <c r="AB217" s="101">
        <v>1.1546000000000001</v>
      </c>
      <c r="AP217" s="103">
        <v>197</v>
      </c>
      <c r="AQ217" s="103" t="str">
        <f>IF(BA217=1,VLOOKUP($AP217,Usinas!$B$3:$F$244,2,0),"")</f>
        <v>PICADA</v>
      </c>
      <c r="AR217" s="103" t="str">
        <f>IF(BA217=1,VLOOKUP($AP217,Usinas!$B$3:$F$241,3,0),"")</f>
        <v>PARAÍBA DO SUL</v>
      </c>
      <c r="AS217" s="103" t="str">
        <f>IF(BA217,VLOOKUP($AP217,Usinas!$B$3:$F$244,4,0),"")</f>
        <v>SUDESTE</v>
      </c>
      <c r="AT217" s="103">
        <f t="shared" si="234"/>
        <v>1.1546000000000001</v>
      </c>
      <c r="AU217" s="104">
        <f t="shared" si="233"/>
        <v>65.812200000000004</v>
      </c>
      <c r="AV217" s="104">
        <f t="shared" si="233"/>
        <v>70.430599999999998</v>
      </c>
      <c r="AW217" s="104">
        <f t="shared" si="233"/>
        <v>78.512799999999999</v>
      </c>
      <c r="AX217" s="104">
        <f t="shared" si="233"/>
        <v>68.121400000000008</v>
      </c>
      <c r="AY217" s="104">
        <f t="shared" si="233"/>
        <v>60.039200000000001</v>
      </c>
      <c r="AZ217" s="104">
        <f t="shared" si="233"/>
        <v>60.039200000000001</v>
      </c>
      <c r="BA217" s="103">
        <f t="shared" si="235"/>
        <v>1</v>
      </c>
      <c r="BB217" s="103">
        <f t="shared" si="236"/>
        <v>0</v>
      </c>
      <c r="BC217" s="103" t="str">
        <f>IF(BA217=1,VLOOKUP($AP217,Usinas!$B$3:$H$244,7,0),"")</f>
        <v>SUDESTE</v>
      </c>
      <c r="BV217" s="97" t="s">
        <v>331</v>
      </c>
      <c r="BW217" s="98">
        <f t="shared" si="218"/>
        <v>288</v>
      </c>
      <c r="BX217" s="97" t="str">
        <f t="shared" si="237"/>
        <v>PST 287</v>
      </c>
    </row>
    <row r="218" spans="2:76" x14ac:dyDescent="0.3">
      <c r="X218" s="42" t="e">
        <v>#N/A</v>
      </c>
      <c r="Z218" s="101">
        <v>198</v>
      </c>
      <c r="AA218" s="101">
        <v>1</v>
      </c>
      <c r="AB218" s="101">
        <v>0.71640000000000004</v>
      </c>
      <c r="AP218" s="103">
        <v>198</v>
      </c>
      <c r="AQ218" s="103" t="str">
        <f>IF(BA218=1,VLOOKUP($AP218,Usinas!$B$3:$F$244,2,0),"")</f>
        <v>SOBRAGI</v>
      </c>
      <c r="AR218" s="103" t="str">
        <f>IF(BA218=1,VLOOKUP($AP218,Usinas!$B$3:$F$241,3,0),"")</f>
        <v>PARAÍBA DO SUL</v>
      </c>
      <c r="AS218" s="103" t="str">
        <f>IF(BA218,VLOOKUP($AP218,Usinas!$B$3:$F$244,4,0),"")</f>
        <v>SUDESTE</v>
      </c>
      <c r="AT218" s="103">
        <f t="shared" si="234"/>
        <v>0.71640000000000004</v>
      </c>
      <c r="AU218" s="104">
        <f t="shared" si="233"/>
        <v>93.848399999999998</v>
      </c>
      <c r="AV218" s="104">
        <f t="shared" si="233"/>
        <v>100.29600000000001</v>
      </c>
      <c r="AW218" s="104">
        <f t="shared" si="233"/>
        <v>110.32560000000001</v>
      </c>
      <c r="AX218" s="104">
        <f t="shared" si="233"/>
        <v>88.117200000000011</v>
      </c>
      <c r="AY218" s="104">
        <f t="shared" si="233"/>
        <v>80.236800000000002</v>
      </c>
      <c r="AZ218" s="104">
        <f t="shared" si="233"/>
        <v>80.236800000000002</v>
      </c>
      <c r="BA218" s="103">
        <f t="shared" si="235"/>
        <v>1</v>
      </c>
      <c r="BB218" s="103">
        <f t="shared" si="236"/>
        <v>0</v>
      </c>
      <c r="BC218" s="103" t="str">
        <f>IF(BA218=1,VLOOKUP($AP218,Usinas!$B$3:$H$244,7,0),"")</f>
        <v>SUDESTE</v>
      </c>
      <c r="BV218" s="97" t="s">
        <v>331</v>
      </c>
      <c r="BW218" s="98">
        <f t="shared" si="218"/>
        <v>290</v>
      </c>
      <c r="BX218" s="97" t="str">
        <f t="shared" si="237"/>
        <v>PST 288</v>
      </c>
    </row>
    <row r="219" spans="2:76" x14ac:dyDescent="0.3">
      <c r="X219" s="42" t="e">
        <v>#N/A</v>
      </c>
      <c r="Z219" s="101">
        <v>199</v>
      </c>
      <c r="AA219" s="101">
        <v>0</v>
      </c>
      <c r="AB219" s="101">
        <v>0</v>
      </c>
      <c r="AP219" s="103">
        <v>199</v>
      </c>
      <c r="AQ219" s="103" t="str">
        <f>IF(BA219=1,VLOOKUP($AP219,Usinas!$B$3:$F$244,2,0),"")</f>
        <v/>
      </c>
      <c r="AR219" s="103" t="str">
        <f>IF(BA219=1,VLOOKUP($AP219,Usinas!$B$3:$F$241,3,0),"")</f>
        <v/>
      </c>
      <c r="AS219" s="103" t="str">
        <f>IF(BA219,VLOOKUP($AP219,Usinas!$B$3:$F$244,4,0),"")</f>
        <v/>
      </c>
      <c r="AT219" s="103" t="str">
        <f t="shared" si="234"/>
        <v/>
      </c>
      <c r="AU219" s="104" t="str">
        <f t="shared" si="233"/>
        <v/>
      </c>
      <c r="AV219" s="104" t="str">
        <f t="shared" si="233"/>
        <v/>
      </c>
      <c r="AW219" s="104" t="str">
        <f t="shared" si="233"/>
        <v/>
      </c>
      <c r="AX219" s="104" t="str">
        <f t="shared" si="233"/>
        <v/>
      </c>
      <c r="AY219" s="104" t="str">
        <f t="shared" si="233"/>
        <v/>
      </c>
      <c r="AZ219" s="104" t="str">
        <f t="shared" si="233"/>
        <v/>
      </c>
      <c r="BA219" s="103">
        <f t="shared" si="235"/>
        <v>0</v>
      </c>
      <c r="BB219" s="103">
        <f t="shared" si="236"/>
        <v>0</v>
      </c>
      <c r="BC219" s="103" t="str">
        <f>IF(BA219=1,VLOOKUP($AP219,Usinas!$B$3:$H$244,7,0),"")</f>
        <v/>
      </c>
      <c r="BV219" s="97" t="s">
        <v>331</v>
      </c>
      <c r="BW219" s="98">
        <f t="shared" ref="BW219:BW249" si="238">AE181</f>
        <v>291</v>
      </c>
      <c r="BX219" s="97" t="str">
        <f t="shared" si="237"/>
        <v>PST 290</v>
      </c>
    </row>
    <row r="220" spans="2:76" x14ac:dyDescent="0.3">
      <c r="X220" s="42" t="e">
        <v>#N/A</v>
      </c>
      <c r="Z220" s="101">
        <v>200</v>
      </c>
      <c r="AA220" s="101">
        <v>0</v>
      </c>
      <c r="AB220" s="101">
        <v>0</v>
      </c>
      <c r="AP220" s="103">
        <v>200</v>
      </c>
      <c r="AQ220" s="103" t="str">
        <f>IF(BA220=1,VLOOKUP($AP220,Usinas!$B$3:$F$244,2,0),"")</f>
        <v/>
      </c>
      <c r="AR220" s="103" t="str">
        <f>IF(BA220=1,VLOOKUP($AP220,Usinas!$B$3:$F$241,3,0),"")</f>
        <v/>
      </c>
      <c r="AS220" s="103" t="str">
        <f>IF(BA220,VLOOKUP($AP220,Usinas!$B$3:$F$244,4,0),"")</f>
        <v/>
      </c>
      <c r="AT220" s="103" t="str">
        <f t="shared" si="234"/>
        <v/>
      </c>
      <c r="AU220" s="104" t="str">
        <f t="shared" si="233"/>
        <v/>
      </c>
      <c r="AV220" s="104" t="str">
        <f t="shared" si="233"/>
        <v/>
      </c>
      <c r="AW220" s="104" t="str">
        <f t="shared" si="233"/>
        <v/>
      </c>
      <c r="AX220" s="104" t="str">
        <f t="shared" si="233"/>
        <v/>
      </c>
      <c r="AY220" s="104" t="str">
        <f t="shared" si="233"/>
        <v/>
      </c>
      <c r="AZ220" s="104" t="str">
        <f t="shared" si="233"/>
        <v/>
      </c>
      <c r="BA220" s="103">
        <f t="shared" si="235"/>
        <v>0</v>
      </c>
      <c r="BB220" s="103">
        <f t="shared" si="236"/>
        <v>0</v>
      </c>
      <c r="BC220" s="103" t="str">
        <f>IF(BA220=1,VLOOKUP($AP220,Usinas!$B$3:$H$244,7,0),"")</f>
        <v/>
      </c>
      <c r="BV220" s="97" t="s">
        <v>331</v>
      </c>
      <c r="BW220" s="98">
        <f t="shared" si="238"/>
        <v>294</v>
      </c>
      <c r="BX220" s="97" t="str">
        <f t="shared" si="237"/>
        <v>PST 291</v>
      </c>
    </row>
    <row r="221" spans="2:76" x14ac:dyDescent="0.3">
      <c r="X221" s="42" t="e">
        <v>#N/A</v>
      </c>
      <c r="Z221" s="101">
        <v>201</v>
      </c>
      <c r="AA221" s="101">
        <v>0</v>
      </c>
      <c r="AB221" s="101">
        <v>0</v>
      </c>
      <c r="AP221" s="103">
        <v>201</v>
      </c>
      <c r="AQ221" s="103" t="str">
        <f>IF(BA221=1,VLOOKUP($AP221,Usinas!$B$3:$F$244,2,0),"")</f>
        <v/>
      </c>
      <c r="AR221" s="103" t="str">
        <f>IF(BA221=1,VLOOKUP($AP221,Usinas!$B$3:$F$241,3,0),"")</f>
        <v/>
      </c>
      <c r="AS221" s="103" t="str">
        <f>IF(BA221,VLOOKUP($AP221,Usinas!$B$3:$F$244,4,0),"")</f>
        <v/>
      </c>
      <c r="AT221" s="103" t="str">
        <f t="shared" si="234"/>
        <v/>
      </c>
      <c r="AU221" s="104" t="str">
        <f t="shared" ref="AU221:AZ230" si="239">IF($BA221=1,IFERROR(VLOOKUP($AP221,$AE$21:$AK$211,AU$19,0),VLOOKUP($AP221,$BE$21:$BK$65,AU$19,0))*$AT221,"")</f>
        <v/>
      </c>
      <c r="AV221" s="104" t="str">
        <f t="shared" si="239"/>
        <v/>
      </c>
      <c r="AW221" s="104" t="str">
        <f t="shared" si="239"/>
        <v/>
      </c>
      <c r="AX221" s="104" t="str">
        <f t="shared" si="239"/>
        <v/>
      </c>
      <c r="AY221" s="104" t="str">
        <f t="shared" si="239"/>
        <v/>
      </c>
      <c r="AZ221" s="104" t="str">
        <f t="shared" si="239"/>
        <v/>
      </c>
      <c r="BA221" s="103">
        <f t="shared" si="235"/>
        <v>0</v>
      </c>
      <c r="BB221" s="103">
        <f t="shared" si="236"/>
        <v>0</v>
      </c>
      <c r="BC221" s="103" t="str">
        <f>IF(BA221=1,VLOOKUP($AP221,Usinas!$B$3:$H$244,7,0),"")</f>
        <v/>
      </c>
      <c r="BV221" s="97" t="s">
        <v>331</v>
      </c>
      <c r="BW221" s="98">
        <f t="shared" si="238"/>
        <v>295</v>
      </c>
      <c r="BX221" s="97" t="str">
        <f t="shared" si="237"/>
        <v>PST 294</v>
      </c>
    </row>
    <row r="222" spans="2:76" x14ac:dyDescent="0.3">
      <c r="X222" s="42" t="e">
        <v>#N/A</v>
      </c>
      <c r="Z222" s="101">
        <v>202</v>
      </c>
      <c r="AA222" s="101">
        <v>0</v>
      </c>
      <c r="AB222" s="101">
        <v>0</v>
      </c>
      <c r="AP222" s="103">
        <v>202</v>
      </c>
      <c r="AQ222" s="103" t="str">
        <f>IF(BA222=1,VLOOKUP($AP222,Usinas!$B$3:$F$244,2,0),"")</f>
        <v/>
      </c>
      <c r="AR222" s="103" t="str">
        <f>IF(BA222=1,VLOOKUP($AP222,Usinas!$B$3:$F$241,3,0),"")</f>
        <v/>
      </c>
      <c r="AS222" s="103" t="str">
        <f>IF(BA222,VLOOKUP($AP222,Usinas!$B$3:$F$244,4,0),"")</f>
        <v/>
      </c>
      <c r="AT222" s="103" t="str">
        <f t="shared" si="234"/>
        <v/>
      </c>
      <c r="AU222" s="104" t="str">
        <f t="shared" si="239"/>
        <v/>
      </c>
      <c r="AV222" s="104" t="str">
        <f t="shared" si="239"/>
        <v/>
      </c>
      <c r="AW222" s="104" t="str">
        <f t="shared" si="239"/>
        <v/>
      </c>
      <c r="AX222" s="104" t="str">
        <f t="shared" si="239"/>
        <v/>
      </c>
      <c r="AY222" s="104" t="str">
        <f t="shared" si="239"/>
        <v/>
      </c>
      <c r="AZ222" s="104" t="str">
        <f t="shared" si="239"/>
        <v/>
      </c>
      <c r="BA222" s="103">
        <f t="shared" si="235"/>
        <v>0</v>
      </c>
      <c r="BB222" s="103">
        <f t="shared" si="236"/>
        <v>0</v>
      </c>
      <c r="BC222" s="103" t="str">
        <f>IF(BA222=1,VLOOKUP($AP222,Usinas!$B$3:$H$244,7,0),"")</f>
        <v/>
      </c>
      <c r="BV222" s="97" t="s">
        <v>331</v>
      </c>
      <c r="BW222" s="98">
        <f t="shared" si="238"/>
        <v>296</v>
      </c>
      <c r="BX222" s="97" t="str">
        <f t="shared" si="237"/>
        <v>PST 295</v>
      </c>
    </row>
    <row r="223" spans="2:76" x14ac:dyDescent="0.3">
      <c r="X223" s="42" t="e">
        <v>#N/A</v>
      </c>
      <c r="Z223" s="101">
        <v>203</v>
      </c>
      <c r="AA223" s="101">
        <v>0</v>
      </c>
      <c r="AB223" s="101">
        <v>0</v>
      </c>
      <c r="AP223" s="103">
        <v>203</v>
      </c>
      <c r="AQ223" s="103" t="str">
        <f>IF(BA223=1,VLOOKUP($AP223,Usinas!$B$3:$F$244,2,0),"")</f>
        <v/>
      </c>
      <c r="AR223" s="103" t="str">
        <f>IF(BA223=1,VLOOKUP($AP223,Usinas!$B$3:$F$241,3,0),"")</f>
        <v/>
      </c>
      <c r="AS223" s="103" t="str">
        <f>IF(BA223,VLOOKUP($AP223,Usinas!$B$3:$F$244,4,0),"")</f>
        <v/>
      </c>
      <c r="AT223" s="103" t="str">
        <f t="shared" si="234"/>
        <v/>
      </c>
      <c r="AU223" s="104" t="str">
        <f t="shared" si="239"/>
        <v/>
      </c>
      <c r="AV223" s="104" t="str">
        <f t="shared" si="239"/>
        <v/>
      </c>
      <c r="AW223" s="104" t="str">
        <f t="shared" si="239"/>
        <v/>
      </c>
      <c r="AX223" s="104" t="str">
        <f t="shared" si="239"/>
        <v/>
      </c>
      <c r="AY223" s="104" t="str">
        <f t="shared" si="239"/>
        <v/>
      </c>
      <c r="AZ223" s="104" t="str">
        <f t="shared" si="239"/>
        <v/>
      </c>
      <c r="BA223" s="103">
        <f t="shared" si="235"/>
        <v>0</v>
      </c>
      <c r="BB223" s="103">
        <f t="shared" si="236"/>
        <v>0</v>
      </c>
      <c r="BC223" s="103" t="str">
        <f>IF(BA223=1,VLOOKUP($AP223,Usinas!$B$3:$H$244,7,0),"")</f>
        <v/>
      </c>
      <c r="BV223" s="97" t="s">
        <v>331</v>
      </c>
      <c r="BW223" s="98">
        <f t="shared" si="238"/>
        <v>297</v>
      </c>
      <c r="BX223" s="97" t="str">
        <f t="shared" si="237"/>
        <v>PST 296</v>
      </c>
    </row>
    <row r="224" spans="2:76" x14ac:dyDescent="0.3">
      <c r="X224" s="42" t="e">
        <v>#N/A</v>
      </c>
      <c r="Z224" s="101">
        <v>204</v>
      </c>
      <c r="AA224" s="101">
        <v>1</v>
      </c>
      <c r="AB224" s="101">
        <v>0.1406</v>
      </c>
      <c r="AP224" s="103">
        <v>204</v>
      </c>
      <c r="AQ224" s="103" t="str">
        <f>IF(BA224=1,VLOOKUP($AP224,Usinas!$B$3:$F$244,2,0),"")</f>
        <v>CACH. CALDEI</v>
      </c>
      <c r="AR224" s="103" t="str">
        <f>IF(BA224=1,VLOOKUP($AP224,Usinas!$B$3:$F$241,3,0),"")</f>
        <v>ARAGUARI</v>
      </c>
      <c r="AS224" s="103" t="str">
        <f>IF(BA224,VLOOKUP($AP224,Usinas!$B$3:$F$244,4,0),"")</f>
        <v>NORTE</v>
      </c>
      <c r="AT224" s="103">
        <f t="shared" si="234"/>
        <v>0.1406</v>
      </c>
      <c r="AU224" s="104">
        <f t="shared" si="239"/>
        <v>50.334800000000001</v>
      </c>
      <c r="AV224" s="104">
        <f t="shared" si="239"/>
        <v>59.052</v>
      </c>
      <c r="AW224" s="104">
        <f t="shared" si="239"/>
        <v>68.753399999999999</v>
      </c>
      <c r="AX224" s="104">
        <f t="shared" si="239"/>
        <v>77.33</v>
      </c>
      <c r="AY224" s="104">
        <f t="shared" si="239"/>
        <v>92.514800000000008</v>
      </c>
      <c r="AZ224" s="104">
        <f t="shared" si="239"/>
        <v>108.8244</v>
      </c>
      <c r="BA224" s="103">
        <f t="shared" si="235"/>
        <v>1</v>
      </c>
      <c r="BB224" s="103">
        <f t="shared" si="236"/>
        <v>0</v>
      </c>
      <c r="BC224" s="103" t="str">
        <f>IF(BA224=1,VLOOKUP($AP224,Usinas!$B$3:$H$244,7,0),"")</f>
        <v>MANAUS</v>
      </c>
      <c r="BV224" s="97" t="s">
        <v>331</v>
      </c>
      <c r="BW224" s="98">
        <f t="shared" si="238"/>
        <v>301</v>
      </c>
      <c r="BX224" s="97" t="str">
        <f t="shared" si="237"/>
        <v>PST 297</v>
      </c>
    </row>
    <row r="225" spans="24:76" x14ac:dyDescent="0.3">
      <c r="X225" s="42" t="e">
        <v>#N/A</v>
      </c>
      <c r="Z225" s="101">
        <v>205</v>
      </c>
      <c r="AA225" s="101">
        <v>1</v>
      </c>
      <c r="AB225" s="101">
        <v>0.58360000000000001</v>
      </c>
      <c r="AP225" s="103">
        <v>205</v>
      </c>
      <c r="AQ225" s="103" t="str">
        <f>IF(BA225=1,VLOOKUP($AP225,Usinas!$B$3:$F$244,2,0),"")</f>
        <v>CORUMBA IV</v>
      </c>
      <c r="AR225" s="103" t="str">
        <f>IF(BA225=1,VLOOKUP($AP225,Usinas!$B$3:$F$241,3,0),"")</f>
        <v>PARANAÍBA</v>
      </c>
      <c r="AS225" s="103" t="str">
        <f>IF(BA225,VLOOKUP($AP225,Usinas!$B$3:$F$244,4,0),"")</f>
        <v>SUDESTE</v>
      </c>
      <c r="AT225" s="103">
        <f t="shared" si="234"/>
        <v>0.58360000000000001</v>
      </c>
      <c r="AU225" s="104">
        <f t="shared" si="239"/>
        <v>105.048</v>
      </c>
      <c r="AV225" s="104">
        <f t="shared" si="239"/>
        <v>116.72</v>
      </c>
      <c r="AW225" s="104">
        <f t="shared" si="239"/>
        <v>126.6412</v>
      </c>
      <c r="AX225" s="104">
        <f t="shared" si="239"/>
        <v>121.97240000000001</v>
      </c>
      <c r="AY225" s="104">
        <f t="shared" si="239"/>
        <v>140.06399999999999</v>
      </c>
      <c r="AZ225" s="104">
        <f t="shared" si="239"/>
        <v>140.64760000000001</v>
      </c>
      <c r="BA225" s="103">
        <f t="shared" si="235"/>
        <v>1</v>
      </c>
      <c r="BB225" s="103">
        <f t="shared" si="236"/>
        <v>0</v>
      </c>
      <c r="BC225" s="103" t="str">
        <f>IF(BA225=1,VLOOKUP($AP225,Usinas!$B$3:$H$244,7,0),"")</f>
        <v>PARANA</v>
      </c>
      <c r="BV225" s="97" t="s">
        <v>331</v>
      </c>
      <c r="BW225" s="98">
        <f t="shared" si="238"/>
        <v>320</v>
      </c>
      <c r="BX225" s="97" t="str">
        <f t="shared" si="237"/>
        <v>PST 301</v>
      </c>
    </row>
    <row r="226" spans="24:76" x14ac:dyDescent="0.3">
      <c r="X226" s="42" t="e">
        <v>#N/A</v>
      </c>
      <c r="Z226" s="101">
        <v>206</v>
      </c>
      <c r="AA226" s="101">
        <v>1</v>
      </c>
      <c r="AB226" s="101">
        <v>0.61950000000000005</v>
      </c>
      <c r="AP226" s="103">
        <v>206</v>
      </c>
      <c r="AQ226" s="103" t="str">
        <f>IF(BA226=1,VLOOKUP($AP226,Usinas!$B$3:$F$244,2,0),"")</f>
        <v>MIRANDA</v>
      </c>
      <c r="AR226" s="103" t="str">
        <f>IF(BA226=1,VLOOKUP($AP226,Usinas!$B$3:$F$241,3,0),"")</f>
        <v>PARANAÍBA</v>
      </c>
      <c r="AS226" s="103" t="str">
        <f>IF(BA226,VLOOKUP($AP226,Usinas!$B$3:$F$244,4,0),"")</f>
        <v>SUDESTE</v>
      </c>
      <c r="AT226" s="103">
        <f t="shared" si="234"/>
        <v>0.61950000000000005</v>
      </c>
      <c r="AU226" s="104">
        <f t="shared" si="239"/>
        <v>289.92600000000004</v>
      </c>
      <c r="AV226" s="104">
        <f t="shared" si="239"/>
        <v>348.15900000000005</v>
      </c>
      <c r="AW226" s="104">
        <f t="shared" si="239"/>
        <v>306.03300000000002</v>
      </c>
      <c r="AX226" s="104">
        <f t="shared" si="239"/>
        <v>324.61800000000005</v>
      </c>
      <c r="AY226" s="104">
        <f t="shared" si="239"/>
        <v>394.62150000000003</v>
      </c>
      <c r="AZ226" s="104">
        <f t="shared" si="239"/>
        <v>371.70000000000005</v>
      </c>
      <c r="BA226" s="103">
        <f t="shared" si="235"/>
        <v>1</v>
      </c>
      <c r="BB226" s="103">
        <f t="shared" si="236"/>
        <v>0</v>
      </c>
      <c r="BC226" s="103" t="str">
        <f>IF(BA226=1,VLOOKUP($AP226,Usinas!$B$3:$H$244,7,0),"")</f>
        <v>PARANA</v>
      </c>
      <c r="BV226" s="97" t="s">
        <v>331</v>
      </c>
      <c r="BW226" s="98" t="e">
        <f t="shared" si="238"/>
        <v>#VALUE!</v>
      </c>
      <c r="BX226" s="97" t="str">
        <f t="shared" si="237"/>
        <v>PST 320</v>
      </c>
    </row>
    <row r="227" spans="24:76" x14ac:dyDescent="0.3">
      <c r="X227" s="42" t="e">
        <v>#N/A</v>
      </c>
      <c r="Z227" s="101">
        <v>207</v>
      </c>
      <c r="AA227" s="101">
        <v>1</v>
      </c>
      <c r="AB227" s="101">
        <v>0.51139999999999997</v>
      </c>
      <c r="AP227" s="103">
        <v>207</v>
      </c>
      <c r="AQ227" s="103" t="str">
        <f>IF(BA227=1,VLOOKUP($AP227,Usinas!$B$3:$F$244,2,0),"")</f>
        <v>CAPIM BRANCO 1</v>
      </c>
      <c r="AR227" s="103" t="str">
        <f>IF(BA227=1,VLOOKUP($AP227,Usinas!$B$3:$F$241,3,0),"")</f>
        <v>PARANAÍBA</v>
      </c>
      <c r="AS227" s="103" t="str">
        <f>IF(BA227,VLOOKUP($AP227,Usinas!$B$3:$F$244,4,0),"")</f>
        <v>SUDESTE</v>
      </c>
      <c r="AT227" s="103">
        <f t="shared" si="234"/>
        <v>0.51139999999999997</v>
      </c>
      <c r="AU227" s="104">
        <f t="shared" si="239"/>
        <v>239.33519999999999</v>
      </c>
      <c r="AV227" s="104">
        <f t="shared" si="239"/>
        <v>287.91819999999996</v>
      </c>
      <c r="AW227" s="104">
        <f t="shared" si="239"/>
        <v>255.18859999999998</v>
      </c>
      <c r="AX227" s="104">
        <f t="shared" si="239"/>
        <v>268.48499999999996</v>
      </c>
      <c r="AY227" s="104">
        <f t="shared" si="239"/>
        <v>324.73899999999998</v>
      </c>
      <c r="AZ227" s="104">
        <f t="shared" si="239"/>
        <v>309.39699999999999</v>
      </c>
      <c r="BA227" s="103">
        <f t="shared" si="235"/>
        <v>1</v>
      </c>
      <c r="BB227" s="103">
        <f t="shared" si="236"/>
        <v>0</v>
      </c>
      <c r="BC227" s="103" t="str">
        <f>IF(BA227=1,VLOOKUP($AP227,Usinas!$B$3:$H$244,7,0),"")</f>
        <v>PARANA</v>
      </c>
      <c r="BV227" s="97" t="s">
        <v>331</v>
      </c>
      <c r="BW227" s="98" t="e">
        <f t="shared" si="238"/>
        <v>#VALUE!</v>
      </c>
      <c r="BX227" s="97" t="str">
        <f t="shared" si="237"/>
        <v/>
      </c>
    </row>
    <row r="228" spans="24:76" x14ac:dyDescent="0.3">
      <c r="X228" s="42" t="e">
        <v>#N/A</v>
      </c>
      <c r="Z228" s="101">
        <v>208</v>
      </c>
      <c r="AA228" s="101">
        <v>0</v>
      </c>
      <c r="AB228" s="101">
        <v>0</v>
      </c>
      <c r="AP228" s="103">
        <v>208</v>
      </c>
      <c r="AQ228" s="103" t="str">
        <f>IF(BA228=1,VLOOKUP($AP228,Usinas!$B$3:$F$244,2,0),"")</f>
        <v/>
      </c>
      <c r="AR228" s="103" t="str">
        <f>IF(BA228=1,VLOOKUP($AP228,Usinas!$B$3:$F$241,3,0),"")</f>
        <v/>
      </c>
      <c r="AS228" s="103" t="str">
        <f>IF(BA228,VLOOKUP($AP228,Usinas!$B$3:$F$244,4,0),"")</f>
        <v/>
      </c>
      <c r="AT228" s="103" t="str">
        <f t="shared" si="234"/>
        <v/>
      </c>
      <c r="AU228" s="104" t="str">
        <f t="shared" si="239"/>
        <v/>
      </c>
      <c r="AV228" s="104" t="str">
        <f t="shared" si="239"/>
        <v/>
      </c>
      <c r="AW228" s="104" t="str">
        <f t="shared" si="239"/>
        <v/>
      </c>
      <c r="AX228" s="104" t="str">
        <f t="shared" si="239"/>
        <v/>
      </c>
      <c r="AY228" s="104" t="str">
        <f t="shared" si="239"/>
        <v/>
      </c>
      <c r="AZ228" s="104" t="str">
        <f t="shared" si="239"/>
        <v/>
      </c>
      <c r="BA228" s="103">
        <f t="shared" si="235"/>
        <v>0</v>
      </c>
      <c r="BB228" s="103">
        <f t="shared" si="236"/>
        <v>0</v>
      </c>
      <c r="BC228" s="103" t="str">
        <f>IF(BA228=1,VLOOKUP($AP228,Usinas!$B$3:$H$244,7,0),"")</f>
        <v/>
      </c>
      <c r="BV228" s="97" t="s">
        <v>331</v>
      </c>
      <c r="BW228" s="98" t="e">
        <f t="shared" si="238"/>
        <v>#VALUE!</v>
      </c>
      <c r="BX228" s="97" t="str">
        <f t="shared" si="237"/>
        <v/>
      </c>
    </row>
    <row r="229" spans="24:76" x14ac:dyDescent="0.3">
      <c r="X229" s="42" t="e">
        <v>#N/A</v>
      </c>
      <c r="Z229" s="101">
        <v>209</v>
      </c>
      <c r="AA229" s="101">
        <v>1</v>
      </c>
      <c r="AB229" s="101">
        <v>0.62939999999999996</v>
      </c>
      <c r="AP229" s="103">
        <v>209</v>
      </c>
      <c r="AQ229" s="103" t="str">
        <f>IF(BA229=1,VLOOKUP($AP229,Usinas!$B$3:$F$244,2,0),"")</f>
        <v>CORUMBA I</v>
      </c>
      <c r="AR229" s="103" t="str">
        <f>IF(BA229=1,VLOOKUP($AP229,Usinas!$B$3:$F$241,3,0),"")</f>
        <v>PARANAÍBA</v>
      </c>
      <c r="AS229" s="103" t="str">
        <f>IF(BA229,VLOOKUP($AP229,Usinas!$B$3:$F$244,4,0),"")</f>
        <v>SUDESTE</v>
      </c>
      <c r="AT229" s="103">
        <f t="shared" si="234"/>
        <v>0.62939999999999996</v>
      </c>
      <c r="AU229" s="104">
        <f t="shared" si="239"/>
        <v>337.98779999999999</v>
      </c>
      <c r="AV229" s="104">
        <f t="shared" si="239"/>
        <v>419.8098</v>
      </c>
      <c r="AW229" s="104">
        <f t="shared" si="239"/>
        <v>424.84499999999997</v>
      </c>
      <c r="AX229" s="104">
        <f t="shared" si="239"/>
        <v>445.61519999999996</v>
      </c>
      <c r="AY229" s="104">
        <f t="shared" si="239"/>
        <v>478.97339999999997</v>
      </c>
      <c r="AZ229" s="104">
        <f t="shared" si="239"/>
        <v>464.49719999999996</v>
      </c>
      <c r="BA229" s="103">
        <f t="shared" si="235"/>
        <v>1</v>
      </c>
      <c r="BB229" s="103">
        <f t="shared" si="236"/>
        <v>0</v>
      </c>
      <c r="BC229" s="103" t="str">
        <f>IF(BA229=1,VLOOKUP($AP229,Usinas!$B$3:$H$244,7,0),"")</f>
        <v>PARANA</v>
      </c>
      <c r="BV229" s="97" t="s">
        <v>331</v>
      </c>
      <c r="BW229" s="98" t="e">
        <f t="shared" si="238"/>
        <v>#VALUE!</v>
      </c>
      <c r="BX229" s="97" t="str">
        <f t="shared" si="237"/>
        <v/>
      </c>
    </row>
    <row r="230" spans="24:76" x14ac:dyDescent="0.3">
      <c r="X230" s="42" t="e">
        <v>#N/A</v>
      </c>
      <c r="Z230" s="101">
        <v>210</v>
      </c>
      <c r="AA230" s="101">
        <v>0</v>
      </c>
      <c r="AB230" s="101">
        <v>0</v>
      </c>
      <c r="AP230" s="103">
        <v>210</v>
      </c>
      <c r="AQ230" s="103" t="str">
        <f>IF(BA230=1,VLOOKUP($AP230,Usinas!$B$3:$F$244,2,0),"")</f>
        <v/>
      </c>
      <c r="AR230" s="103" t="str">
        <f>IF(BA230=1,VLOOKUP($AP230,Usinas!$B$3:$F$241,3,0),"")</f>
        <v/>
      </c>
      <c r="AS230" s="103" t="str">
        <f>IF(BA230,VLOOKUP($AP230,Usinas!$B$3:$F$244,4,0),"")</f>
        <v/>
      </c>
      <c r="AT230" s="103" t="str">
        <f t="shared" si="234"/>
        <v/>
      </c>
      <c r="AU230" s="104" t="str">
        <f t="shared" si="239"/>
        <v/>
      </c>
      <c r="AV230" s="104" t="str">
        <f t="shared" si="239"/>
        <v/>
      </c>
      <c r="AW230" s="104" t="str">
        <f t="shared" si="239"/>
        <v/>
      </c>
      <c r="AX230" s="104" t="str">
        <f t="shared" si="239"/>
        <v/>
      </c>
      <c r="AY230" s="104" t="str">
        <f t="shared" si="239"/>
        <v/>
      </c>
      <c r="AZ230" s="104" t="str">
        <f t="shared" si="239"/>
        <v/>
      </c>
      <c r="BA230" s="103">
        <f t="shared" si="235"/>
        <v>0</v>
      </c>
      <c r="BB230" s="103">
        <f t="shared" si="236"/>
        <v>0</v>
      </c>
      <c r="BC230" s="103" t="str">
        <f>IF(BA230=1,VLOOKUP($AP230,Usinas!$B$3:$H$244,7,0),"")</f>
        <v/>
      </c>
      <c r="BV230" s="97" t="s">
        <v>331</v>
      </c>
      <c r="BW230" s="98" t="e">
        <f t="shared" si="238"/>
        <v>#VALUE!</v>
      </c>
      <c r="BX230" s="97" t="str">
        <f t="shared" si="237"/>
        <v/>
      </c>
    </row>
    <row r="231" spans="24:76" x14ac:dyDescent="0.3">
      <c r="X231" s="42" t="e">
        <v>#N/A</v>
      </c>
      <c r="Z231" s="101">
        <v>211</v>
      </c>
      <c r="AA231" s="101">
        <v>1</v>
      </c>
      <c r="AB231" s="101">
        <v>0.35489999999999999</v>
      </c>
      <c r="AP231" s="103">
        <v>211</v>
      </c>
      <c r="AQ231" s="103" t="str">
        <f>IF(BA231=1,VLOOKUP($AP231,Usinas!$B$3:$F$244,2,0),"")</f>
        <v>FUNIL-GRANDE</v>
      </c>
      <c r="AR231" s="103" t="str">
        <f>IF(BA231=1,VLOOKUP($AP231,Usinas!$B$3:$F$241,3,0),"")</f>
        <v>GRANDE</v>
      </c>
      <c r="AS231" s="103" t="str">
        <f>IF(BA231,VLOOKUP($AP231,Usinas!$B$3:$F$244,4,0),"")</f>
        <v>SUDESTE</v>
      </c>
      <c r="AT231" s="103">
        <f t="shared" si="234"/>
        <v>0.35489999999999999</v>
      </c>
      <c r="AU231" s="104">
        <f t="shared" ref="AU231:AZ240" si="240">IF($BA231=1,IFERROR(VLOOKUP($AP231,$AE$21:$AK$211,AU$19,0),VLOOKUP($AP231,$BE$21:$BK$65,AU$19,0))*$AT231,"")</f>
        <v>175.32059999999998</v>
      </c>
      <c r="AV231" s="104">
        <f t="shared" si="240"/>
        <v>198.744</v>
      </c>
      <c r="AW231" s="104">
        <f t="shared" si="240"/>
        <v>219.6831</v>
      </c>
      <c r="AX231" s="104">
        <f t="shared" si="240"/>
        <v>208.68119999999999</v>
      </c>
      <c r="AY231" s="104">
        <f t="shared" si="240"/>
        <v>180.64410000000001</v>
      </c>
      <c r="AZ231" s="104">
        <f t="shared" si="240"/>
        <v>170.352</v>
      </c>
      <c r="BA231" s="103">
        <f t="shared" si="235"/>
        <v>1</v>
      </c>
      <c r="BB231" s="103">
        <f t="shared" si="236"/>
        <v>0</v>
      </c>
      <c r="BC231" s="103" t="str">
        <f>IF(BA231=1,VLOOKUP($AP231,Usinas!$B$3:$H$244,7,0),"")</f>
        <v>PARANA</v>
      </c>
      <c r="BV231" s="97" t="s">
        <v>331</v>
      </c>
      <c r="BW231" s="98" t="e">
        <f t="shared" si="238"/>
        <v>#VALUE!</v>
      </c>
      <c r="BX231" s="97" t="str">
        <f t="shared" si="237"/>
        <v/>
      </c>
    </row>
    <row r="232" spans="24:76" x14ac:dyDescent="0.3">
      <c r="X232" s="42" t="e">
        <v>#N/A</v>
      </c>
      <c r="Z232" s="101">
        <v>212</v>
      </c>
      <c r="AA232" s="101">
        <v>0</v>
      </c>
      <c r="AB232" s="101">
        <v>0</v>
      </c>
      <c r="AP232" s="103">
        <v>212</v>
      </c>
      <c r="AQ232" s="103" t="str">
        <f>IF(BA232=1,VLOOKUP($AP232,Usinas!$B$3:$F$244,2,0),"")</f>
        <v/>
      </c>
      <c r="AR232" s="103" t="str">
        <f>IF(BA232=1,VLOOKUP($AP232,Usinas!$B$3:$F$241,3,0),"")</f>
        <v/>
      </c>
      <c r="AS232" s="103" t="str">
        <f>IF(BA232,VLOOKUP($AP232,Usinas!$B$3:$F$244,4,0),"")</f>
        <v/>
      </c>
      <c r="AT232" s="103" t="str">
        <f t="shared" si="234"/>
        <v/>
      </c>
      <c r="AU232" s="104" t="str">
        <f t="shared" si="240"/>
        <v/>
      </c>
      <c r="AV232" s="104" t="str">
        <f t="shared" si="240"/>
        <v/>
      </c>
      <c r="AW232" s="104" t="str">
        <f t="shared" si="240"/>
        <v/>
      </c>
      <c r="AX232" s="104" t="str">
        <f t="shared" si="240"/>
        <v/>
      </c>
      <c r="AY232" s="104" t="str">
        <f t="shared" si="240"/>
        <v/>
      </c>
      <c r="AZ232" s="104" t="str">
        <f t="shared" si="240"/>
        <v/>
      </c>
      <c r="BA232" s="103">
        <f t="shared" si="235"/>
        <v>0</v>
      </c>
      <c r="BB232" s="103">
        <f t="shared" si="236"/>
        <v>0</v>
      </c>
      <c r="BC232" s="103" t="str">
        <f>IF(BA232=1,VLOOKUP($AP232,Usinas!$B$3:$H$244,7,0),"")</f>
        <v/>
      </c>
      <c r="BV232" s="97" t="s">
        <v>331</v>
      </c>
      <c r="BW232" s="98" t="e">
        <f t="shared" si="238"/>
        <v>#VALUE!</v>
      </c>
      <c r="BX232" s="97" t="str">
        <f t="shared" si="237"/>
        <v/>
      </c>
    </row>
    <row r="233" spans="24:76" x14ac:dyDescent="0.3">
      <c r="X233" s="42" t="e">
        <v>#N/A</v>
      </c>
      <c r="Z233" s="101">
        <v>213</v>
      </c>
      <c r="AA233" s="101">
        <v>0</v>
      </c>
      <c r="AB233" s="101">
        <v>0</v>
      </c>
      <c r="AP233" s="103">
        <v>213</v>
      </c>
      <c r="AQ233" s="103" t="str">
        <f>IF(BA233=1,VLOOKUP($AP233,Usinas!$B$3:$F$244,2,0),"")</f>
        <v/>
      </c>
      <c r="AR233" s="103" t="str">
        <f>IF(BA233=1,VLOOKUP($AP233,Usinas!$B$3:$F$241,3,0),"")</f>
        <v/>
      </c>
      <c r="AS233" s="103" t="str">
        <f>IF(BA233,VLOOKUP($AP233,Usinas!$B$3:$F$244,4,0),"")</f>
        <v/>
      </c>
      <c r="AT233" s="103" t="str">
        <f t="shared" si="234"/>
        <v/>
      </c>
      <c r="AU233" s="104" t="str">
        <f t="shared" si="240"/>
        <v/>
      </c>
      <c r="AV233" s="104" t="str">
        <f t="shared" si="240"/>
        <v/>
      </c>
      <c r="AW233" s="104" t="str">
        <f t="shared" si="240"/>
        <v/>
      </c>
      <c r="AX233" s="104" t="str">
        <f t="shared" si="240"/>
        <v/>
      </c>
      <c r="AY233" s="104" t="str">
        <f t="shared" si="240"/>
        <v/>
      </c>
      <c r="AZ233" s="104" t="str">
        <f t="shared" si="240"/>
        <v/>
      </c>
      <c r="BA233" s="103">
        <f t="shared" si="235"/>
        <v>0</v>
      </c>
      <c r="BB233" s="103">
        <f t="shared" si="236"/>
        <v>0</v>
      </c>
      <c r="BC233" s="103" t="str">
        <f>IF(BA233=1,VLOOKUP($AP233,Usinas!$B$3:$H$244,7,0),"")</f>
        <v/>
      </c>
      <c r="BV233" s="97" t="s">
        <v>331</v>
      </c>
      <c r="BW233" s="98" t="e">
        <f t="shared" si="238"/>
        <v>#VALUE!</v>
      </c>
      <c r="BX233" s="97" t="str">
        <f t="shared" si="237"/>
        <v/>
      </c>
    </row>
    <row r="234" spans="24:76" x14ac:dyDescent="0.3">
      <c r="X234" s="42" t="e">
        <v>#N/A</v>
      </c>
      <c r="Z234" s="101">
        <v>214</v>
      </c>
      <c r="AA234" s="101">
        <v>0</v>
      </c>
      <c r="AB234" s="101">
        <v>0</v>
      </c>
      <c r="AP234" s="103">
        <v>214</v>
      </c>
      <c r="AQ234" s="103" t="str">
        <f>IF(BA234=1,VLOOKUP($AP234,Usinas!$B$3:$F$244,2,0),"")</f>
        <v/>
      </c>
      <c r="AR234" s="103" t="str">
        <f>IF(BA234=1,VLOOKUP($AP234,Usinas!$B$3:$F$241,3,0),"")</f>
        <v/>
      </c>
      <c r="AS234" s="103" t="str">
        <f>IF(BA234,VLOOKUP($AP234,Usinas!$B$3:$F$244,4,0),"")</f>
        <v/>
      </c>
      <c r="AT234" s="103" t="str">
        <f t="shared" si="234"/>
        <v/>
      </c>
      <c r="AU234" s="104" t="str">
        <f t="shared" si="240"/>
        <v/>
      </c>
      <c r="AV234" s="104" t="str">
        <f t="shared" si="240"/>
        <v/>
      </c>
      <c r="AW234" s="104" t="str">
        <f t="shared" si="240"/>
        <v/>
      </c>
      <c r="AX234" s="104" t="str">
        <f t="shared" si="240"/>
        <v/>
      </c>
      <c r="AY234" s="104" t="str">
        <f t="shared" si="240"/>
        <v/>
      </c>
      <c r="AZ234" s="104" t="str">
        <f t="shared" si="240"/>
        <v/>
      </c>
      <c r="BA234" s="103">
        <f t="shared" si="235"/>
        <v>0</v>
      </c>
      <c r="BB234" s="103">
        <f t="shared" si="236"/>
        <v>0</v>
      </c>
      <c r="BC234" s="103" t="str">
        <f>IF(BA234=1,VLOOKUP($AP234,Usinas!$B$3:$H$244,7,0),"")</f>
        <v/>
      </c>
      <c r="BV234" s="97" t="s">
        <v>331</v>
      </c>
      <c r="BW234" s="98" t="e">
        <f t="shared" si="238"/>
        <v>#VALUE!</v>
      </c>
      <c r="BX234" s="97" t="str">
        <f t="shared" si="237"/>
        <v/>
      </c>
    </row>
    <row r="235" spans="24:76" x14ac:dyDescent="0.3">
      <c r="X235" s="42" t="e">
        <v>#N/A</v>
      </c>
      <c r="Z235" s="101">
        <v>215</v>
      </c>
      <c r="AA235" s="101">
        <v>1</v>
      </c>
      <c r="AB235" s="101">
        <v>1.4153</v>
      </c>
      <c r="AP235" s="103">
        <v>215</v>
      </c>
      <c r="AQ235" s="103" t="str">
        <f>IF(BA235=1,VLOOKUP($AP235,Usinas!$B$3:$F$244,2,0),"")</f>
        <v>BARRA GRANDE</v>
      </c>
      <c r="AR235" s="103" t="str">
        <f>IF(BA235=1,VLOOKUP($AP235,Usinas!$B$3:$F$241,3,0),"")</f>
        <v>URUGUAI</v>
      </c>
      <c r="AS235" s="103" t="str">
        <f>IF(BA235,VLOOKUP($AP235,Usinas!$B$3:$F$244,4,0),"")</f>
        <v>SUL</v>
      </c>
      <c r="AT235" s="103">
        <f t="shared" si="234"/>
        <v>1.4153</v>
      </c>
      <c r="AU235" s="104">
        <f t="shared" si="240"/>
        <v>314.19659999999999</v>
      </c>
      <c r="AV235" s="104">
        <f t="shared" si="240"/>
        <v>346.74849999999998</v>
      </c>
      <c r="AW235" s="104">
        <f t="shared" si="240"/>
        <v>377.88510000000002</v>
      </c>
      <c r="AX235" s="104">
        <f t="shared" si="240"/>
        <v>403.3605</v>
      </c>
      <c r="AY235" s="104">
        <f t="shared" si="240"/>
        <v>392.03809999999999</v>
      </c>
      <c r="AZ235" s="104">
        <f t="shared" si="240"/>
        <v>365.1474</v>
      </c>
      <c r="BA235" s="103">
        <f t="shared" si="235"/>
        <v>1</v>
      </c>
      <c r="BB235" s="103">
        <f t="shared" si="236"/>
        <v>0</v>
      </c>
      <c r="BC235" s="103" t="str">
        <f>IF(BA235=1,VLOOKUP($AP235,Usinas!$B$3:$H$244,7,0),"")</f>
        <v>SUL</v>
      </c>
      <c r="BV235" s="97" t="s">
        <v>331</v>
      </c>
      <c r="BW235" s="98" t="e">
        <f t="shared" si="238"/>
        <v>#VALUE!</v>
      </c>
      <c r="BX235" s="97" t="str">
        <f t="shared" si="237"/>
        <v/>
      </c>
    </row>
    <row r="236" spans="24:76" x14ac:dyDescent="0.3">
      <c r="X236" s="42" t="e">
        <v>#N/A</v>
      </c>
      <c r="Z236" s="101">
        <v>216</v>
      </c>
      <c r="AA236" s="101">
        <v>1</v>
      </c>
      <c r="AB236" s="101">
        <v>1.6063000000000001</v>
      </c>
      <c r="AP236" s="103">
        <v>216</v>
      </c>
      <c r="AQ236" s="103" t="str">
        <f>IF(BA236=1,VLOOKUP($AP236,Usinas!$B$3:$F$244,2,0),"")</f>
        <v>CAMPOS NOVOS</v>
      </c>
      <c r="AR236" s="103" t="str">
        <f>IF(BA236=1,VLOOKUP($AP236,Usinas!$B$3:$F$241,3,0),"")</f>
        <v>URUGUAI</v>
      </c>
      <c r="AS236" s="103" t="str">
        <f>IF(BA236,VLOOKUP($AP236,Usinas!$B$3:$F$244,4,0),"")</f>
        <v>SUL</v>
      </c>
      <c r="AT236" s="103">
        <f t="shared" si="234"/>
        <v>1.6063000000000001</v>
      </c>
      <c r="AU236" s="104">
        <f t="shared" si="240"/>
        <v>443.33879999999999</v>
      </c>
      <c r="AV236" s="104">
        <f t="shared" si="240"/>
        <v>438.51990000000001</v>
      </c>
      <c r="AW236" s="104">
        <f t="shared" si="240"/>
        <v>501.16560000000004</v>
      </c>
      <c r="AX236" s="104">
        <f t="shared" si="240"/>
        <v>541.32310000000007</v>
      </c>
      <c r="AY236" s="104">
        <f t="shared" si="240"/>
        <v>550.96090000000004</v>
      </c>
      <c r="AZ236" s="104">
        <f t="shared" si="240"/>
        <v>475.46480000000003</v>
      </c>
      <c r="BA236" s="103">
        <f t="shared" si="235"/>
        <v>1</v>
      </c>
      <c r="BB236" s="103">
        <f t="shared" si="236"/>
        <v>0</v>
      </c>
      <c r="BC236" s="103" t="str">
        <f>IF(BA236=1,VLOOKUP($AP236,Usinas!$B$3:$H$244,7,0),"")</f>
        <v>SUL</v>
      </c>
      <c r="BV236" s="97" t="s">
        <v>331</v>
      </c>
      <c r="BW236" s="98" t="e">
        <f t="shared" si="238"/>
        <v>#VALUE!</v>
      </c>
      <c r="BX236" s="97" t="str">
        <f t="shared" si="237"/>
        <v/>
      </c>
    </row>
    <row r="237" spans="24:76" x14ac:dyDescent="0.3">
      <c r="X237" s="42" t="e">
        <v>#N/A</v>
      </c>
      <c r="Z237" s="101">
        <v>217</v>
      </c>
      <c r="AA237" s="101">
        <v>1</v>
      </c>
      <c r="AB237" s="101">
        <v>0.87790000000000001</v>
      </c>
      <c r="AP237" s="103">
        <v>217</v>
      </c>
      <c r="AQ237" s="103" t="str">
        <f>IF(BA237=1,VLOOKUP($AP237,Usinas!$B$3:$F$244,2,0),"")</f>
        <v>MACHADINHO</v>
      </c>
      <c r="AR237" s="103" t="str">
        <f>IF(BA237=1,VLOOKUP($AP237,Usinas!$B$3:$F$241,3,0),"")</f>
        <v>URUGUAI</v>
      </c>
      <c r="AS237" s="103" t="str">
        <f>IF(BA237,VLOOKUP($AP237,Usinas!$B$3:$F$244,4,0),"")</f>
        <v>SUL</v>
      </c>
      <c r="AT237" s="103">
        <f t="shared" si="234"/>
        <v>0.87790000000000001</v>
      </c>
      <c r="AU237" s="104">
        <f t="shared" si="240"/>
        <v>532.88530000000003</v>
      </c>
      <c r="AV237" s="104">
        <f t="shared" si="240"/>
        <v>558.34440000000006</v>
      </c>
      <c r="AW237" s="104">
        <f t="shared" si="240"/>
        <v>622.43110000000001</v>
      </c>
      <c r="AX237" s="104">
        <f t="shared" si="240"/>
        <v>646.13440000000003</v>
      </c>
      <c r="AY237" s="104">
        <f t="shared" si="240"/>
        <v>645.25649999999996</v>
      </c>
      <c r="AZ237" s="104">
        <f t="shared" si="240"/>
        <v>582.04769999999996</v>
      </c>
      <c r="BA237" s="103">
        <f t="shared" si="235"/>
        <v>1</v>
      </c>
      <c r="BB237" s="103">
        <f t="shared" si="236"/>
        <v>0</v>
      </c>
      <c r="BC237" s="103" t="str">
        <f>IF(BA237=1,VLOOKUP($AP237,Usinas!$B$3:$H$244,7,0),"")</f>
        <v>SUL</v>
      </c>
      <c r="BV237" s="97" t="s">
        <v>331</v>
      </c>
      <c r="BW237" s="98" t="e">
        <f t="shared" si="238"/>
        <v>#VALUE!</v>
      </c>
      <c r="BX237" s="97" t="str">
        <f t="shared" si="237"/>
        <v/>
      </c>
    </row>
    <row r="238" spans="24:76" x14ac:dyDescent="0.3">
      <c r="X238" s="42" t="e">
        <v>#N/A</v>
      </c>
      <c r="Z238" s="101">
        <v>218</v>
      </c>
      <c r="AA238" s="101">
        <v>0</v>
      </c>
      <c r="AB238" s="101">
        <v>0</v>
      </c>
      <c r="AP238" s="103">
        <v>218</v>
      </c>
      <c r="AQ238" s="103" t="str">
        <f>IF(BA238=1,VLOOKUP($AP238,Usinas!$B$3:$F$244,2,0),"")</f>
        <v/>
      </c>
      <c r="AR238" s="103" t="str">
        <f>IF(BA238=1,VLOOKUP($AP238,Usinas!$B$3:$F$241,3,0),"")</f>
        <v/>
      </c>
      <c r="AS238" s="103" t="str">
        <f>IF(BA238,VLOOKUP($AP238,Usinas!$B$3:$F$244,4,0),"")</f>
        <v/>
      </c>
      <c r="AT238" s="103" t="str">
        <f t="shared" si="234"/>
        <v/>
      </c>
      <c r="AU238" s="104" t="str">
        <f t="shared" si="240"/>
        <v/>
      </c>
      <c r="AV238" s="104" t="str">
        <f t="shared" si="240"/>
        <v/>
      </c>
      <c r="AW238" s="104" t="str">
        <f t="shared" si="240"/>
        <v/>
      </c>
      <c r="AX238" s="104" t="str">
        <f t="shared" si="240"/>
        <v/>
      </c>
      <c r="AY238" s="104" t="str">
        <f t="shared" si="240"/>
        <v/>
      </c>
      <c r="AZ238" s="104" t="str">
        <f t="shared" si="240"/>
        <v/>
      </c>
      <c r="BA238" s="103">
        <f t="shared" si="235"/>
        <v>0</v>
      </c>
      <c r="BB238" s="103">
        <f t="shared" si="236"/>
        <v>0</v>
      </c>
      <c r="BC238" s="103" t="str">
        <f>IF(BA238=1,VLOOKUP($AP238,Usinas!$B$3:$H$244,7,0),"")</f>
        <v/>
      </c>
      <c r="BV238" s="97" t="s">
        <v>331</v>
      </c>
      <c r="BW238" s="98" t="e">
        <f t="shared" si="238"/>
        <v>#VALUE!</v>
      </c>
      <c r="BX238" s="97" t="str">
        <f t="shared" si="237"/>
        <v/>
      </c>
    </row>
    <row r="239" spans="24:76" x14ac:dyDescent="0.3">
      <c r="X239" s="42" t="e">
        <v>#N/A</v>
      </c>
      <c r="Z239" s="101">
        <v>219</v>
      </c>
      <c r="AA239" s="101">
        <v>0</v>
      </c>
      <c r="AB239" s="101">
        <v>0</v>
      </c>
      <c r="AP239" s="103">
        <v>219</v>
      </c>
      <c r="AQ239" s="103" t="str">
        <f>IF(BA239=1,VLOOKUP($AP239,Usinas!$B$3:$F$244,2,0),"")</f>
        <v/>
      </c>
      <c r="AR239" s="103" t="str">
        <f>IF(BA239=1,VLOOKUP($AP239,Usinas!$B$3:$F$241,3,0),"")</f>
        <v/>
      </c>
      <c r="AS239" s="103" t="str">
        <f>IF(BA239,VLOOKUP($AP239,Usinas!$B$3:$F$244,4,0),"")</f>
        <v/>
      </c>
      <c r="AT239" s="103" t="str">
        <f t="shared" si="234"/>
        <v/>
      </c>
      <c r="AU239" s="104" t="str">
        <f t="shared" si="240"/>
        <v/>
      </c>
      <c r="AV239" s="104" t="str">
        <f t="shared" si="240"/>
        <v/>
      </c>
      <c r="AW239" s="104" t="str">
        <f t="shared" si="240"/>
        <v/>
      </c>
      <c r="AX239" s="104" t="str">
        <f t="shared" si="240"/>
        <v/>
      </c>
      <c r="AY239" s="104" t="str">
        <f t="shared" si="240"/>
        <v/>
      </c>
      <c r="AZ239" s="104" t="str">
        <f t="shared" si="240"/>
        <v/>
      </c>
      <c r="BA239" s="103">
        <f t="shared" si="235"/>
        <v>0</v>
      </c>
      <c r="BB239" s="103">
        <f t="shared" si="236"/>
        <v>0</v>
      </c>
      <c r="BC239" s="103" t="str">
        <f>IF(BA239=1,VLOOKUP($AP239,Usinas!$B$3:$H$244,7,0),"")</f>
        <v/>
      </c>
      <c r="BV239" s="97" t="s">
        <v>331</v>
      </c>
      <c r="BW239" s="98" t="e">
        <f t="shared" si="238"/>
        <v>#VALUE!</v>
      </c>
      <c r="BX239" s="97" t="str">
        <f t="shared" si="237"/>
        <v/>
      </c>
    </row>
    <row r="240" spans="24:76" x14ac:dyDescent="0.3">
      <c r="X240" s="42" t="e">
        <v>#N/A</v>
      </c>
      <c r="Z240" s="101">
        <v>220</v>
      </c>
      <c r="AA240" s="101">
        <v>1</v>
      </c>
      <c r="AB240" s="101">
        <v>0.54</v>
      </c>
      <c r="AP240" s="103">
        <v>220</v>
      </c>
      <c r="AQ240" s="103" t="str">
        <f>IF(BA240=1,VLOOKUP($AP240,Usinas!$B$3:$F$244,2,0),"")</f>
        <v>MONJOLINHO</v>
      </c>
      <c r="AR240" s="103" t="str">
        <f>IF(BA240=1,VLOOKUP($AP240,Usinas!$B$3:$F$241,3,0),"")</f>
        <v>URUGUAI</v>
      </c>
      <c r="AS240" s="103" t="str">
        <f>IF(BA240,VLOOKUP($AP240,Usinas!$B$3:$F$244,4,0),"")</f>
        <v>SUL</v>
      </c>
      <c r="AT240" s="103">
        <f t="shared" si="234"/>
        <v>0.54</v>
      </c>
      <c r="AU240" s="104">
        <f t="shared" si="240"/>
        <v>46.980000000000004</v>
      </c>
      <c r="AV240" s="104">
        <f t="shared" si="240"/>
        <v>48.6</v>
      </c>
      <c r="AW240" s="104">
        <f t="shared" si="240"/>
        <v>45.36</v>
      </c>
      <c r="AX240" s="104">
        <f t="shared" si="240"/>
        <v>38.340000000000003</v>
      </c>
      <c r="AY240" s="104">
        <f t="shared" si="240"/>
        <v>36.72</v>
      </c>
      <c r="AZ240" s="104">
        <f t="shared" si="240"/>
        <v>36.72</v>
      </c>
      <c r="BA240" s="103">
        <f t="shared" si="235"/>
        <v>1</v>
      </c>
      <c r="BB240" s="103">
        <f t="shared" si="236"/>
        <v>0</v>
      </c>
      <c r="BC240" s="103" t="str">
        <f>IF(BA240=1,VLOOKUP($AP240,Usinas!$B$3:$H$244,7,0),"")</f>
        <v>SUL</v>
      </c>
      <c r="BV240" s="97" t="s">
        <v>331</v>
      </c>
      <c r="BW240" s="98" t="e">
        <f t="shared" si="238"/>
        <v>#VALUE!</v>
      </c>
      <c r="BX240" s="97" t="str">
        <f t="shared" si="237"/>
        <v/>
      </c>
    </row>
    <row r="241" spans="24:76" x14ac:dyDescent="0.3">
      <c r="X241" s="42" t="e">
        <v>#N/A</v>
      </c>
      <c r="Z241" s="101">
        <v>221</v>
      </c>
      <c r="AA241" s="101">
        <v>0</v>
      </c>
      <c r="AB241" s="101">
        <v>0</v>
      </c>
      <c r="AP241" s="103">
        <v>221</v>
      </c>
      <c r="AQ241" s="103" t="str">
        <f>IF(BA241=1,VLOOKUP($AP241,Usinas!$B$3:$F$244,2,0),"")</f>
        <v/>
      </c>
      <c r="AR241" s="103" t="str">
        <f>IF(BA241=1,VLOOKUP($AP241,Usinas!$B$3:$F$241,3,0),"")</f>
        <v/>
      </c>
      <c r="AS241" s="103" t="str">
        <f>IF(BA241,VLOOKUP($AP241,Usinas!$B$3:$F$244,4,0),"")</f>
        <v/>
      </c>
      <c r="AT241" s="103" t="str">
        <f t="shared" si="234"/>
        <v/>
      </c>
      <c r="AU241" s="104" t="str">
        <f t="shared" ref="AU241:AZ250" si="241">IF($BA241=1,IFERROR(VLOOKUP($AP241,$AE$21:$AK$211,AU$19,0),VLOOKUP($AP241,$BE$21:$BK$65,AU$19,0))*$AT241,"")</f>
        <v/>
      </c>
      <c r="AV241" s="104" t="str">
        <f t="shared" si="241"/>
        <v/>
      </c>
      <c r="AW241" s="104" t="str">
        <f t="shared" si="241"/>
        <v/>
      </c>
      <c r="AX241" s="104" t="str">
        <f t="shared" si="241"/>
        <v/>
      </c>
      <c r="AY241" s="104" t="str">
        <f t="shared" si="241"/>
        <v/>
      </c>
      <c r="AZ241" s="104" t="str">
        <f t="shared" si="241"/>
        <v/>
      </c>
      <c r="BA241" s="103">
        <f t="shared" si="235"/>
        <v>0</v>
      </c>
      <c r="BB241" s="103">
        <f t="shared" si="236"/>
        <v>0</v>
      </c>
      <c r="BC241" s="103" t="str">
        <f>IF(BA241=1,VLOOKUP($AP241,Usinas!$B$3:$H$244,7,0),"")</f>
        <v/>
      </c>
      <c r="BV241" s="97" t="s">
        <v>331</v>
      </c>
      <c r="BW241" s="98" t="e">
        <f t="shared" si="238"/>
        <v>#VALUE!</v>
      </c>
      <c r="BX241" s="97" t="str">
        <f t="shared" si="237"/>
        <v/>
      </c>
    </row>
    <row r="242" spans="24:76" x14ac:dyDescent="0.3">
      <c r="X242" s="42" t="e">
        <v>#N/A</v>
      </c>
      <c r="Z242" s="101">
        <v>222</v>
      </c>
      <c r="AA242" s="101">
        <v>1</v>
      </c>
      <c r="AB242" s="101">
        <v>0.55959999999999999</v>
      </c>
      <c r="AP242" s="103">
        <v>222</v>
      </c>
      <c r="AQ242" s="103" t="str">
        <f>IF(BA242=1,VLOOKUP($AP242,Usinas!$B$3:$F$244,2,0),"")</f>
        <v>SALTO CAXIAS</v>
      </c>
      <c r="AR242" s="103" t="str">
        <f>IF(BA242=1,VLOOKUP($AP242,Usinas!$B$3:$F$241,3,0),"")</f>
        <v>IGUAÇU</v>
      </c>
      <c r="AS242" s="103" t="str">
        <f>IF(BA242,VLOOKUP($AP242,Usinas!$B$3:$F$244,4,0),"")</f>
        <v>SUL</v>
      </c>
      <c r="AT242" s="103">
        <f t="shared" si="234"/>
        <v>0.55959999999999999</v>
      </c>
      <c r="AU242" s="104">
        <f t="shared" si="241"/>
        <v>670.96039999999994</v>
      </c>
      <c r="AV242" s="104">
        <f t="shared" si="241"/>
        <v>714.60919999999999</v>
      </c>
      <c r="AW242" s="104">
        <f t="shared" si="241"/>
        <v>759.93679999999995</v>
      </c>
      <c r="AX242" s="104">
        <f t="shared" si="241"/>
        <v>748.74479999999994</v>
      </c>
      <c r="AY242" s="104">
        <f t="shared" si="241"/>
        <v>710.69200000000001</v>
      </c>
      <c r="AZ242" s="104">
        <f t="shared" si="241"/>
        <v>677.67560000000003</v>
      </c>
      <c r="BA242" s="103">
        <f t="shared" si="235"/>
        <v>1</v>
      </c>
      <c r="BB242" s="103">
        <f t="shared" si="236"/>
        <v>0</v>
      </c>
      <c r="BC242" s="103" t="str">
        <f>IF(BA242=1,VLOOKUP($AP242,Usinas!$B$3:$H$244,7,0),"")</f>
        <v>IGUACU</v>
      </c>
      <c r="BV242" s="97" t="s">
        <v>331</v>
      </c>
      <c r="BW242" s="98" t="e">
        <f t="shared" si="238"/>
        <v>#VALUE!</v>
      </c>
      <c r="BX242" s="97" t="str">
        <f t="shared" si="237"/>
        <v/>
      </c>
    </row>
    <row r="243" spans="24:76" x14ac:dyDescent="0.3">
      <c r="X243" s="42" t="e">
        <v>#N/A</v>
      </c>
      <c r="Z243" s="101">
        <v>223</v>
      </c>
      <c r="AA243" s="101">
        <v>0</v>
      </c>
      <c r="AB243" s="101">
        <v>0</v>
      </c>
      <c r="AP243" s="103">
        <v>223</v>
      </c>
      <c r="AQ243" s="103" t="str">
        <f>IF(BA243=1,VLOOKUP($AP243,Usinas!$B$3:$F$244,2,0),"")</f>
        <v/>
      </c>
      <c r="AR243" s="103" t="str">
        <f>IF(BA243=1,VLOOKUP($AP243,Usinas!$B$3:$F$241,3,0),"")</f>
        <v/>
      </c>
      <c r="AS243" s="103" t="str">
        <f>IF(BA243,VLOOKUP($AP243,Usinas!$B$3:$F$244,4,0),"")</f>
        <v/>
      </c>
      <c r="AT243" s="103" t="str">
        <f t="shared" si="234"/>
        <v/>
      </c>
      <c r="AU243" s="104" t="str">
        <f t="shared" si="241"/>
        <v/>
      </c>
      <c r="AV243" s="104" t="str">
        <f t="shared" si="241"/>
        <v/>
      </c>
      <c r="AW243" s="104" t="str">
        <f t="shared" si="241"/>
        <v/>
      </c>
      <c r="AX243" s="104" t="str">
        <f t="shared" si="241"/>
        <v/>
      </c>
      <c r="AY243" s="104" t="str">
        <f t="shared" si="241"/>
        <v/>
      </c>
      <c r="AZ243" s="104" t="str">
        <f t="shared" si="241"/>
        <v/>
      </c>
      <c r="BA243" s="103">
        <f t="shared" si="235"/>
        <v>0</v>
      </c>
      <c r="BB243" s="103">
        <f t="shared" si="236"/>
        <v>0</v>
      </c>
      <c r="BC243" s="103" t="str">
        <f>IF(BA243=1,VLOOKUP($AP243,Usinas!$B$3:$H$244,7,0),"")</f>
        <v/>
      </c>
      <c r="BV243" s="97" t="s">
        <v>331</v>
      </c>
      <c r="BW243" s="98" t="e">
        <f t="shared" si="238"/>
        <v>#VALUE!</v>
      </c>
      <c r="BX243" s="97" t="str">
        <f t="shared" si="237"/>
        <v/>
      </c>
    </row>
    <row r="244" spans="24:76" x14ac:dyDescent="0.3">
      <c r="X244" s="42" t="e">
        <v>#N/A</v>
      </c>
      <c r="Z244" s="101">
        <v>224</v>
      </c>
      <c r="AA244" s="101">
        <v>0</v>
      </c>
      <c r="AB244" s="101">
        <v>0</v>
      </c>
      <c r="AP244" s="103">
        <v>224</v>
      </c>
      <c r="AQ244" s="103" t="str">
        <f>IF(BA244=1,VLOOKUP($AP244,Usinas!$B$3:$F$244,2,0),"")</f>
        <v/>
      </c>
      <c r="AR244" s="103" t="str">
        <f>IF(BA244=1,VLOOKUP($AP244,Usinas!$B$3:$F$241,3,0),"")</f>
        <v/>
      </c>
      <c r="AS244" s="103" t="str">
        <f>IF(BA244,VLOOKUP($AP244,Usinas!$B$3:$F$244,4,0),"")</f>
        <v/>
      </c>
      <c r="AT244" s="103" t="str">
        <f t="shared" si="234"/>
        <v/>
      </c>
      <c r="AU244" s="104" t="str">
        <f t="shared" si="241"/>
        <v/>
      </c>
      <c r="AV244" s="104" t="str">
        <f t="shared" si="241"/>
        <v/>
      </c>
      <c r="AW244" s="104" t="str">
        <f t="shared" si="241"/>
        <v/>
      </c>
      <c r="AX244" s="104" t="str">
        <f t="shared" si="241"/>
        <v/>
      </c>
      <c r="AY244" s="104" t="str">
        <f t="shared" si="241"/>
        <v/>
      </c>
      <c r="AZ244" s="104" t="str">
        <f t="shared" si="241"/>
        <v/>
      </c>
      <c r="BA244" s="103">
        <f t="shared" si="235"/>
        <v>0</v>
      </c>
      <c r="BB244" s="103">
        <f t="shared" si="236"/>
        <v>0</v>
      </c>
      <c r="BC244" s="103" t="str">
        <f>IF(BA244=1,VLOOKUP($AP244,Usinas!$B$3:$H$244,7,0),"")</f>
        <v/>
      </c>
      <c r="BV244" s="97" t="s">
        <v>331</v>
      </c>
      <c r="BW244" s="98" t="e">
        <f t="shared" si="238"/>
        <v>#VALUE!</v>
      </c>
      <c r="BX244" s="97" t="str">
        <f t="shared" si="237"/>
        <v/>
      </c>
    </row>
    <row r="245" spans="24:76" x14ac:dyDescent="0.3">
      <c r="X245" s="42" t="e">
        <v>#N/A</v>
      </c>
      <c r="Z245" s="101">
        <v>225</v>
      </c>
      <c r="AA245" s="101">
        <v>0</v>
      </c>
      <c r="AB245" s="101">
        <v>0</v>
      </c>
      <c r="AP245" s="103">
        <v>225</v>
      </c>
      <c r="AQ245" s="103" t="str">
        <f>IF(BA245=1,VLOOKUP($AP245,Usinas!$B$3:$F$244,2,0),"")</f>
        <v/>
      </c>
      <c r="AR245" s="103" t="str">
        <f>IF(BA245=1,VLOOKUP($AP245,Usinas!$B$3:$F$241,3,0),"")</f>
        <v/>
      </c>
      <c r="AS245" s="103" t="str">
        <f>IF(BA245,VLOOKUP($AP245,Usinas!$B$3:$F$244,4,0),"")</f>
        <v/>
      </c>
      <c r="AT245" s="103" t="str">
        <f t="shared" si="234"/>
        <v/>
      </c>
      <c r="AU245" s="104" t="str">
        <f t="shared" si="241"/>
        <v/>
      </c>
      <c r="AV245" s="104" t="str">
        <f t="shared" si="241"/>
        <v/>
      </c>
      <c r="AW245" s="104" t="str">
        <f t="shared" si="241"/>
        <v/>
      </c>
      <c r="AX245" s="104" t="str">
        <f t="shared" si="241"/>
        <v/>
      </c>
      <c r="AY245" s="104" t="str">
        <f t="shared" si="241"/>
        <v/>
      </c>
      <c r="AZ245" s="104" t="str">
        <f t="shared" si="241"/>
        <v/>
      </c>
      <c r="BA245" s="103">
        <f t="shared" si="235"/>
        <v>0</v>
      </c>
      <c r="BB245" s="103">
        <f t="shared" si="236"/>
        <v>0</v>
      </c>
      <c r="BC245" s="103" t="str">
        <f>IF(BA245=1,VLOOKUP($AP245,Usinas!$B$3:$H$244,7,0),"")</f>
        <v/>
      </c>
      <c r="BV245" s="97" t="s">
        <v>331</v>
      </c>
      <c r="BW245" s="98" t="e">
        <f t="shared" si="238"/>
        <v>#VALUE!</v>
      </c>
      <c r="BX245" s="97" t="str">
        <f t="shared" si="237"/>
        <v/>
      </c>
    </row>
    <row r="246" spans="24:76" x14ac:dyDescent="0.3">
      <c r="X246" s="42" t="e">
        <v>#N/A</v>
      </c>
      <c r="Z246" s="101">
        <v>226</v>
      </c>
      <c r="AA246" s="101">
        <v>0</v>
      </c>
      <c r="AB246" s="101">
        <v>0</v>
      </c>
      <c r="AP246" s="103">
        <v>226</v>
      </c>
      <c r="AQ246" s="103" t="str">
        <f>IF(BA246=1,VLOOKUP($AP246,Usinas!$B$3:$F$244,2,0),"")</f>
        <v/>
      </c>
      <c r="AR246" s="103" t="str">
        <f>IF(BA246=1,VLOOKUP($AP246,Usinas!$B$3:$F$241,3,0),"")</f>
        <v/>
      </c>
      <c r="AS246" s="103" t="str">
        <f>IF(BA246,VLOOKUP($AP246,Usinas!$B$3:$F$244,4,0),"")</f>
        <v/>
      </c>
      <c r="AT246" s="103" t="str">
        <f t="shared" si="234"/>
        <v/>
      </c>
      <c r="AU246" s="104" t="str">
        <f t="shared" si="241"/>
        <v/>
      </c>
      <c r="AV246" s="104" t="str">
        <f t="shared" si="241"/>
        <v/>
      </c>
      <c r="AW246" s="104" t="str">
        <f t="shared" si="241"/>
        <v/>
      </c>
      <c r="AX246" s="104" t="str">
        <f t="shared" si="241"/>
        <v/>
      </c>
      <c r="AY246" s="104" t="str">
        <f t="shared" si="241"/>
        <v/>
      </c>
      <c r="AZ246" s="104" t="str">
        <f t="shared" si="241"/>
        <v/>
      </c>
      <c r="BA246" s="103">
        <f t="shared" si="235"/>
        <v>0</v>
      </c>
      <c r="BB246" s="103">
        <f t="shared" si="236"/>
        <v>0</v>
      </c>
      <c r="BC246" s="103" t="str">
        <f>IF(BA246=1,VLOOKUP($AP246,Usinas!$B$3:$H$244,7,0),"")</f>
        <v/>
      </c>
      <c r="BV246" s="97" t="s">
        <v>331</v>
      </c>
      <c r="BW246" s="98" t="e">
        <f t="shared" si="238"/>
        <v>#VALUE!</v>
      </c>
      <c r="BX246" s="97" t="str">
        <f t="shared" si="237"/>
        <v/>
      </c>
    </row>
    <row r="247" spans="24:76" x14ac:dyDescent="0.3">
      <c r="X247" s="42" t="e">
        <v>#N/A</v>
      </c>
      <c r="Z247" s="101">
        <v>227</v>
      </c>
      <c r="AA247" s="101">
        <v>1</v>
      </c>
      <c r="AB247" s="101">
        <v>0.24310000000000001</v>
      </c>
      <c r="AP247" s="103">
        <v>227</v>
      </c>
      <c r="AQ247" s="103" t="str">
        <f>IF(BA247=1,VLOOKUP($AP247,Usinas!$B$3:$F$244,2,0),"")</f>
        <v>SINOP</v>
      </c>
      <c r="AR247" s="103" t="str">
        <f>IF(BA247=1,VLOOKUP($AP247,Usinas!$B$3:$F$241,3,0),"")</f>
        <v>AMAZONAS (SE)</v>
      </c>
      <c r="AS247" s="103" t="str">
        <f>IF(BA247,VLOOKUP($AP247,Usinas!$B$3:$F$244,4,0),"")</f>
        <v>SUDESTE</v>
      </c>
      <c r="AT247" s="103">
        <f t="shared" si="234"/>
        <v>0.24310000000000001</v>
      </c>
      <c r="AU247" s="104">
        <f t="shared" si="241"/>
        <v>319.19030000000004</v>
      </c>
      <c r="AV247" s="104">
        <f t="shared" si="241"/>
        <v>336.69350000000003</v>
      </c>
      <c r="AW247" s="104">
        <f t="shared" si="241"/>
        <v>365.8655</v>
      </c>
      <c r="AX247" s="104">
        <f t="shared" si="241"/>
        <v>376.80500000000001</v>
      </c>
      <c r="AY247" s="104">
        <f t="shared" si="241"/>
        <v>376.56190000000004</v>
      </c>
      <c r="AZ247" s="104">
        <f t="shared" si="241"/>
        <v>393.57890000000003</v>
      </c>
      <c r="BA247" s="103">
        <f t="shared" si="235"/>
        <v>1</v>
      </c>
      <c r="BB247" s="103">
        <f t="shared" si="236"/>
        <v>0</v>
      </c>
      <c r="BC247" s="103" t="str">
        <f>IF(BA247=1,VLOOKUP($AP247,Usinas!$B$3:$H$244,7,0),"")</f>
        <v>TELES PIRES</v>
      </c>
      <c r="BV247" s="97" t="s">
        <v>331</v>
      </c>
      <c r="BW247" s="98" t="e">
        <f t="shared" si="238"/>
        <v>#VALUE!</v>
      </c>
      <c r="BX247" s="97" t="str">
        <f t="shared" si="237"/>
        <v/>
      </c>
    </row>
    <row r="248" spans="24:76" x14ac:dyDescent="0.3">
      <c r="X248" s="42" t="e">
        <v>#N/A</v>
      </c>
      <c r="Z248" s="101">
        <v>228</v>
      </c>
      <c r="AA248" s="101">
        <v>1</v>
      </c>
      <c r="AB248" s="101">
        <v>0.20780000000000001</v>
      </c>
      <c r="AP248" s="103">
        <v>228</v>
      </c>
      <c r="AQ248" s="103" t="str">
        <f>IF(BA248=1,VLOOKUP($AP248,Usinas!$B$3:$F$244,2,0),"")</f>
        <v>COLIDER</v>
      </c>
      <c r="AR248" s="103" t="str">
        <f>IF(BA248=1,VLOOKUP($AP248,Usinas!$B$3:$F$241,3,0),"")</f>
        <v>AMAZONAS (SE)</v>
      </c>
      <c r="AS248" s="103" t="str">
        <f>IF(BA248,VLOOKUP($AP248,Usinas!$B$3:$F$244,4,0),"")</f>
        <v>SUDESTE</v>
      </c>
      <c r="AT248" s="103">
        <f t="shared" si="234"/>
        <v>0.20780000000000001</v>
      </c>
      <c r="AU248" s="104">
        <f t="shared" si="241"/>
        <v>237.93100000000001</v>
      </c>
      <c r="AV248" s="104">
        <f t="shared" si="241"/>
        <v>250.399</v>
      </c>
      <c r="AW248" s="104">
        <f t="shared" si="241"/>
        <v>271.38679999999999</v>
      </c>
      <c r="AX248" s="104">
        <f t="shared" si="241"/>
        <v>281.56900000000002</v>
      </c>
      <c r="AY248" s="104">
        <f t="shared" si="241"/>
        <v>280.73779999999999</v>
      </c>
      <c r="AZ248" s="104">
        <f t="shared" si="241"/>
        <v>292.79020000000003</v>
      </c>
      <c r="BA248" s="103">
        <f t="shared" si="235"/>
        <v>1</v>
      </c>
      <c r="BB248" s="103">
        <f t="shared" si="236"/>
        <v>0</v>
      </c>
      <c r="BC248" s="103" t="str">
        <f>IF(BA248=1,VLOOKUP($AP248,Usinas!$B$3:$H$244,7,0),"")</f>
        <v>MADEIRA</v>
      </c>
      <c r="BV248" s="97" t="s">
        <v>331</v>
      </c>
      <c r="BW248" s="98" t="e">
        <f t="shared" si="238"/>
        <v>#VALUE!</v>
      </c>
      <c r="BX248" s="97" t="str">
        <f t="shared" si="237"/>
        <v/>
      </c>
    </row>
    <row r="249" spans="24:76" x14ac:dyDescent="0.3">
      <c r="X249" s="42" t="e">
        <v>#N/A</v>
      </c>
      <c r="Z249" s="101">
        <v>229</v>
      </c>
      <c r="AA249" s="101">
        <v>1</v>
      </c>
      <c r="AB249" s="101">
        <v>0.50539999999999996</v>
      </c>
      <c r="AP249" s="103">
        <v>229</v>
      </c>
      <c r="AQ249" s="103" t="str">
        <f>IF(BA249=1,VLOOKUP($AP249,Usinas!$B$3:$F$244,2,0),"")</f>
        <v>TELES PIRES</v>
      </c>
      <c r="AR249" s="103" t="str">
        <f>IF(BA249=1,VLOOKUP($AP249,Usinas!$B$3:$F$241,3,0),"")</f>
        <v>AMAZONAS (SE)</v>
      </c>
      <c r="AS249" s="103" t="str">
        <f>IF(BA249,VLOOKUP($AP249,Usinas!$B$3:$F$244,4,0),"")</f>
        <v>SUDESTE</v>
      </c>
      <c r="AT249" s="103">
        <f t="shared" si="234"/>
        <v>0.50539999999999996</v>
      </c>
      <c r="AU249" s="104">
        <f t="shared" si="241"/>
        <v>2192.9305999999997</v>
      </c>
      <c r="AV249" s="104">
        <f t="shared" si="241"/>
        <v>2303.1077999999998</v>
      </c>
      <c r="AW249" s="104">
        <f t="shared" si="241"/>
        <v>2458.2655999999997</v>
      </c>
      <c r="AX249" s="104">
        <f t="shared" si="241"/>
        <v>2574.5075999999999</v>
      </c>
      <c r="AY249" s="104">
        <f t="shared" si="241"/>
        <v>2653.8553999999999</v>
      </c>
      <c r="AZ249" s="104">
        <f t="shared" si="241"/>
        <v>2748.3651999999997</v>
      </c>
      <c r="BA249" s="103">
        <f t="shared" si="235"/>
        <v>1</v>
      </c>
      <c r="BB249" s="103">
        <f t="shared" si="236"/>
        <v>0</v>
      </c>
      <c r="BC249" s="103" t="str">
        <f>IF(BA249=1,VLOOKUP($AP249,Usinas!$B$3:$H$244,7,0),"")</f>
        <v>TELES PIRES</v>
      </c>
      <c r="BV249" s="97" t="s">
        <v>331</v>
      </c>
      <c r="BW249" s="98" t="e">
        <f t="shared" si="238"/>
        <v>#VALUE!</v>
      </c>
      <c r="BX249" s="97" t="str">
        <f t="shared" si="237"/>
        <v/>
      </c>
    </row>
    <row r="250" spans="24:76" x14ac:dyDescent="0.3">
      <c r="X250" s="42" t="e">
        <v>#N/A</v>
      </c>
      <c r="Z250" s="101">
        <v>230</v>
      </c>
      <c r="AA250" s="101">
        <v>1</v>
      </c>
      <c r="AB250" s="101">
        <v>0.22670000000000001</v>
      </c>
      <c r="AP250" s="103">
        <v>230</v>
      </c>
      <c r="AQ250" s="103" t="str">
        <f>IF(BA250=1,VLOOKUP($AP250,Usinas!$B$3:$F$244,2,0),"")</f>
        <v>SÃO MANOEL</v>
      </c>
      <c r="AR250" s="103" t="str">
        <f>IF(BA250=1,VLOOKUP($AP250,Usinas!$B$3:$F$241,3,0),"")</f>
        <v>AMAZONAS (SE)</v>
      </c>
      <c r="AS250" s="103" t="str">
        <f>IF(BA250,VLOOKUP($AP250,Usinas!$B$3:$F$244,4,0),"")</f>
        <v>SUDESTE</v>
      </c>
      <c r="AT250" s="103">
        <f t="shared" si="234"/>
        <v>0.22670000000000001</v>
      </c>
      <c r="AU250" s="104">
        <f t="shared" si="241"/>
        <v>987.95860000000005</v>
      </c>
      <c r="AV250" s="104">
        <f t="shared" si="241"/>
        <v>1036.4724000000001</v>
      </c>
      <c r="AW250" s="104">
        <f t="shared" si="241"/>
        <v>1107.6562000000001</v>
      </c>
      <c r="AX250" s="104">
        <f t="shared" si="241"/>
        <v>1159.7972</v>
      </c>
      <c r="AY250" s="104">
        <f t="shared" si="241"/>
        <v>1196.0692000000001</v>
      </c>
      <c r="AZ250" s="104">
        <f t="shared" si="241"/>
        <v>1238.9155000000001</v>
      </c>
      <c r="BA250" s="103">
        <f t="shared" si="235"/>
        <v>1</v>
      </c>
      <c r="BB250" s="103">
        <f t="shared" si="236"/>
        <v>0</v>
      </c>
      <c r="BC250" s="103" t="str">
        <f>IF(BA250=1,VLOOKUP($AP250,Usinas!$B$3:$H$244,7,0),"")</f>
        <v>SUDESTE</v>
      </c>
      <c r="BW250" s="86"/>
      <c r="BX250" s="97" t="str">
        <f t="shared" si="237"/>
        <v/>
      </c>
    </row>
    <row r="251" spans="24:76" x14ac:dyDescent="0.3">
      <c r="X251" s="42" t="e">
        <v>#N/A</v>
      </c>
      <c r="Z251" s="101">
        <v>231</v>
      </c>
      <c r="AA251" s="101">
        <v>0</v>
      </c>
      <c r="AB251" s="101">
        <v>0</v>
      </c>
      <c r="AP251" s="103">
        <v>231</v>
      </c>
      <c r="AQ251" s="103" t="str">
        <f>IF(BA251=1,VLOOKUP($AP251,Usinas!$B$3:$F$244,2,0),"")</f>
        <v/>
      </c>
      <c r="AR251" s="103" t="str">
        <f>IF(BA251=1,VLOOKUP($AP251,Usinas!$B$3:$F$241,3,0),"")</f>
        <v/>
      </c>
      <c r="AS251" s="103" t="str">
        <f>IF(BA251,VLOOKUP($AP251,Usinas!$B$3:$F$244,4,0),"")</f>
        <v/>
      </c>
      <c r="AT251" s="103" t="str">
        <f t="shared" si="234"/>
        <v/>
      </c>
      <c r="AU251" s="104" t="str">
        <f t="shared" ref="AU251:AZ260" si="242">IF($BA251=1,IFERROR(VLOOKUP($AP251,$AE$21:$AK$211,AU$19,0),VLOOKUP($AP251,$BE$21:$BK$65,AU$19,0))*$AT251,"")</f>
        <v/>
      </c>
      <c r="AV251" s="104" t="str">
        <f t="shared" si="242"/>
        <v/>
      </c>
      <c r="AW251" s="104" t="str">
        <f t="shared" si="242"/>
        <v/>
      </c>
      <c r="AX251" s="104" t="str">
        <f t="shared" si="242"/>
        <v/>
      </c>
      <c r="AY251" s="104" t="str">
        <f t="shared" si="242"/>
        <v/>
      </c>
      <c r="AZ251" s="104" t="str">
        <f t="shared" si="242"/>
        <v/>
      </c>
      <c r="BA251" s="103">
        <f t="shared" si="235"/>
        <v>0</v>
      </c>
      <c r="BB251" s="103">
        <f t="shared" si="236"/>
        <v>0</v>
      </c>
      <c r="BC251" s="103" t="str">
        <f>IF(BA251=1,VLOOKUP($AP251,Usinas!$B$3:$H$244,7,0),"")</f>
        <v/>
      </c>
    </row>
    <row r="252" spans="24:76" x14ac:dyDescent="0.3">
      <c r="X252" s="42" t="e">
        <v>#N/A</v>
      </c>
      <c r="Z252" s="101">
        <v>232</v>
      </c>
      <c r="AA252" s="101">
        <v>0</v>
      </c>
      <c r="AB252" s="101">
        <v>0</v>
      </c>
      <c r="AP252" s="103">
        <v>232</v>
      </c>
      <c r="AQ252" s="103" t="str">
        <f>IF(BA252=1,VLOOKUP($AP252,Usinas!$B$3:$F$244,2,0),"")</f>
        <v/>
      </c>
      <c r="AR252" s="103" t="str">
        <f>IF(BA252=1,VLOOKUP($AP252,Usinas!$B$3:$F$241,3,0),"")</f>
        <v/>
      </c>
      <c r="AS252" s="103" t="str">
        <f>IF(BA252,VLOOKUP($AP252,Usinas!$B$3:$F$244,4,0),"")</f>
        <v/>
      </c>
      <c r="AT252" s="103" t="str">
        <f t="shared" si="234"/>
        <v/>
      </c>
      <c r="AU252" s="104" t="str">
        <f t="shared" si="242"/>
        <v/>
      </c>
      <c r="AV252" s="104" t="str">
        <f t="shared" si="242"/>
        <v/>
      </c>
      <c r="AW252" s="104" t="str">
        <f t="shared" si="242"/>
        <v/>
      </c>
      <c r="AX252" s="104" t="str">
        <f t="shared" si="242"/>
        <v/>
      </c>
      <c r="AY252" s="104" t="str">
        <f t="shared" si="242"/>
        <v/>
      </c>
      <c r="AZ252" s="104" t="str">
        <f t="shared" si="242"/>
        <v/>
      </c>
      <c r="BA252" s="103">
        <f t="shared" si="235"/>
        <v>0</v>
      </c>
      <c r="BB252" s="103">
        <f t="shared" si="236"/>
        <v>0</v>
      </c>
      <c r="BC252" s="103" t="str">
        <f>IF(BA252=1,VLOOKUP($AP252,Usinas!$B$3:$H$244,7,0),"")</f>
        <v/>
      </c>
    </row>
    <row r="253" spans="24:76" x14ac:dyDescent="0.3">
      <c r="X253" s="42" t="e">
        <v>#N/A</v>
      </c>
      <c r="Z253" s="101">
        <v>233</v>
      </c>
      <c r="AA253" s="101">
        <v>0</v>
      </c>
      <c r="AB253" s="101">
        <v>0</v>
      </c>
      <c r="AP253" s="103">
        <v>233</v>
      </c>
      <c r="AQ253" s="103" t="str">
        <f>IF(BA253=1,VLOOKUP($AP253,Usinas!$B$3:$F$244,2,0),"")</f>
        <v/>
      </c>
      <c r="AR253" s="103" t="str">
        <f>IF(BA253=1,VLOOKUP($AP253,Usinas!$B$3:$F$241,3,0),"")</f>
        <v/>
      </c>
      <c r="AS253" s="103" t="str">
        <f>IF(BA253,VLOOKUP($AP253,Usinas!$B$3:$F$244,4,0),"")</f>
        <v/>
      </c>
      <c r="AT253" s="103" t="str">
        <f t="shared" si="234"/>
        <v/>
      </c>
      <c r="AU253" s="104" t="str">
        <f t="shared" si="242"/>
        <v/>
      </c>
      <c r="AV253" s="104" t="str">
        <f t="shared" si="242"/>
        <v/>
      </c>
      <c r="AW253" s="104" t="str">
        <f t="shared" si="242"/>
        <v/>
      </c>
      <c r="AX253" s="104" t="str">
        <f t="shared" si="242"/>
        <v/>
      </c>
      <c r="AY253" s="104" t="str">
        <f t="shared" si="242"/>
        <v/>
      </c>
      <c r="AZ253" s="104" t="str">
        <f t="shared" si="242"/>
        <v/>
      </c>
      <c r="BA253" s="103">
        <f t="shared" si="235"/>
        <v>0</v>
      </c>
      <c r="BB253" s="103">
        <f t="shared" si="236"/>
        <v>0</v>
      </c>
      <c r="BC253" s="103" t="str">
        <f>IF(BA253=1,VLOOKUP($AP253,Usinas!$B$3:$H$244,7,0),"")</f>
        <v/>
      </c>
    </row>
    <row r="254" spans="24:76" x14ac:dyDescent="0.3">
      <c r="X254" s="42" t="e">
        <v>#N/A</v>
      </c>
      <c r="Z254" s="101">
        <v>234</v>
      </c>
      <c r="AA254" s="101">
        <v>0</v>
      </c>
      <c r="AB254" s="101">
        <v>0</v>
      </c>
      <c r="AP254" s="103">
        <v>234</v>
      </c>
      <c r="AQ254" s="103" t="str">
        <f>IF(BA254=1,VLOOKUP($AP254,Usinas!$B$3:$F$244,2,0),"")</f>
        <v/>
      </c>
      <c r="AR254" s="103" t="str">
        <f>IF(BA254=1,VLOOKUP($AP254,Usinas!$B$3:$F$241,3,0),"")</f>
        <v/>
      </c>
      <c r="AS254" s="103" t="str">
        <f>IF(BA254,VLOOKUP($AP254,Usinas!$B$3:$F$244,4,0),"")</f>
        <v/>
      </c>
      <c r="AT254" s="103" t="str">
        <f t="shared" si="234"/>
        <v/>
      </c>
      <c r="AU254" s="104" t="str">
        <f t="shared" si="242"/>
        <v/>
      </c>
      <c r="AV254" s="104" t="str">
        <f t="shared" si="242"/>
        <v/>
      </c>
      <c r="AW254" s="104" t="str">
        <f t="shared" si="242"/>
        <v/>
      </c>
      <c r="AX254" s="104" t="str">
        <f t="shared" si="242"/>
        <v/>
      </c>
      <c r="AY254" s="104" t="str">
        <f t="shared" si="242"/>
        <v/>
      </c>
      <c r="AZ254" s="104" t="str">
        <f t="shared" si="242"/>
        <v/>
      </c>
      <c r="BA254" s="103">
        <f t="shared" si="235"/>
        <v>0</v>
      </c>
      <c r="BB254" s="103">
        <f t="shared" si="236"/>
        <v>0</v>
      </c>
      <c r="BC254" s="103" t="str">
        <f>IF(BA254=1,VLOOKUP($AP254,Usinas!$B$3:$H$244,7,0),"")</f>
        <v/>
      </c>
    </row>
    <row r="255" spans="24:76" x14ac:dyDescent="0.3">
      <c r="X255" s="42" t="e">
        <v>#N/A</v>
      </c>
      <c r="Z255" s="101">
        <v>235</v>
      </c>
      <c r="AA255" s="101">
        <v>0</v>
      </c>
      <c r="AB255" s="101">
        <v>0</v>
      </c>
      <c r="AP255" s="103">
        <v>235</v>
      </c>
      <c r="AQ255" s="103" t="str">
        <f>IF(BA255=1,VLOOKUP($AP255,Usinas!$B$3:$F$244,2,0),"")</f>
        <v/>
      </c>
      <c r="AR255" s="103" t="str">
        <f>IF(BA255=1,VLOOKUP($AP255,Usinas!$B$3:$F$241,3,0),"")</f>
        <v/>
      </c>
      <c r="AS255" s="103" t="str">
        <f>IF(BA255,VLOOKUP($AP255,Usinas!$B$3:$F$244,4,0),"")</f>
        <v/>
      </c>
      <c r="AT255" s="103" t="str">
        <f t="shared" si="234"/>
        <v/>
      </c>
      <c r="AU255" s="104" t="str">
        <f t="shared" si="242"/>
        <v/>
      </c>
      <c r="AV255" s="104" t="str">
        <f t="shared" si="242"/>
        <v/>
      </c>
      <c r="AW255" s="104" t="str">
        <f t="shared" si="242"/>
        <v/>
      </c>
      <c r="AX255" s="104" t="str">
        <f t="shared" si="242"/>
        <v/>
      </c>
      <c r="AY255" s="104" t="str">
        <f t="shared" si="242"/>
        <v/>
      </c>
      <c r="AZ255" s="104" t="str">
        <f t="shared" si="242"/>
        <v/>
      </c>
      <c r="BA255" s="103">
        <f t="shared" si="235"/>
        <v>0</v>
      </c>
      <c r="BB255" s="103">
        <f t="shared" si="236"/>
        <v>0</v>
      </c>
      <c r="BC255" s="103" t="str">
        <f>IF(BA255=1,VLOOKUP($AP255,Usinas!$B$3:$H$244,7,0),"")</f>
        <v/>
      </c>
    </row>
    <row r="256" spans="24:76" x14ac:dyDescent="0.3">
      <c r="X256" s="42" t="e">
        <v>#N/A</v>
      </c>
      <c r="Z256" s="101">
        <v>236</v>
      </c>
      <c r="AA256" s="101">
        <v>0</v>
      </c>
      <c r="AB256" s="101">
        <v>0</v>
      </c>
      <c r="AP256" s="103">
        <v>236</v>
      </c>
      <c r="AQ256" s="103" t="str">
        <f>IF(BA256=1,VLOOKUP($AP256,Usinas!$B$3:$F$244,2,0),"")</f>
        <v/>
      </c>
      <c r="AR256" s="103" t="str">
        <f>IF(BA256=1,VLOOKUP($AP256,Usinas!$B$3:$F$241,3,0),"")</f>
        <v/>
      </c>
      <c r="AS256" s="103" t="str">
        <f>IF(BA256,VLOOKUP($AP256,Usinas!$B$3:$F$244,4,0),"")</f>
        <v/>
      </c>
      <c r="AT256" s="103" t="str">
        <f t="shared" si="234"/>
        <v/>
      </c>
      <c r="AU256" s="104" t="str">
        <f t="shared" si="242"/>
        <v/>
      </c>
      <c r="AV256" s="104" t="str">
        <f t="shared" si="242"/>
        <v/>
      </c>
      <c r="AW256" s="104" t="str">
        <f t="shared" si="242"/>
        <v/>
      </c>
      <c r="AX256" s="104" t="str">
        <f t="shared" si="242"/>
        <v/>
      </c>
      <c r="AY256" s="104" t="str">
        <f t="shared" si="242"/>
        <v/>
      </c>
      <c r="AZ256" s="104" t="str">
        <f t="shared" si="242"/>
        <v/>
      </c>
      <c r="BA256" s="103">
        <f t="shared" si="235"/>
        <v>0</v>
      </c>
      <c r="BB256" s="103">
        <f t="shared" si="236"/>
        <v>0</v>
      </c>
      <c r="BC256" s="103" t="str">
        <f>IF(BA256=1,VLOOKUP($AP256,Usinas!$B$3:$H$244,7,0),"")</f>
        <v/>
      </c>
    </row>
    <row r="257" spans="24:55" x14ac:dyDescent="0.3">
      <c r="X257" s="42" t="e">
        <v>#N/A</v>
      </c>
      <c r="Z257" s="101">
        <v>237</v>
      </c>
      <c r="AA257" s="101">
        <v>0</v>
      </c>
      <c r="AB257" s="101">
        <v>0</v>
      </c>
      <c r="AP257" s="103">
        <v>237</v>
      </c>
      <c r="AQ257" s="103" t="str">
        <f>IF(BA257=1,VLOOKUP($AP257,Usinas!$B$3:$F$244,2,0),"")</f>
        <v/>
      </c>
      <c r="AR257" s="103" t="str">
        <f>IF(BA257=1,VLOOKUP($AP257,Usinas!$B$3:$F$241,3,0),"")</f>
        <v/>
      </c>
      <c r="AS257" s="103" t="str">
        <f>IF(BA257,VLOOKUP($AP257,Usinas!$B$3:$F$244,4,0),"")</f>
        <v/>
      </c>
      <c r="AT257" s="103" t="str">
        <f t="shared" si="234"/>
        <v/>
      </c>
      <c r="AU257" s="104" t="str">
        <f t="shared" si="242"/>
        <v/>
      </c>
      <c r="AV257" s="104" t="str">
        <f t="shared" si="242"/>
        <v/>
      </c>
      <c r="AW257" s="104" t="str">
        <f t="shared" si="242"/>
        <v/>
      </c>
      <c r="AX257" s="104" t="str">
        <f t="shared" si="242"/>
        <v/>
      </c>
      <c r="AY257" s="104" t="str">
        <f t="shared" si="242"/>
        <v/>
      </c>
      <c r="AZ257" s="104" t="str">
        <f t="shared" si="242"/>
        <v/>
      </c>
      <c r="BA257" s="103">
        <f t="shared" si="235"/>
        <v>0</v>
      </c>
      <c r="BB257" s="103">
        <f t="shared" si="236"/>
        <v>0</v>
      </c>
      <c r="BC257" s="103" t="str">
        <f>IF(BA257=1,VLOOKUP($AP257,Usinas!$B$3:$H$244,7,0),"")</f>
        <v/>
      </c>
    </row>
    <row r="258" spans="24:55" x14ac:dyDescent="0.3">
      <c r="X258" s="42" t="e">
        <v>#N/A</v>
      </c>
      <c r="Z258" s="101">
        <v>238</v>
      </c>
      <c r="AA258" s="101">
        <v>0</v>
      </c>
      <c r="AB258" s="101">
        <v>0</v>
      </c>
      <c r="AP258" s="103">
        <v>238</v>
      </c>
      <c r="AQ258" s="103" t="str">
        <f>IF(BA258=1,VLOOKUP($AP258,Usinas!$B$3:$F$244,2,0),"")</f>
        <v/>
      </c>
      <c r="AR258" s="103" t="str">
        <f>IF(BA258=1,VLOOKUP($AP258,Usinas!$B$3:$F$241,3,0),"")</f>
        <v/>
      </c>
      <c r="AS258" s="103" t="str">
        <f>IF(BA258,VLOOKUP($AP258,Usinas!$B$3:$F$244,4,0),"")</f>
        <v/>
      </c>
      <c r="AT258" s="103" t="str">
        <f t="shared" si="234"/>
        <v/>
      </c>
      <c r="AU258" s="104" t="str">
        <f t="shared" si="242"/>
        <v/>
      </c>
      <c r="AV258" s="104" t="str">
        <f t="shared" si="242"/>
        <v/>
      </c>
      <c r="AW258" s="104" t="str">
        <f t="shared" si="242"/>
        <v/>
      </c>
      <c r="AX258" s="104" t="str">
        <f t="shared" si="242"/>
        <v/>
      </c>
      <c r="AY258" s="104" t="str">
        <f t="shared" si="242"/>
        <v/>
      </c>
      <c r="AZ258" s="104" t="str">
        <f t="shared" si="242"/>
        <v/>
      </c>
      <c r="BA258" s="103">
        <f t="shared" si="235"/>
        <v>0</v>
      </c>
      <c r="BB258" s="103">
        <f t="shared" si="236"/>
        <v>0</v>
      </c>
      <c r="BC258" s="103" t="str">
        <f>IF(BA258=1,VLOOKUP($AP258,Usinas!$B$3:$H$244,7,0),"")</f>
        <v/>
      </c>
    </row>
    <row r="259" spans="24:55" x14ac:dyDescent="0.3">
      <c r="X259" s="42" t="e">
        <v>#N/A</v>
      </c>
      <c r="Z259" s="101">
        <v>239</v>
      </c>
      <c r="AA259" s="101">
        <v>0</v>
      </c>
      <c r="AB259" s="101">
        <v>0</v>
      </c>
      <c r="AP259" s="103">
        <v>239</v>
      </c>
      <c r="AQ259" s="103" t="str">
        <f>IF(BA259=1,VLOOKUP($AP259,Usinas!$B$3:$F$244,2,0),"")</f>
        <v/>
      </c>
      <c r="AR259" s="103" t="str">
        <f>IF(BA259=1,VLOOKUP($AP259,Usinas!$B$3:$F$241,3,0),"")</f>
        <v/>
      </c>
      <c r="AS259" s="103" t="str">
        <f>IF(BA259,VLOOKUP($AP259,Usinas!$B$3:$F$244,4,0),"")</f>
        <v/>
      </c>
      <c r="AT259" s="103" t="str">
        <f t="shared" si="234"/>
        <v/>
      </c>
      <c r="AU259" s="104" t="str">
        <f t="shared" si="242"/>
        <v/>
      </c>
      <c r="AV259" s="104" t="str">
        <f t="shared" si="242"/>
        <v/>
      </c>
      <c r="AW259" s="104" t="str">
        <f t="shared" si="242"/>
        <v/>
      </c>
      <c r="AX259" s="104" t="str">
        <f t="shared" si="242"/>
        <v/>
      </c>
      <c r="AY259" s="104" t="str">
        <f t="shared" si="242"/>
        <v/>
      </c>
      <c r="AZ259" s="104" t="str">
        <f t="shared" si="242"/>
        <v/>
      </c>
      <c r="BA259" s="103">
        <f t="shared" si="235"/>
        <v>0</v>
      </c>
      <c r="BB259" s="103">
        <f t="shared" si="236"/>
        <v>0</v>
      </c>
      <c r="BC259" s="103" t="str">
        <f>IF(BA259=1,VLOOKUP($AP259,Usinas!$B$3:$H$244,7,0),"")</f>
        <v/>
      </c>
    </row>
    <row r="260" spans="24:55" x14ac:dyDescent="0.3">
      <c r="X260" s="42" t="e">
        <v>#N/A</v>
      </c>
      <c r="Z260" s="101">
        <v>240</v>
      </c>
      <c r="AA260" s="101">
        <v>0</v>
      </c>
      <c r="AB260" s="101">
        <v>0</v>
      </c>
      <c r="AP260" s="103">
        <v>240</v>
      </c>
      <c r="AQ260" s="103" t="str">
        <f>IF(BA260=1,VLOOKUP($AP260,Usinas!$B$3:$F$244,2,0),"")</f>
        <v/>
      </c>
      <c r="AR260" s="103" t="str">
        <f>IF(BA260=1,VLOOKUP($AP260,Usinas!$B$3:$F$241,3,0),"")</f>
        <v/>
      </c>
      <c r="AS260" s="103" t="str">
        <f>IF(BA260,VLOOKUP($AP260,Usinas!$B$3:$F$244,4,0),"")</f>
        <v/>
      </c>
      <c r="AT260" s="103" t="str">
        <f t="shared" si="234"/>
        <v/>
      </c>
      <c r="AU260" s="104" t="str">
        <f t="shared" si="242"/>
        <v/>
      </c>
      <c r="AV260" s="104" t="str">
        <f t="shared" si="242"/>
        <v/>
      </c>
      <c r="AW260" s="104" t="str">
        <f t="shared" si="242"/>
        <v/>
      </c>
      <c r="AX260" s="104" t="str">
        <f t="shared" si="242"/>
        <v/>
      </c>
      <c r="AY260" s="104" t="str">
        <f t="shared" si="242"/>
        <v/>
      </c>
      <c r="AZ260" s="104" t="str">
        <f t="shared" si="242"/>
        <v/>
      </c>
      <c r="BA260" s="103">
        <f t="shared" si="235"/>
        <v>0</v>
      </c>
      <c r="BB260" s="103">
        <f t="shared" si="236"/>
        <v>0</v>
      </c>
      <c r="BC260" s="103" t="str">
        <f>IF(BA260=1,VLOOKUP($AP260,Usinas!$B$3:$H$244,7,0),"")</f>
        <v/>
      </c>
    </row>
    <row r="261" spans="24:55" x14ac:dyDescent="0.3">
      <c r="X261" s="42" t="e">
        <v>#N/A</v>
      </c>
      <c r="Z261" s="101">
        <v>241</v>
      </c>
      <c r="AA261" s="101">
        <v>1</v>
      </c>
      <c r="AB261" s="101">
        <v>0.37419999999999998</v>
      </c>
      <c r="AP261" s="103">
        <v>241</v>
      </c>
      <c r="AQ261" s="103" t="str">
        <f>IF(BA261=1,VLOOKUP($AP261,Usinas!$B$3:$F$244,2,0),"")</f>
        <v>SLT VERDINHO</v>
      </c>
      <c r="AR261" s="103" t="str">
        <f>IF(BA261=1,VLOOKUP($AP261,Usinas!$B$3:$F$241,3,0),"")</f>
        <v>PARANAÍBA</v>
      </c>
      <c r="AS261" s="103" t="str">
        <f>IF(BA261,VLOOKUP($AP261,Usinas!$B$3:$F$244,4,0),"")</f>
        <v>SUDESTE</v>
      </c>
      <c r="AT261" s="103">
        <f t="shared" si="234"/>
        <v>0.37419999999999998</v>
      </c>
      <c r="AU261" s="104">
        <f t="shared" ref="AU261:AZ270" si="243">IF($BA261=1,IFERROR(VLOOKUP($AP261,$AE$21:$AK$211,AU$19,0),VLOOKUP($AP261,$BE$21:$BK$65,AU$19,0))*$AT261,"")</f>
        <v>90.930599999999998</v>
      </c>
      <c r="AV261" s="104">
        <f t="shared" si="243"/>
        <v>93.55</v>
      </c>
      <c r="AW261" s="104">
        <f t="shared" si="243"/>
        <v>102.5308</v>
      </c>
      <c r="AX261" s="104">
        <f t="shared" si="243"/>
        <v>101.03399999999999</v>
      </c>
      <c r="AY261" s="104">
        <f t="shared" si="243"/>
        <v>101.40819999999999</v>
      </c>
      <c r="AZ261" s="104">
        <f t="shared" si="243"/>
        <v>100.65979999999999</v>
      </c>
      <c r="BA261" s="103">
        <f t="shared" si="235"/>
        <v>1</v>
      </c>
      <c r="BB261" s="103">
        <f t="shared" si="236"/>
        <v>0</v>
      </c>
      <c r="BC261" s="103" t="str">
        <f>IF(BA261=1,VLOOKUP($AP261,Usinas!$B$3:$H$244,7,0),"")</f>
        <v>PARANA</v>
      </c>
    </row>
    <row r="262" spans="24:55" x14ac:dyDescent="0.3">
      <c r="X262" s="42" t="e">
        <v>#N/A</v>
      </c>
      <c r="Z262" s="101">
        <v>242</v>
      </c>
      <c r="AA262" s="101">
        <v>0</v>
      </c>
      <c r="AB262" s="101">
        <v>0</v>
      </c>
      <c r="AP262" s="103">
        <v>242</v>
      </c>
      <c r="AQ262" s="103" t="str">
        <f>IF(BA262=1,VLOOKUP($AP262,Usinas!$B$3:$F$244,2,0),"")</f>
        <v/>
      </c>
      <c r="AR262" s="103" t="str">
        <f>IF(BA262=1,VLOOKUP($AP262,Usinas!$B$3:$F$241,3,0),"")</f>
        <v/>
      </c>
      <c r="AS262" s="103" t="str">
        <f>IF(BA262,VLOOKUP($AP262,Usinas!$B$3:$F$244,4,0),"")</f>
        <v/>
      </c>
      <c r="AT262" s="103" t="str">
        <f t="shared" si="234"/>
        <v/>
      </c>
      <c r="AU262" s="104" t="str">
        <f t="shared" si="243"/>
        <v/>
      </c>
      <c r="AV262" s="104" t="str">
        <f t="shared" si="243"/>
        <v/>
      </c>
      <c r="AW262" s="104" t="str">
        <f t="shared" si="243"/>
        <v/>
      </c>
      <c r="AX262" s="104" t="str">
        <f t="shared" si="243"/>
        <v/>
      </c>
      <c r="AY262" s="104" t="str">
        <f t="shared" si="243"/>
        <v/>
      </c>
      <c r="AZ262" s="104" t="str">
        <f t="shared" si="243"/>
        <v/>
      </c>
      <c r="BA262" s="103">
        <f t="shared" si="235"/>
        <v>0</v>
      </c>
      <c r="BB262" s="103">
        <f t="shared" si="236"/>
        <v>0</v>
      </c>
      <c r="BC262" s="103" t="str">
        <f>IF(BA262=1,VLOOKUP($AP262,Usinas!$B$3:$H$244,7,0),"")</f>
        <v/>
      </c>
    </row>
    <row r="263" spans="24:55" x14ac:dyDescent="0.3">
      <c r="X263" s="42" t="e">
        <v>#N/A</v>
      </c>
      <c r="Z263" s="101">
        <v>243</v>
      </c>
      <c r="AA263" s="101">
        <v>0</v>
      </c>
      <c r="AB263" s="101">
        <v>0</v>
      </c>
      <c r="AP263" s="103">
        <v>243</v>
      </c>
      <c r="AQ263" s="103" t="str">
        <f>IF(BA263=1,VLOOKUP($AP263,Usinas!$B$3:$F$244,2,0),"")</f>
        <v/>
      </c>
      <c r="AR263" s="103" t="str">
        <f>IF(BA263=1,VLOOKUP($AP263,Usinas!$B$3:$F$241,3,0),"")</f>
        <v/>
      </c>
      <c r="AS263" s="103" t="str">
        <f>IF(BA263,VLOOKUP($AP263,Usinas!$B$3:$F$244,4,0),"")</f>
        <v/>
      </c>
      <c r="AT263" s="103" t="str">
        <f t="shared" si="234"/>
        <v/>
      </c>
      <c r="AU263" s="104" t="str">
        <f t="shared" si="243"/>
        <v/>
      </c>
      <c r="AV263" s="104" t="str">
        <f t="shared" si="243"/>
        <v/>
      </c>
      <c r="AW263" s="104" t="str">
        <f t="shared" si="243"/>
        <v/>
      </c>
      <c r="AX263" s="104" t="str">
        <f t="shared" si="243"/>
        <v/>
      </c>
      <c r="AY263" s="104" t="str">
        <f t="shared" si="243"/>
        <v/>
      </c>
      <c r="AZ263" s="104" t="str">
        <f t="shared" si="243"/>
        <v/>
      </c>
      <c r="BA263" s="103">
        <f t="shared" si="235"/>
        <v>0</v>
      </c>
      <c r="BB263" s="103">
        <f t="shared" si="236"/>
        <v>0</v>
      </c>
      <c r="BC263" s="103" t="str">
        <f>IF(BA263=1,VLOOKUP($AP263,Usinas!$B$3:$H$244,7,0),"")</f>
        <v/>
      </c>
    </row>
    <row r="264" spans="24:55" x14ac:dyDescent="0.3">
      <c r="X264" s="42" t="e">
        <v>#N/A</v>
      </c>
      <c r="Z264" s="101">
        <v>244</v>
      </c>
      <c r="AA264" s="101">
        <v>0</v>
      </c>
      <c r="AB264" s="101">
        <v>0</v>
      </c>
      <c r="AP264" s="103">
        <v>244</v>
      </c>
      <c r="AQ264" s="103" t="str">
        <f>IF(BA264=1,VLOOKUP($AP264,Usinas!$B$3:$F$244,2,0),"")</f>
        <v/>
      </c>
      <c r="AR264" s="103" t="str">
        <f>IF(BA264=1,VLOOKUP($AP264,Usinas!$B$3:$F$241,3,0),"")</f>
        <v/>
      </c>
      <c r="AS264" s="103" t="str">
        <f>IF(BA264,VLOOKUP($AP264,Usinas!$B$3:$F$244,4,0),"")</f>
        <v/>
      </c>
      <c r="AT264" s="103" t="str">
        <f t="shared" si="234"/>
        <v/>
      </c>
      <c r="AU264" s="104" t="str">
        <f t="shared" si="243"/>
        <v/>
      </c>
      <c r="AV264" s="104" t="str">
        <f t="shared" si="243"/>
        <v/>
      </c>
      <c r="AW264" s="104" t="str">
        <f t="shared" si="243"/>
        <v/>
      </c>
      <c r="AX264" s="104" t="str">
        <f t="shared" si="243"/>
        <v/>
      </c>
      <c r="AY264" s="104" t="str">
        <f t="shared" si="243"/>
        <v/>
      </c>
      <c r="AZ264" s="104" t="str">
        <f t="shared" si="243"/>
        <v/>
      </c>
      <c r="BA264" s="103">
        <f t="shared" si="235"/>
        <v>0</v>
      </c>
      <c r="BB264" s="103">
        <f t="shared" si="236"/>
        <v>0</v>
      </c>
      <c r="BC264" s="103" t="str">
        <f>IF(BA264=1,VLOOKUP($AP264,Usinas!$B$3:$H$244,7,0),"")</f>
        <v/>
      </c>
    </row>
    <row r="265" spans="24:55" x14ac:dyDescent="0.3">
      <c r="X265" s="42" t="e">
        <v>#N/A</v>
      </c>
      <c r="Z265" s="101">
        <v>245</v>
      </c>
      <c r="AA265" s="101">
        <v>0</v>
      </c>
      <c r="AB265" s="101">
        <v>0</v>
      </c>
      <c r="AP265" s="103">
        <v>245</v>
      </c>
      <c r="AQ265" s="103" t="str">
        <f>IF(BA265=1,VLOOKUP($AP265,Usinas!$B$3:$F$244,2,0),"")</f>
        <v/>
      </c>
      <c r="AR265" s="103" t="str">
        <f>IF(BA265=1,VLOOKUP($AP265,Usinas!$B$3:$F$241,3,0),"")</f>
        <v/>
      </c>
      <c r="AS265" s="103" t="str">
        <f>IF(BA265,VLOOKUP($AP265,Usinas!$B$3:$F$244,4,0),"")</f>
        <v/>
      </c>
      <c r="AT265" s="103" t="str">
        <f t="shared" si="234"/>
        <v/>
      </c>
      <c r="AU265" s="104" t="str">
        <f t="shared" si="243"/>
        <v/>
      </c>
      <c r="AV265" s="104" t="str">
        <f t="shared" si="243"/>
        <v/>
      </c>
      <c r="AW265" s="104" t="str">
        <f t="shared" si="243"/>
        <v/>
      </c>
      <c r="AX265" s="104" t="str">
        <f t="shared" si="243"/>
        <v/>
      </c>
      <c r="AY265" s="104" t="str">
        <f t="shared" si="243"/>
        <v/>
      </c>
      <c r="AZ265" s="104" t="str">
        <f t="shared" si="243"/>
        <v/>
      </c>
      <c r="BA265" s="103">
        <f t="shared" si="235"/>
        <v>0</v>
      </c>
      <c r="BB265" s="103">
        <f t="shared" si="236"/>
        <v>0</v>
      </c>
      <c r="BC265" s="103" t="str">
        <f>IF(BA265=1,VLOOKUP($AP265,Usinas!$B$3:$H$244,7,0),"")</f>
        <v/>
      </c>
    </row>
    <row r="266" spans="24:55" x14ac:dyDescent="0.3">
      <c r="X266" s="42" t="e">
        <v>#N/A</v>
      </c>
      <c r="Z266" s="101">
        <v>246</v>
      </c>
      <c r="AA266" s="101">
        <v>0</v>
      </c>
      <c r="AB266" s="101">
        <v>0</v>
      </c>
      <c r="AP266" s="103">
        <v>246</v>
      </c>
      <c r="AQ266" s="103" t="str">
        <f>IF(BA266=1,VLOOKUP($AP266,Usinas!$B$3:$F$244,2,0),"")</f>
        <v/>
      </c>
      <c r="AR266" s="103" t="str">
        <f>IF(BA266=1,VLOOKUP($AP266,Usinas!$B$3:$F$241,3,0),"")</f>
        <v/>
      </c>
      <c r="AS266" s="103" t="str">
        <f>IF(BA266,VLOOKUP($AP266,Usinas!$B$3:$F$244,4,0),"")</f>
        <v/>
      </c>
      <c r="AT266" s="103" t="str">
        <f t="shared" si="234"/>
        <v/>
      </c>
      <c r="AU266" s="104" t="str">
        <f t="shared" si="243"/>
        <v/>
      </c>
      <c r="AV266" s="104" t="str">
        <f t="shared" si="243"/>
        <v/>
      </c>
      <c r="AW266" s="104" t="str">
        <f t="shared" si="243"/>
        <v/>
      </c>
      <c r="AX266" s="104" t="str">
        <f t="shared" si="243"/>
        <v/>
      </c>
      <c r="AY266" s="104" t="str">
        <f t="shared" si="243"/>
        <v/>
      </c>
      <c r="AZ266" s="104" t="str">
        <f t="shared" si="243"/>
        <v/>
      </c>
      <c r="BA266" s="103">
        <f t="shared" si="235"/>
        <v>0</v>
      </c>
      <c r="BB266" s="103">
        <f t="shared" si="236"/>
        <v>0</v>
      </c>
      <c r="BC266" s="103" t="str">
        <f>IF(BA266=1,VLOOKUP($AP266,Usinas!$B$3:$H$244,7,0),"")</f>
        <v/>
      </c>
    </row>
    <row r="267" spans="24:55" x14ac:dyDescent="0.3">
      <c r="X267" s="42" t="e">
        <v>#N/A</v>
      </c>
      <c r="Z267" s="101">
        <v>247</v>
      </c>
      <c r="AA267" s="101">
        <v>1</v>
      </c>
      <c r="AB267" s="101">
        <v>0.2442</v>
      </c>
      <c r="AP267" s="103">
        <v>247</v>
      </c>
      <c r="AQ267" s="103" t="str">
        <f>IF(BA267=1,VLOOKUP($AP267,Usinas!$B$3:$F$244,2,0),"")</f>
        <v>CACU</v>
      </c>
      <c r="AR267" s="103" t="str">
        <f>IF(BA267=1,VLOOKUP($AP267,Usinas!$B$3:$F$241,3,0),"")</f>
        <v>PARANAÍBA</v>
      </c>
      <c r="AS267" s="103" t="str">
        <f>IF(BA267,VLOOKUP($AP267,Usinas!$B$3:$F$244,4,0),"")</f>
        <v>SUDESTE</v>
      </c>
      <c r="AT267" s="103">
        <f t="shared" si="234"/>
        <v>0.2442</v>
      </c>
      <c r="AU267" s="104">
        <f t="shared" si="243"/>
        <v>73.015799999999999</v>
      </c>
      <c r="AV267" s="104">
        <f t="shared" si="243"/>
        <v>73.992599999999996</v>
      </c>
      <c r="AW267" s="104">
        <f t="shared" si="243"/>
        <v>85.958399999999997</v>
      </c>
      <c r="AX267" s="104">
        <f t="shared" si="243"/>
        <v>77.167199999999994</v>
      </c>
      <c r="AY267" s="104">
        <f t="shared" si="243"/>
        <v>75.701999999999998</v>
      </c>
      <c r="AZ267" s="104">
        <f t="shared" si="243"/>
        <v>74.969399999999993</v>
      </c>
      <c r="BA267" s="103">
        <f t="shared" si="235"/>
        <v>1</v>
      </c>
      <c r="BB267" s="103">
        <f t="shared" si="236"/>
        <v>0</v>
      </c>
      <c r="BC267" s="103" t="str">
        <f>IF(BA267=1,VLOOKUP($AP267,Usinas!$B$3:$H$244,7,0),"")</f>
        <v>PARANA</v>
      </c>
    </row>
    <row r="268" spans="24:55" x14ac:dyDescent="0.3">
      <c r="X268" s="42" t="e">
        <v>#N/A</v>
      </c>
      <c r="Z268" s="101">
        <v>248</v>
      </c>
      <c r="AA268" s="101">
        <v>1</v>
      </c>
      <c r="AB268" s="101">
        <v>0.32140000000000002</v>
      </c>
      <c r="AP268" s="103">
        <v>248</v>
      </c>
      <c r="AQ268" s="103" t="str">
        <f>IF(BA268=1,VLOOKUP($AP268,Usinas!$B$3:$F$244,2,0),"")</f>
        <v>B. COQUEIROS</v>
      </c>
      <c r="AR268" s="103" t="str">
        <f>IF(BA268=1,VLOOKUP($AP268,Usinas!$B$3:$F$241,3,0),"")</f>
        <v>PARANAÍBA</v>
      </c>
      <c r="AS268" s="103" t="str">
        <f>IF(BA268,VLOOKUP($AP268,Usinas!$B$3:$F$244,4,0),"")</f>
        <v>SUDESTE</v>
      </c>
      <c r="AT268" s="103">
        <f t="shared" si="234"/>
        <v>0.32140000000000002</v>
      </c>
      <c r="AU268" s="104">
        <f t="shared" si="243"/>
        <v>99.955400000000012</v>
      </c>
      <c r="AV268" s="104">
        <f t="shared" si="243"/>
        <v>100.9196</v>
      </c>
      <c r="AW268" s="104">
        <f t="shared" si="243"/>
        <v>116.98960000000001</v>
      </c>
      <c r="AX268" s="104">
        <f t="shared" si="243"/>
        <v>106.38340000000001</v>
      </c>
      <c r="AY268" s="104">
        <f t="shared" si="243"/>
        <v>103.8122</v>
      </c>
      <c r="AZ268" s="104">
        <f t="shared" si="243"/>
        <v>102.84800000000001</v>
      </c>
      <c r="BA268" s="103">
        <f t="shared" si="235"/>
        <v>1</v>
      </c>
      <c r="BB268" s="103">
        <f t="shared" si="236"/>
        <v>0</v>
      </c>
      <c r="BC268" s="103" t="str">
        <f>IF(BA268=1,VLOOKUP($AP268,Usinas!$B$3:$H$244,7,0),"")</f>
        <v>PARANA</v>
      </c>
    </row>
    <row r="269" spans="24:55" x14ac:dyDescent="0.3">
      <c r="X269" s="42" t="e">
        <v>#N/A</v>
      </c>
      <c r="Z269" s="101">
        <v>249</v>
      </c>
      <c r="AA269" s="101">
        <v>1</v>
      </c>
      <c r="AB269" s="101">
        <v>9.6199999999999994E-2</v>
      </c>
      <c r="AP269" s="103">
        <v>249</v>
      </c>
      <c r="AQ269" s="103" t="str">
        <f>IF(BA269=1,VLOOKUP($AP269,Usinas!$B$3:$F$244,2,0),"")</f>
        <v>OURINHOS</v>
      </c>
      <c r="AR269" s="103" t="str">
        <f>IF(BA269=1,VLOOKUP($AP269,Usinas!$B$3:$F$241,3,0),"")</f>
        <v>PARANAPANEMA (SE)</v>
      </c>
      <c r="AS269" s="103" t="str">
        <f>IF(BA269,VLOOKUP($AP269,Usinas!$B$3:$F$244,4,0),"")</f>
        <v>SUDESTE</v>
      </c>
      <c r="AT269" s="103">
        <f t="shared" si="234"/>
        <v>9.6199999999999994E-2</v>
      </c>
      <c r="AU269" s="104">
        <f t="shared" si="243"/>
        <v>48.388599999999997</v>
      </c>
      <c r="AV269" s="104">
        <f t="shared" si="243"/>
        <v>54.545399999999994</v>
      </c>
      <c r="AW269" s="104">
        <f t="shared" si="243"/>
        <v>66.28179999999999</v>
      </c>
      <c r="AX269" s="104">
        <f t="shared" si="243"/>
        <v>74.554999999999993</v>
      </c>
      <c r="AY269" s="104">
        <f t="shared" si="243"/>
        <v>82.924399999999991</v>
      </c>
      <c r="AZ269" s="104">
        <f t="shared" si="243"/>
        <v>91.967199999999991</v>
      </c>
      <c r="BA269" s="103">
        <f t="shared" si="235"/>
        <v>1</v>
      </c>
      <c r="BB269" s="103">
        <f t="shared" si="236"/>
        <v>0</v>
      </c>
      <c r="BC269" s="103" t="str">
        <f>IF(BA269=1,VLOOKUP($AP269,Usinas!$B$3:$H$244,7,0),"")</f>
        <v>PRNPANEMA</v>
      </c>
    </row>
    <row r="270" spans="24:55" x14ac:dyDescent="0.3">
      <c r="X270" s="42" t="e">
        <v>#N/A</v>
      </c>
      <c r="Z270" s="101">
        <v>250</v>
      </c>
      <c r="AA270" s="101">
        <v>0</v>
      </c>
      <c r="AB270" s="101">
        <v>0</v>
      </c>
      <c r="AP270" s="103">
        <v>250</v>
      </c>
      <c r="AQ270" s="103" t="str">
        <f>IF(BA270=1,VLOOKUP($AP270,Usinas!$B$3:$F$244,2,0),"")</f>
        <v/>
      </c>
      <c r="AR270" s="103" t="str">
        <f>IF(BA270=1,VLOOKUP($AP270,Usinas!$B$3:$F$241,3,0),"")</f>
        <v/>
      </c>
      <c r="AS270" s="103" t="str">
        <f>IF(BA270,VLOOKUP($AP270,Usinas!$B$3:$F$244,4,0),"")</f>
        <v/>
      </c>
      <c r="AT270" s="103" t="str">
        <f t="shared" si="234"/>
        <v/>
      </c>
      <c r="AU270" s="104" t="str">
        <f t="shared" si="243"/>
        <v/>
      </c>
      <c r="AV270" s="104" t="str">
        <f t="shared" si="243"/>
        <v/>
      </c>
      <c r="AW270" s="104" t="str">
        <f t="shared" si="243"/>
        <v/>
      </c>
      <c r="AX270" s="104" t="str">
        <f t="shared" si="243"/>
        <v/>
      </c>
      <c r="AY270" s="104" t="str">
        <f t="shared" si="243"/>
        <v/>
      </c>
      <c r="AZ270" s="104" t="str">
        <f t="shared" si="243"/>
        <v/>
      </c>
      <c r="BA270" s="103">
        <f t="shared" si="235"/>
        <v>0</v>
      </c>
      <c r="BB270" s="103">
        <f t="shared" si="236"/>
        <v>0</v>
      </c>
      <c r="BC270" s="103" t="str">
        <f>IF(BA270=1,VLOOKUP($AP270,Usinas!$B$3:$H$244,7,0),"")</f>
        <v/>
      </c>
    </row>
    <row r="271" spans="24:55" x14ac:dyDescent="0.3">
      <c r="X271" s="42" t="e">
        <v>#N/A</v>
      </c>
      <c r="Z271" s="101">
        <v>251</v>
      </c>
      <c r="AA271" s="101">
        <v>1</v>
      </c>
      <c r="AB271" s="101">
        <v>0.64890000000000003</v>
      </c>
      <c r="AP271" s="103">
        <v>251</v>
      </c>
      <c r="AQ271" s="103" t="str">
        <f>IF(BA271=1,VLOOKUP($AP271,Usinas!$B$3:$F$244,2,0),"")</f>
        <v>SERRA FACAO</v>
      </c>
      <c r="AR271" s="103" t="str">
        <f>IF(BA271=1,VLOOKUP($AP271,Usinas!$B$3:$F$241,3,0),"")</f>
        <v>PARANAÍBA</v>
      </c>
      <c r="AS271" s="103" t="str">
        <f>IF(BA271,VLOOKUP($AP271,Usinas!$B$3:$F$244,4,0),"")</f>
        <v>SUDESTE</v>
      </c>
      <c r="AT271" s="103">
        <f t="shared" si="234"/>
        <v>0.64890000000000003</v>
      </c>
      <c r="AU271" s="104">
        <f t="shared" ref="AU271:AZ280" si="244">IF($BA271=1,IFERROR(VLOOKUP($AP271,$AE$21:$AK$211,AU$19,0),VLOOKUP($AP271,$BE$21:$BK$65,AU$19,0))*$AT271,"")</f>
        <v>175.203</v>
      </c>
      <c r="AV271" s="104">
        <f t="shared" si="244"/>
        <v>225.81720000000001</v>
      </c>
      <c r="AW271" s="104">
        <f t="shared" si="244"/>
        <v>217.38150000000002</v>
      </c>
      <c r="AX271" s="104">
        <f t="shared" si="244"/>
        <v>216.08370000000002</v>
      </c>
      <c r="AY271" s="104">
        <f t="shared" si="244"/>
        <v>231.00840000000002</v>
      </c>
      <c r="AZ271" s="104">
        <f t="shared" si="244"/>
        <v>238.14630000000002</v>
      </c>
      <c r="BA271" s="103">
        <f t="shared" si="235"/>
        <v>1</v>
      </c>
      <c r="BB271" s="103">
        <f t="shared" si="236"/>
        <v>0</v>
      </c>
      <c r="BC271" s="103" t="str">
        <f>IF(BA271=1,VLOOKUP($AP271,Usinas!$B$3:$H$244,7,0),"")</f>
        <v>PARANA</v>
      </c>
    </row>
    <row r="272" spans="24:55" x14ac:dyDescent="0.3">
      <c r="X272" s="42" t="e">
        <v>#N/A</v>
      </c>
      <c r="Z272" s="101">
        <v>252</v>
      </c>
      <c r="AA272" s="101">
        <v>1</v>
      </c>
      <c r="AB272" s="101">
        <v>1.2239</v>
      </c>
      <c r="AP272" s="103">
        <v>252</v>
      </c>
      <c r="AQ272" s="103" t="str">
        <f>IF(BA272=1,VLOOKUP($AP272,Usinas!$B$3:$F$244,2,0),"")</f>
        <v>ITIQUIRA II</v>
      </c>
      <c r="AR272" s="103" t="str">
        <f>IF(BA272=1,VLOOKUP($AP272,Usinas!$B$3:$F$241,3,0),"")</f>
        <v>PARAGUAI</v>
      </c>
      <c r="AS272" s="103" t="str">
        <f>IF(BA272,VLOOKUP($AP272,Usinas!$B$3:$F$244,4,0),"")</f>
        <v>SUDESTE</v>
      </c>
      <c r="AT272" s="103">
        <f t="shared" si="234"/>
        <v>1.2239</v>
      </c>
      <c r="AU272" s="104">
        <f t="shared" si="244"/>
        <v>93.016400000000004</v>
      </c>
      <c r="AV272" s="104">
        <f t="shared" si="244"/>
        <v>96.688100000000006</v>
      </c>
      <c r="AW272" s="104">
        <f t="shared" si="244"/>
        <v>113.8227</v>
      </c>
      <c r="AX272" s="104">
        <f t="shared" si="244"/>
        <v>111.3749</v>
      </c>
      <c r="AY272" s="104">
        <f t="shared" si="244"/>
        <v>133.4051</v>
      </c>
      <c r="AZ272" s="104">
        <f t="shared" si="244"/>
        <v>133.4051</v>
      </c>
      <c r="BA272" s="103">
        <f t="shared" si="235"/>
        <v>1</v>
      </c>
      <c r="BB272" s="103">
        <f t="shared" si="236"/>
        <v>0</v>
      </c>
      <c r="BC272" s="103" t="str">
        <f>IF(BA272=1,VLOOKUP($AP272,Usinas!$B$3:$H$244,7,0),"")</f>
        <v>SUDESTE</v>
      </c>
    </row>
    <row r="273" spans="24:55" x14ac:dyDescent="0.3">
      <c r="X273" s="42" t="e">
        <v>#N/A</v>
      </c>
      <c r="Z273" s="101">
        <v>253</v>
      </c>
      <c r="AA273" s="101">
        <v>1</v>
      </c>
      <c r="AB273" s="101">
        <v>0.21490000000000001</v>
      </c>
      <c r="AP273" s="103">
        <v>253</v>
      </c>
      <c r="AQ273" s="103" t="str">
        <f>IF(BA273=1,VLOOKUP($AP273,Usinas!$B$3:$F$244,2,0),"")</f>
        <v>SÃO SALVADOR</v>
      </c>
      <c r="AR273" s="103" t="str">
        <f>IF(BA273=1,VLOOKUP($AP273,Usinas!$B$3:$F$241,3,0),"")</f>
        <v>TOCANTINS (SE)</v>
      </c>
      <c r="AS273" s="103" t="str">
        <f>IF(BA273,VLOOKUP($AP273,Usinas!$B$3:$F$244,4,0),"")</f>
        <v>SUDESTE</v>
      </c>
      <c r="AT273" s="103">
        <f t="shared" si="234"/>
        <v>0.21490000000000001</v>
      </c>
      <c r="AU273" s="104">
        <f t="shared" si="244"/>
        <v>259.3843</v>
      </c>
      <c r="AV273" s="104">
        <f t="shared" si="244"/>
        <v>312.67950000000002</v>
      </c>
      <c r="AW273" s="104">
        <f t="shared" si="244"/>
        <v>299.14080000000001</v>
      </c>
      <c r="AX273" s="104">
        <f t="shared" si="244"/>
        <v>290.75970000000001</v>
      </c>
      <c r="AY273" s="104">
        <f t="shared" si="244"/>
        <v>341.90590000000003</v>
      </c>
      <c r="AZ273" s="104">
        <f t="shared" si="244"/>
        <v>303.86860000000001</v>
      </c>
      <c r="BA273" s="103">
        <f t="shared" si="235"/>
        <v>1</v>
      </c>
      <c r="BB273" s="103">
        <f t="shared" si="236"/>
        <v>0</v>
      </c>
      <c r="BC273" s="103" t="str">
        <f>IF(BA273=1,VLOOKUP($AP273,Usinas!$B$3:$H$244,7,0),"")</f>
        <v>SUDESTE</v>
      </c>
    </row>
    <row r="274" spans="24:55" x14ac:dyDescent="0.3">
      <c r="X274" s="42" t="e">
        <v>#N/A</v>
      </c>
      <c r="Z274" s="101">
        <v>254</v>
      </c>
      <c r="AA274" s="101">
        <v>1</v>
      </c>
      <c r="AB274" s="101">
        <v>0.94830000000000003</v>
      </c>
      <c r="AP274" s="103">
        <v>254</v>
      </c>
      <c r="AQ274" s="103" t="str">
        <f>IF(BA274=1,VLOOKUP($AP274,Usinas!$B$3:$F$244,2,0),"")</f>
        <v>PEDRA DO CAVALO</v>
      </c>
      <c r="AR274" s="103" t="str">
        <f>IF(BA274=1,VLOOKUP($AP274,Usinas!$B$3:$F$241,3,0),"")</f>
        <v>PARAGUAÇU</v>
      </c>
      <c r="AS274" s="103" t="str">
        <f>IF(BA274,VLOOKUP($AP274,Usinas!$B$3:$F$244,4,0),"")</f>
        <v>NORDESTE</v>
      </c>
      <c r="AT274" s="103">
        <f t="shared" si="234"/>
        <v>0.94830000000000003</v>
      </c>
      <c r="AU274" s="104">
        <f t="shared" si="244"/>
        <v>119.4858</v>
      </c>
      <c r="AV274" s="104">
        <f t="shared" si="244"/>
        <v>103.3647</v>
      </c>
      <c r="AW274" s="104">
        <f t="shared" si="244"/>
        <v>118.53750000000001</v>
      </c>
      <c r="AX274" s="104">
        <f t="shared" si="244"/>
        <v>193.45320000000001</v>
      </c>
      <c r="AY274" s="104">
        <f t="shared" si="244"/>
        <v>290.1798</v>
      </c>
      <c r="AZ274" s="104">
        <f t="shared" si="244"/>
        <v>127.07220000000001</v>
      </c>
      <c r="BA274" s="103">
        <f t="shared" si="235"/>
        <v>1</v>
      </c>
      <c r="BB274" s="103">
        <f t="shared" si="236"/>
        <v>0</v>
      </c>
      <c r="BC274" s="103" t="str">
        <f>IF(BA274=1,VLOOKUP($AP274,Usinas!$B$3:$H$244,7,0),"")</f>
        <v>NORDESTE</v>
      </c>
    </row>
    <row r="275" spans="24:55" x14ac:dyDescent="0.3">
      <c r="X275" s="42" t="e">
        <v>#N/A</v>
      </c>
      <c r="Z275" s="101">
        <v>255</v>
      </c>
      <c r="AA275" s="101">
        <v>1</v>
      </c>
      <c r="AB275" s="101">
        <v>1.4533</v>
      </c>
      <c r="AP275" s="103">
        <v>255</v>
      </c>
      <c r="AQ275" s="103" t="str">
        <f>IF(BA275=1,VLOOKUP($AP275,Usinas!$B$3:$F$244,2,0),"")</f>
        <v>IRAPÉ</v>
      </c>
      <c r="AR275" s="103" t="str">
        <f>IF(BA275=1,VLOOKUP($AP275,Usinas!$B$3:$F$241,3,0),"")</f>
        <v>JEQUITINHONHA (SE)</v>
      </c>
      <c r="AS275" s="103" t="str">
        <f>IF(BA275,VLOOKUP($AP275,Usinas!$B$3:$F$244,4,0),"")</f>
        <v>SUDESTE</v>
      </c>
      <c r="AT275" s="103">
        <f t="shared" si="234"/>
        <v>1.4533</v>
      </c>
      <c r="AU275" s="104">
        <f t="shared" si="244"/>
        <v>540.62760000000003</v>
      </c>
      <c r="AV275" s="104">
        <f t="shared" si="244"/>
        <v>465.05600000000004</v>
      </c>
      <c r="AW275" s="104">
        <f t="shared" si="244"/>
        <v>393.84430000000003</v>
      </c>
      <c r="AX275" s="104">
        <f t="shared" si="244"/>
        <v>481.04230000000001</v>
      </c>
      <c r="AY275" s="104">
        <f t="shared" si="244"/>
        <v>475.22910000000002</v>
      </c>
      <c r="AZ275" s="104">
        <f t="shared" si="244"/>
        <v>354.60520000000002</v>
      </c>
      <c r="BA275" s="103">
        <f t="shared" si="235"/>
        <v>1</v>
      </c>
      <c r="BB275" s="103">
        <f t="shared" si="236"/>
        <v>0</v>
      </c>
      <c r="BC275" s="103" t="str">
        <f>IF(BA275=1,VLOOKUP($AP275,Usinas!$B$3:$H$244,7,0),"")</f>
        <v>SUDESTE</v>
      </c>
    </row>
    <row r="276" spans="24:55" x14ac:dyDescent="0.3">
      <c r="X276" s="42" t="e">
        <v>#N/A</v>
      </c>
      <c r="Z276" s="101">
        <v>256</v>
      </c>
      <c r="AA276" s="101">
        <v>0</v>
      </c>
      <c r="AB276" s="101">
        <v>0</v>
      </c>
      <c r="AP276" s="103">
        <v>256</v>
      </c>
      <c r="AQ276" s="103" t="str">
        <f>IF(BA276=1,VLOOKUP($AP276,Usinas!$B$3:$F$244,2,0),"")</f>
        <v/>
      </c>
      <c r="AR276" s="103" t="str">
        <f>IF(BA276=1,VLOOKUP($AP276,Usinas!$B$3:$F$241,3,0),"")</f>
        <v/>
      </c>
      <c r="AS276" s="103" t="str">
        <f>IF(BA276,VLOOKUP($AP276,Usinas!$B$3:$F$244,4,0),"")</f>
        <v/>
      </c>
      <c r="AT276" s="103" t="str">
        <f t="shared" si="234"/>
        <v/>
      </c>
      <c r="AU276" s="104" t="str">
        <f t="shared" si="244"/>
        <v/>
      </c>
      <c r="AV276" s="104" t="str">
        <f t="shared" si="244"/>
        <v/>
      </c>
      <c r="AW276" s="104" t="str">
        <f t="shared" si="244"/>
        <v/>
      </c>
      <c r="AX276" s="104" t="str">
        <f t="shared" si="244"/>
        <v/>
      </c>
      <c r="AY276" s="104" t="str">
        <f t="shared" si="244"/>
        <v/>
      </c>
      <c r="AZ276" s="104" t="str">
        <f t="shared" si="244"/>
        <v/>
      </c>
      <c r="BA276" s="103">
        <f t="shared" si="235"/>
        <v>0</v>
      </c>
      <c r="BB276" s="103">
        <f t="shared" si="236"/>
        <v>0</v>
      </c>
      <c r="BC276" s="103" t="str">
        <f>IF(BA276=1,VLOOKUP($AP276,Usinas!$B$3:$H$244,7,0),"")</f>
        <v/>
      </c>
    </row>
    <row r="277" spans="24:55" x14ac:dyDescent="0.3">
      <c r="X277" s="42" t="e">
        <v>#N/A</v>
      </c>
      <c r="Z277" s="101">
        <v>257</v>
      </c>
      <c r="AA277" s="101">
        <v>1</v>
      </c>
      <c r="AB277" s="101">
        <v>0.24079999999999999</v>
      </c>
      <c r="AP277" s="103">
        <v>257</v>
      </c>
      <c r="AQ277" s="103" t="str">
        <f>IF(BA277=1,VLOOKUP($AP277,Usinas!$B$3:$F$244,2,0),"")</f>
        <v>PEIXE ANGICAL</v>
      </c>
      <c r="AR277" s="103" t="str">
        <f>IF(BA277=1,VLOOKUP($AP277,Usinas!$B$3:$F$241,3,0),"")</f>
        <v>TOCANTINS (SE)</v>
      </c>
      <c r="AS277" s="103" t="str">
        <f>IF(BA277,VLOOKUP($AP277,Usinas!$B$3:$F$244,4,0),"")</f>
        <v>SUDESTE</v>
      </c>
      <c r="AT277" s="103">
        <f t="shared" si="234"/>
        <v>0.24079999999999999</v>
      </c>
      <c r="AU277" s="104">
        <f t="shared" si="244"/>
        <v>575.27120000000002</v>
      </c>
      <c r="AV277" s="104">
        <f t="shared" si="244"/>
        <v>641.97280000000001</v>
      </c>
      <c r="AW277" s="104">
        <f t="shared" si="244"/>
        <v>616.68880000000001</v>
      </c>
      <c r="AX277" s="104">
        <f t="shared" si="244"/>
        <v>608.50159999999994</v>
      </c>
      <c r="AY277" s="104">
        <f t="shared" si="244"/>
        <v>675.44399999999996</v>
      </c>
      <c r="AZ277" s="104">
        <f t="shared" si="244"/>
        <v>593.572</v>
      </c>
      <c r="BA277" s="103">
        <f t="shared" si="235"/>
        <v>1</v>
      </c>
      <c r="BB277" s="103">
        <f t="shared" si="236"/>
        <v>0</v>
      </c>
      <c r="BC277" s="103" t="str">
        <f>IF(BA277=1,VLOOKUP($AP277,Usinas!$B$3:$H$244,7,0),"")</f>
        <v>SUDESTE</v>
      </c>
    </row>
    <row r="278" spans="24:55" x14ac:dyDescent="0.3">
      <c r="X278" s="42" t="e">
        <v>#N/A</v>
      </c>
      <c r="Z278" s="101">
        <v>258</v>
      </c>
      <c r="AA278" s="101">
        <v>0</v>
      </c>
      <c r="AB278" s="101">
        <v>0</v>
      </c>
      <c r="AP278" s="103">
        <v>258</v>
      </c>
      <c r="AQ278" s="103" t="str">
        <f>IF(BA278=1,VLOOKUP($AP278,Usinas!$B$3:$F$244,2,0),"")</f>
        <v/>
      </c>
      <c r="AR278" s="103" t="str">
        <f>IF(BA278=1,VLOOKUP($AP278,Usinas!$B$3:$F$241,3,0),"")</f>
        <v/>
      </c>
      <c r="AS278" s="103" t="str">
        <f>IF(BA278,VLOOKUP($AP278,Usinas!$B$3:$F$244,4,0),"")</f>
        <v/>
      </c>
      <c r="AT278" s="103" t="str">
        <f t="shared" ref="AT278:AT341" si="245">IF(BA278=1,VLOOKUP($AP278,$Z$21:$AB$372,3,0),"")</f>
        <v/>
      </c>
      <c r="AU278" s="104" t="str">
        <f t="shared" si="244"/>
        <v/>
      </c>
      <c r="AV278" s="104" t="str">
        <f t="shared" si="244"/>
        <v/>
      </c>
      <c r="AW278" s="104" t="str">
        <f t="shared" si="244"/>
        <v/>
      </c>
      <c r="AX278" s="104" t="str">
        <f t="shared" si="244"/>
        <v/>
      </c>
      <c r="AY278" s="104" t="str">
        <f t="shared" si="244"/>
        <v/>
      </c>
      <c r="AZ278" s="104" t="str">
        <f t="shared" si="244"/>
        <v/>
      </c>
      <c r="BA278" s="103">
        <f t="shared" ref="BA278:BA341" si="246">VLOOKUP(AP278,$Z$21:$AA$372,2,0)</f>
        <v>0</v>
      </c>
      <c r="BB278" s="103">
        <f t="shared" ref="BB278:BB341" si="247">IF(BA278=0,0,IF(OR(ISNA(AR278),ISNA(AS278),ISNA(AT278),ISNA(AU278),ISNA(AV278),ISNA(AW278),ISNA(AX278),ISNA(AY278),ISNA(AZ278)),1,0))</f>
        <v>0</v>
      </c>
      <c r="BC278" s="103" t="str">
        <f>IF(BA278=1,VLOOKUP($AP278,Usinas!$B$3:$H$244,7,0),"")</f>
        <v/>
      </c>
    </row>
    <row r="279" spans="24:55" x14ac:dyDescent="0.3">
      <c r="X279" s="42" t="e">
        <v>#N/A</v>
      </c>
      <c r="Z279" s="101">
        <v>259</v>
      </c>
      <c r="AA279" s="101">
        <v>1</v>
      </c>
      <c r="AB279" s="101">
        <v>0.76849999999999996</v>
      </c>
      <c r="AP279" s="103">
        <v>259</v>
      </c>
      <c r="AQ279" s="103" t="str">
        <f>IF(BA279=1,VLOOKUP($AP279,Usinas!$B$3:$F$244,2,0),"")</f>
        <v>ITIQUIRA I</v>
      </c>
      <c r="AR279" s="103" t="str">
        <f>IF(BA279=1,VLOOKUP($AP279,Usinas!$B$3:$F$241,3,0),"")</f>
        <v>PARAGUAI</v>
      </c>
      <c r="AS279" s="103" t="str">
        <f>IF(BA279,VLOOKUP($AP279,Usinas!$B$3:$F$244,4,0),"")</f>
        <v>SUDESTE</v>
      </c>
      <c r="AT279" s="103">
        <f t="shared" si="245"/>
        <v>0.76849999999999996</v>
      </c>
      <c r="AU279" s="104">
        <f t="shared" si="244"/>
        <v>57.637499999999996</v>
      </c>
      <c r="AV279" s="104">
        <f t="shared" si="244"/>
        <v>59.942999999999998</v>
      </c>
      <c r="AW279" s="104">
        <f t="shared" si="244"/>
        <v>69.933499999999995</v>
      </c>
      <c r="AX279" s="104">
        <f t="shared" si="244"/>
        <v>69.164999999999992</v>
      </c>
      <c r="AY279" s="104">
        <f t="shared" si="244"/>
        <v>82.99799999999999</v>
      </c>
      <c r="AZ279" s="104">
        <f t="shared" si="244"/>
        <v>82.99799999999999</v>
      </c>
      <c r="BA279" s="103">
        <f t="shared" si="246"/>
        <v>1</v>
      </c>
      <c r="BB279" s="103">
        <f t="shared" si="247"/>
        <v>0</v>
      </c>
      <c r="BC279" s="103" t="str">
        <f>IF(BA279=1,VLOOKUP($AP279,Usinas!$B$3:$H$244,7,0),"")</f>
        <v>SUDESTE</v>
      </c>
    </row>
    <row r="280" spans="24:55" x14ac:dyDescent="0.3">
      <c r="X280" s="42" t="e">
        <v>#N/A</v>
      </c>
      <c r="Z280" s="101">
        <v>260</v>
      </c>
      <c r="AA280" s="101">
        <v>0</v>
      </c>
      <c r="AB280" s="101">
        <v>0</v>
      </c>
      <c r="AP280" s="103">
        <v>260</v>
      </c>
      <c r="AQ280" s="103" t="str">
        <f>IF(BA280=1,VLOOKUP($AP280,Usinas!$B$3:$F$244,2,0),"")</f>
        <v/>
      </c>
      <c r="AR280" s="103" t="str">
        <f>IF(BA280=1,VLOOKUP($AP280,Usinas!$B$3:$F$241,3,0),"")</f>
        <v/>
      </c>
      <c r="AS280" s="103" t="str">
        <f>IF(BA280,VLOOKUP($AP280,Usinas!$B$3:$F$244,4,0),"")</f>
        <v/>
      </c>
      <c r="AT280" s="103" t="str">
        <f t="shared" si="245"/>
        <v/>
      </c>
      <c r="AU280" s="104" t="str">
        <f t="shared" si="244"/>
        <v/>
      </c>
      <c r="AV280" s="104" t="str">
        <f t="shared" si="244"/>
        <v/>
      </c>
      <c r="AW280" s="104" t="str">
        <f t="shared" si="244"/>
        <v/>
      </c>
      <c r="AX280" s="104" t="str">
        <f t="shared" si="244"/>
        <v/>
      </c>
      <c r="AY280" s="104" t="str">
        <f t="shared" si="244"/>
        <v/>
      </c>
      <c r="AZ280" s="104" t="str">
        <f t="shared" si="244"/>
        <v/>
      </c>
      <c r="BA280" s="103">
        <f t="shared" si="246"/>
        <v>0</v>
      </c>
      <c r="BB280" s="103">
        <f t="shared" si="247"/>
        <v>0</v>
      </c>
      <c r="BC280" s="103" t="str">
        <f>IF(BA280=1,VLOOKUP($AP280,Usinas!$B$3:$H$244,7,0),"")</f>
        <v/>
      </c>
    </row>
    <row r="281" spans="24:55" x14ac:dyDescent="0.3">
      <c r="X281" s="42" t="e">
        <v>#N/A</v>
      </c>
      <c r="Z281" s="101">
        <v>261</v>
      </c>
      <c r="AA281" s="101">
        <v>1</v>
      </c>
      <c r="AB281" s="101">
        <v>0.23949999999999999</v>
      </c>
      <c r="AP281" s="103">
        <v>261</v>
      </c>
      <c r="AQ281" s="103" t="str">
        <f>IF(BA281=1,VLOOKUP($AP281,Usinas!$B$3:$F$244,2,0),"")</f>
        <v>FOZ DO RIO CLARO</v>
      </c>
      <c r="AR281" s="103" t="str">
        <f>IF(BA281=1,VLOOKUP($AP281,Usinas!$B$3:$F$241,3,0),"")</f>
        <v>PARANAÍBA</v>
      </c>
      <c r="AS281" s="103" t="str">
        <f>IF(BA281,VLOOKUP($AP281,Usinas!$B$3:$F$244,4,0),"")</f>
        <v>SUDESTE</v>
      </c>
      <c r="AT281" s="103">
        <f t="shared" si="245"/>
        <v>0.23949999999999999</v>
      </c>
      <c r="AU281" s="104">
        <f t="shared" ref="AU281:AZ290" si="248">IF($BA281=1,IFERROR(VLOOKUP($AP281,$AE$21:$AK$211,AU$19,0),VLOOKUP($AP281,$BE$21:$BK$65,AU$19,0))*$AT281,"")</f>
        <v>79.753500000000003</v>
      </c>
      <c r="AV281" s="104">
        <f t="shared" si="248"/>
        <v>79.992999999999995</v>
      </c>
      <c r="AW281" s="104">
        <f t="shared" si="248"/>
        <v>93.165499999999994</v>
      </c>
      <c r="AX281" s="104">
        <f t="shared" si="248"/>
        <v>85.501499999999993</v>
      </c>
      <c r="AY281" s="104">
        <f t="shared" si="248"/>
        <v>82.86699999999999</v>
      </c>
      <c r="AZ281" s="104">
        <f t="shared" si="248"/>
        <v>81.908999999999992</v>
      </c>
      <c r="BA281" s="103">
        <f t="shared" si="246"/>
        <v>1</v>
      </c>
      <c r="BB281" s="103">
        <f t="shared" si="247"/>
        <v>0</v>
      </c>
      <c r="BC281" s="103" t="str">
        <f>IF(BA281=1,VLOOKUP($AP281,Usinas!$B$3:$H$244,7,0),"")</f>
        <v>PARANA</v>
      </c>
    </row>
    <row r="282" spans="24:55" x14ac:dyDescent="0.3">
      <c r="X282" s="42" t="e">
        <v>#N/A</v>
      </c>
      <c r="Z282" s="101">
        <v>262</v>
      </c>
      <c r="AA282" s="101">
        <v>1</v>
      </c>
      <c r="AB282" s="101">
        <v>1.0065999999999999</v>
      </c>
      <c r="AP282" s="103">
        <v>262</v>
      </c>
      <c r="AQ282" s="103" t="str">
        <f>IF(BA282=1,VLOOKUP($AP282,Usinas!$B$3:$F$244,2,0),"")</f>
        <v>GUILMAN AMORIM</v>
      </c>
      <c r="AR282" s="103" t="str">
        <f>IF(BA282=1,VLOOKUP($AP282,Usinas!$B$3:$F$241,3,0),"")</f>
        <v>DOCE</v>
      </c>
      <c r="AS282" s="103" t="str">
        <f>IF(BA282,VLOOKUP($AP282,Usinas!$B$3:$F$244,4,0),"")</f>
        <v>SUDESTE</v>
      </c>
      <c r="AT282" s="103">
        <f t="shared" si="245"/>
        <v>1.0065999999999999</v>
      </c>
      <c r="AU282" s="104">
        <f t="shared" si="248"/>
        <v>151.9966</v>
      </c>
      <c r="AV282" s="104">
        <f t="shared" si="248"/>
        <v>188.23419999999999</v>
      </c>
      <c r="AW282" s="104">
        <f t="shared" si="248"/>
        <v>154.00979999999998</v>
      </c>
      <c r="AX282" s="104">
        <f t="shared" si="248"/>
        <v>127.83819999999999</v>
      </c>
      <c r="AY282" s="104">
        <f t="shared" si="248"/>
        <v>145.95699999999999</v>
      </c>
      <c r="AZ282" s="104">
        <f t="shared" si="248"/>
        <v>98.646799999999999</v>
      </c>
      <c r="BA282" s="103">
        <f t="shared" si="246"/>
        <v>1</v>
      </c>
      <c r="BB282" s="103">
        <f t="shared" si="247"/>
        <v>0</v>
      </c>
      <c r="BC282" s="103" t="str">
        <f>IF(BA282=1,VLOOKUP($AP282,Usinas!$B$3:$H$244,7,0),"")</f>
        <v>SUDESTE</v>
      </c>
    </row>
    <row r="283" spans="24:55" x14ac:dyDescent="0.3">
      <c r="X283" s="42" t="e">
        <v>#N/A</v>
      </c>
      <c r="Z283" s="101">
        <v>263</v>
      </c>
      <c r="AA283" s="101">
        <v>1</v>
      </c>
      <c r="AB283" s="101">
        <v>0.41549999999999998</v>
      </c>
      <c r="AP283" s="103">
        <v>263</v>
      </c>
      <c r="AQ283" s="103" t="str">
        <f>IF(BA283=1,VLOOKUP($AP283,Usinas!$B$3:$F$244,2,0),"")</f>
        <v>PORTO ESTRELA</v>
      </c>
      <c r="AR283" s="103" t="str">
        <f>IF(BA283=1,VLOOKUP($AP283,Usinas!$B$3:$F$241,3,0),"")</f>
        <v>DOCE</v>
      </c>
      <c r="AS283" s="103" t="str">
        <f>IF(BA283,VLOOKUP($AP283,Usinas!$B$3:$F$244,4,0),"")</f>
        <v>SUDESTE</v>
      </c>
      <c r="AT283" s="103">
        <f t="shared" si="245"/>
        <v>0.41549999999999998</v>
      </c>
      <c r="AU283" s="104">
        <f t="shared" si="248"/>
        <v>131.298</v>
      </c>
      <c r="AV283" s="104">
        <f t="shared" si="248"/>
        <v>129.636</v>
      </c>
      <c r="AW283" s="104">
        <f t="shared" si="248"/>
        <v>101.7975</v>
      </c>
      <c r="AX283" s="104">
        <f t="shared" si="248"/>
        <v>118.002</v>
      </c>
      <c r="AY283" s="104">
        <f t="shared" si="248"/>
        <v>115.09349999999999</v>
      </c>
      <c r="AZ283" s="104">
        <f t="shared" si="248"/>
        <v>95.149499999999989</v>
      </c>
      <c r="BA283" s="103">
        <f t="shared" si="246"/>
        <v>1</v>
      </c>
      <c r="BB283" s="103">
        <f t="shared" si="247"/>
        <v>0</v>
      </c>
      <c r="BC283" s="103" t="str">
        <f>IF(BA283=1,VLOOKUP($AP283,Usinas!$B$3:$H$244,7,0),"")</f>
        <v>SUDESTE</v>
      </c>
    </row>
    <row r="284" spans="24:55" x14ac:dyDescent="0.3">
      <c r="X284" s="42" t="e">
        <v>#N/A</v>
      </c>
      <c r="Z284" s="101">
        <v>264</v>
      </c>
      <c r="AA284" s="101">
        <v>0</v>
      </c>
      <c r="AB284" s="101">
        <v>0</v>
      </c>
      <c r="AP284" s="103">
        <v>264</v>
      </c>
      <c r="AQ284" s="103" t="str">
        <f>IF(BA284=1,VLOOKUP($AP284,Usinas!$B$3:$F$244,2,0),"")</f>
        <v/>
      </c>
      <c r="AR284" s="103" t="str">
        <f>IF(BA284=1,VLOOKUP($AP284,Usinas!$B$3:$F$241,3,0),"")</f>
        <v/>
      </c>
      <c r="AS284" s="103" t="str">
        <f>IF(BA284,VLOOKUP($AP284,Usinas!$B$3:$F$244,4,0),"")</f>
        <v/>
      </c>
      <c r="AT284" s="103" t="str">
        <f t="shared" si="245"/>
        <v/>
      </c>
      <c r="AU284" s="104" t="str">
        <f t="shared" si="248"/>
        <v/>
      </c>
      <c r="AV284" s="104" t="str">
        <f t="shared" si="248"/>
        <v/>
      </c>
      <c r="AW284" s="104" t="str">
        <f t="shared" si="248"/>
        <v/>
      </c>
      <c r="AX284" s="104" t="str">
        <f t="shared" si="248"/>
        <v/>
      </c>
      <c r="AY284" s="104" t="str">
        <f t="shared" si="248"/>
        <v/>
      </c>
      <c r="AZ284" s="104" t="str">
        <f t="shared" si="248"/>
        <v/>
      </c>
      <c r="BA284" s="103">
        <f t="shared" si="246"/>
        <v>0</v>
      </c>
      <c r="BB284" s="103">
        <f t="shared" si="247"/>
        <v>0</v>
      </c>
      <c r="BC284" s="103" t="str">
        <f>IF(BA284=1,VLOOKUP($AP284,Usinas!$B$3:$H$244,7,0),"")</f>
        <v/>
      </c>
    </row>
    <row r="285" spans="24:55" x14ac:dyDescent="0.3">
      <c r="X285" s="42" t="e">
        <v>#N/A</v>
      </c>
      <c r="Z285" s="101">
        <v>265</v>
      </c>
      <c r="AA285" s="101">
        <v>0</v>
      </c>
      <c r="AB285" s="101">
        <v>0</v>
      </c>
      <c r="AP285" s="103">
        <v>265</v>
      </c>
      <c r="AQ285" s="103" t="str">
        <f>IF(BA285=1,VLOOKUP($AP285,Usinas!$B$3:$F$244,2,0),"")</f>
        <v/>
      </c>
      <c r="AR285" s="103" t="str">
        <f>IF(BA285=1,VLOOKUP($AP285,Usinas!$B$3:$F$241,3,0),"")</f>
        <v/>
      </c>
      <c r="AS285" s="103" t="str">
        <f>IF(BA285,VLOOKUP($AP285,Usinas!$B$3:$F$244,4,0),"")</f>
        <v/>
      </c>
      <c r="AT285" s="103" t="str">
        <f t="shared" si="245"/>
        <v/>
      </c>
      <c r="AU285" s="104" t="str">
        <f t="shared" si="248"/>
        <v/>
      </c>
      <c r="AV285" s="104" t="str">
        <f t="shared" si="248"/>
        <v/>
      </c>
      <c r="AW285" s="104" t="str">
        <f t="shared" si="248"/>
        <v/>
      </c>
      <c r="AX285" s="104" t="str">
        <f t="shared" si="248"/>
        <v/>
      </c>
      <c r="AY285" s="104" t="str">
        <f t="shared" si="248"/>
        <v/>
      </c>
      <c r="AZ285" s="104" t="str">
        <f t="shared" si="248"/>
        <v/>
      </c>
      <c r="BA285" s="103">
        <f t="shared" si="246"/>
        <v>0</v>
      </c>
      <c r="BB285" s="103">
        <f t="shared" si="247"/>
        <v>0</v>
      </c>
      <c r="BC285" s="103" t="str">
        <f>IF(BA285=1,VLOOKUP($AP285,Usinas!$B$3:$H$244,7,0),"")</f>
        <v/>
      </c>
    </row>
    <row r="286" spans="24:55" x14ac:dyDescent="0.3">
      <c r="X286" s="42" t="e">
        <v>#N/A</v>
      </c>
      <c r="Z286" s="101">
        <v>266</v>
      </c>
      <c r="AA286" s="101">
        <v>0</v>
      </c>
      <c r="AB286" s="101">
        <v>0</v>
      </c>
      <c r="AP286" s="103">
        <v>266</v>
      </c>
      <c r="AQ286" s="103" t="str">
        <f>IF(BA286=1,VLOOKUP($AP286,Usinas!$B$3:$F$244,2,0),"")</f>
        <v/>
      </c>
      <c r="AR286" s="103" t="str">
        <f>IF(BA286=1,VLOOKUP($AP286,Usinas!$B$3:$F$241,3,0),"")</f>
        <v/>
      </c>
      <c r="AS286" s="103" t="str">
        <f>IF(BA286,VLOOKUP($AP286,Usinas!$B$3:$F$244,4,0),"")</f>
        <v/>
      </c>
      <c r="AT286" s="103" t="str">
        <f t="shared" si="245"/>
        <v/>
      </c>
      <c r="AU286" s="104" t="str">
        <f t="shared" si="248"/>
        <v/>
      </c>
      <c r="AV286" s="104" t="str">
        <f t="shared" si="248"/>
        <v/>
      </c>
      <c r="AW286" s="104" t="str">
        <f t="shared" si="248"/>
        <v/>
      </c>
      <c r="AX286" s="104" t="str">
        <f t="shared" si="248"/>
        <v/>
      </c>
      <c r="AY286" s="104" t="str">
        <f t="shared" si="248"/>
        <v/>
      </c>
      <c r="AZ286" s="104" t="str">
        <f t="shared" si="248"/>
        <v/>
      </c>
      <c r="BA286" s="103">
        <f t="shared" si="246"/>
        <v>0</v>
      </c>
      <c r="BB286" s="103">
        <f t="shared" si="247"/>
        <v>0</v>
      </c>
      <c r="BC286" s="103" t="str">
        <f>IF(BA286=1,VLOOKUP($AP286,Usinas!$B$3:$H$244,7,0),"")</f>
        <v/>
      </c>
    </row>
    <row r="287" spans="24:55" x14ac:dyDescent="0.3">
      <c r="X287" s="42" t="e">
        <v>#N/A</v>
      </c>
      <c r="Z287" s="101">
        <v>267</v>
      </c>
      <c r="AA287" s="101">
        <v>0</v>
      </c>
      <c r="AB287" s="101">
        <v>0</v>
      </c>
      <c r="AP287" s="103">
        <v>267</v>
      </c>
      <c r="AQ287" s="103" t="str">
        <f>IF(BA287=1,VLOOKUP($AP287,Usinas!$B$3:$F$244,2,0),"")</f>
        <v/>
      </c>
      <c r="AR287" s="103" t="str">
        <f>IF(BA287=1,VLOOKUP($AP287,Usinas!$B$3:$F$241,3,0),"")</f>
        <v/>
      </c>
      <c r="AS287" s="103" t="str">
        <f>IF(BA287,VLOOKUP($AP287,Usinas!$B$3:$F$244,4,0),"")</f>
        <v/>
      </c>
      <c r="AT287" s="103" t="str">
        <f t="shared" si="245"/>
        <v/>
      </c>
      <c r="AU287" s="104" t="str">
        <f t="shared" si="248"/>
        <v/>
      </c>
      <c r="AV287" s="104" t="str">
        <f t="shared" si="248"/>
        <v/>
      </c>
      <c r="AW287" s="104" t="str">
        <f t="shared" si="248"/>
        <v/>
      </c>
      <c r="AX287" s="104" t="str">
        <f t="shared" si="248"/>
        <v/>
      </c>
      <c r="AY287" s="104" t="str">
        <f t="shared" si="248"/>
        <v/>
      </c>
      <c r="AZ287" s="104" t="str">
        <f t="shared" si="248"/>
        <v/>
      </c>
      <c r="BA287" s="103">
        <f t="shared" si="246"/>
        <v>0</v>
      </c>
      <c r="BB287" s="103">
        <f t="shared" si="247"/>
        <v>0</v>
      </c>
      <c r="BC287" s="103" t="str">
        <f>IF(BA287=1,VLOOKUP($AP287,Usinas!$B$3:$H$244,7,0),"")</f>
        <v/>
      </c>
    </row>
    <row r="288" spans="24:55" x14ac:dyDescent="0.3">
      <c r="X288" s="42" t="e">
        <v>#N/A</v>
      </c>
      <c r="Z288" s="101">
        <v>268</v>
      </c>
      <c r="AA288" s="101">
        <v>0</v>
      </c>
      <c r="AB288" s="101">
        <v>0</v>
      </c>
      <c r="AP288" s="103">
        <v>268</v>
      </c>
      <c r="AQ288" s="103" t="str">
        <f>IF(BA288=1,VLOOKUP($AP288,Usinas!$B$3:$F$244,2,0),"")</f>
        <v/>
      </c>
      <c r="AR288" s="103" t="str">
        <f>IF(BA288=1,VLOOKUP($AP288,Usinas!$B$3:$F$241,3,0),"")</f>
        <v/>
      </c>
      <c r="AS288" s="103" t="str">
        <f>IF(BA288,VLOOKUP($AP288,Usinas!$B$3:$F$244,4,0),"")</f>
        <v/>
      </c>
      <c r="AT288" s="103" t="str">
        <f t="shared" si="245"/>
        <v/>
      </c>
      <c r="AU288" s="104" t="str">
        <f t="shared" si="248"/>
        <v/>
      </c>
      <c r="AV288" s="104" t="str">
        <f t="shared" si="248"/>
        <v/>
      </c>
      <c r="AW288" s="104" t="str">
        <f t="shared" si="248"/>
        <v/>
      </c>
      <c r="AX288" s="104" t="str">
        <f t="shared" si="248"/>
        <v/>
      </c>
      <c r="AY288" s="104" t="str">
        <f t="shared" si="248"/>
        <v/>
      </c>
      <c r="AZ288" s="104" t="str">
        <f t="shared" si="248"/>
        <v/>
      </c>
      <c r="BA288" s="103">
        <f t="shared" si="246"/>
        <v>0</v>
      </c>
      <c r="BB288" s="103">
        <f t="shared" si="247"/>
        <v>0</v>
      </c>
      <c r="BC288" s="103" t="str">
        <f>IF(BA288=1,VLOOKUP($AP288,Usinas!$B$3:$H$244,7,0),"")</f>
        <v/>
      </c>
    </row>
    <row r="289" spans="2:55" x14ac:dyDescent="0.3">
      <c r="X289" s="42" t="e">
        <v>#N/A</v>
      </c>
      <c r="Z289" s="101">
        <v>269</v>
      </c>
      <c r="AA289" s="101">
        <v>1</v>
      </c>
      <c r="AB289" s="101">
        <v>0.20799999999999999</v>
      </c>
      <c r="AP289" s="103">
        <v>269</v>
      </c>
      <c r="AQ289" s="103" t="str">
        <f>IF(BA289=1,VLOOKUP($AP289,Usinas!$B$3:$F$244,2,0),"")</f>
        <v>BALBINA</v>
      </c>
      <c r="AR289" s="103" t="str">
        <f>IF(BA289=1,VLOOKUP($AP289,Usinas!$B$3:$F$241,3,0),"")</f>
        <v>AMAZONAS (N)</v>
      </c>
      <c r="AS289" s="103" t="str">
        <f>IF(BA289,VLOOKUP($AP289,Usinas!$B$3:$F$244,4,0),"")</f>
        <v>NORTE</v>
      </c>
      <c r="AT289" s="103">
        <f t="shared" si="245"/>
        <v>0.20799999999999999</v>
      </c>
      <c r="AU289" s="104">
        <f t="shared" si="248"/>
        <v>99.423999999999992</v>
      </c>
      <c r="AV289" s="104">
        <f t="shared" si="248"/>
        <v>96.304000000000002</v>
      </c>
      <c r="AW289" s="104">
        <f t="shared" si="248"/>
        <v>96.304000000000002</v>
      </c>
      <c r="AX289" s="104">
        <f t="shared" si="248"/>
        <v>108.57599999999999</v>
      </c>
      <c r="AY289" s="104">
        <f t="shared" si="248"/>
        <v>105.664</v>
      </c>
      <c r="AZ289" s="104">
        <f t="shared" si="248"/>
        <v>112.52799999999999</v>
      </c>
      <c r="BA289" s="103">
        <f t="shared" si="246"/>
        <v>1</v>
      </c>
      <c r="BB289" s="103">
        <f t="shared" si="247"/>
        <v>0</v>
      </c>
      <c r="BC289" s="103" t="str">
        <f>IF(BA289=1,VLOOKUP($AP289,Usinas!$B$3:$H$244,7,0),"")</f>
        <v>MANAUS</v>
      </c>
    </row>
    <row r="290" spans="2:55" x14ac:dyDescent="0.3">
      <c r="X290" s="42" t="e">
        <v>#N/A</v>
      </c>
      <c r="Z290" s="101">
        <v>270</v>
      </c>
      <c r="AA290" s="101">
        <v>1</v>
      </c>
      <c r="AB290" s="101">
        <v>1.0404</v>
      </c>
      <c r="AP290" s="103">
        <v>270</v>
      </c>
      <c r="AQ290" s="103" t="str">
        <f>IF(BA290=1,VLOOKUP($AP290,Usinas!$B$3:$F$244,2,0),"")</f>
        <v>SERRA DA MESA</v>
      </c>
      <c r="AR290" s="103" t="str">
        <f>IF(BA290=1,VLOOKUP($AP290,Usinas!$B$3:$F$241,3,0),"")</f>
        <v>TOCANTINS (SE)</v>
      </c>
      <c r="AS290" s="103" t="str">
        <f>IF(BA290,VLOOKUP($AP290,Usinas!$B$3:$F$244,4,0),"")</f>
        <v>SUDESTE</v>
      </c>
      <c r="AT290" s="103">
        <f t="shared" si="245"/>
        <v>1.0404</v>
      </c>
      <c r="AU290" s="104">
        <f t="shared" si="248"/>
        <v>977.976</v>
      </c>
      <c r="AV290" s="104">
        <f t="shared" si="248"/>
        <v>1197.5003999999999</v>
      </c>
      <c r="AW290" s="104">
        <f t="shared" si="248"/>
        <v>1135.0763999999999</v>
      </c>
      <c r="AX290" s="104">
        <f t="shared" si="248"/>
        <v>1095.5411999999999</v>
      </c>
      <c r="AY290" s="104">
        <f t="shared" si="248"/>
        <v>1353.5604000000001</v>
      </c>
      <c r="AZ290" s="104">
        <f t="shared" si="248"/>
        <v>1181.8943999999999</v>
      </c>
      <c r="BA290" s="103">
        <f t="shared" si="246"/>
        <v>1</v>
      </c>
      <c r="BB290" s="103">
        <f t="shared" si="247"/>
        <v>0</v>
      </c>
      <c r="BC290" s="103" t="str">
        <f>IF(BA290=1,VLOOKUP($AP290,Usinas!$B$3:$H$244,7,0),"")</f>
        <v>SUDESTE</v>
      </c>
    </row>
    <row r="291" spans="2:55" x14ac:dyDescent="0.3">
      <c r="X291" s="42" t="e">
        <v>#N/A</v>
      </c>
      <c r="Z291" s="101">
        <v>271</v>
      </c>
      <c r="AA291" s="101">
        <v>1</v>
      </c>
      <c r="AB291" s="101">
        <v>0.21099999999999999</v>
      </c>
      <c r="AP291" s="124">
        <v>271</v>
      </c>
      <c r="AQ291" s="103" t="str">
        <f>IF(BA291=1,VLOOKUP($AP291,Usinas!$B$3:$F$244,2,0),"")</f>
        <v>ESTREITO TOC</v>
      </c>
      <c r="AR291" s="103" t="str">
        <f>IF(BA291=1,VLOOKUP($AP291,Usinas!$B$3:$F$241,3,0),"")</f>
        <v>TOCANTINS (N)</v>
      </c>
      <c r="AS291" s="103" t="str">
        <f>IF(BA291,VLOOKUP($AP291,Usinas!$B$3:$F$244,4,0),"")</f>
        <v>NORTE</v>
      </c>
      <c r="AT291" s="103">
        <f t="shared" si="245"/>
        <v>0.21099999999999999</v>
      </c>
      <c r="AU291" s="104">
        <f t="shared" ref="AU291:AZ300" si="249">IF($BA291=1,IFERROR(VLOOKUP($AP291,$AE$21:$AK$211,AU$19,0),VLOOKUP($AP291,$BE$21:$BK$65,AU$19,0))*$AT291,"")</f>
        <v>810.24</v>
      </c>
      <c r="AV291" s="104">
        <f t="shared" si="249"/>
        <v>900.548</v>
      </c>
      <c r="AW291" s="104">
        <f t="shared" si="249"/>
        <v>964.05899999999997</v>
      </c>
      <c r="AX291" s="104">
        <f t="shared" si="249"/>
        <v>976.50799999999992</v>
      </c>
      <c r="AY291" s="104">
        <f t="shared" si="249"/>
        <v>1063.018</v>
      </c>
      <c r="AZ291" s="104">
        <f t="shared" si="249"/>
        <v>1035.799</v>
      </c>
      <c r="BA291" s="103">
        <f t="shared" si="246"/>
        <v>1</v>
      </c>
      <c r="BB291" s="103">
        <f t="shared" si="247"/>
        <v>0</v>
      </c>
      <c r="BC291" s="103" t="str">
        <f>IF(BA291=1,VLOOKUP($AP291,Usinas!$B$3:$H$244,7,0),"")</f>
        <v>NORTE</v>
      </c>
    </row>
    <row r="292" spans="2:55" x14ac:dyDescent="0.3">
      <c r="X292" s="42" t="e">
        <v>#N/A</v>
      </c>
      <c r="Z292" s="101">
        <v>272</v>
      </c>
      <c r="AA292" s="101">
        <v>0</v>
      </c>
      <c r="AB292" s="101">
        <v>0</v>
      </c>
      <c r="AP292" s="103">
        <v>272</v>
      </c>
      <c r="AQ292" s="103" t="str">
        <f>IF(BA292=1,VLOOKUP($AP292,Usinas!$B$3:$F$244,2,0),"")</f>
        <v/>
      </c>
      <c r="AR292" s="103" t="str">
        <f>IF(BA292=1,VLOOKUP($AP292,Usinas!$B$3:$F$241,3,0),"")</f>
        <v/>
      </c>
      <c r="AS292" s="103" t="str">
        <f>IF(BA292,VLOOKUP($AP292,Usinas!$B$3:$F$244,4,0),"")</f>
        <v/>
      </c>
      <c r="AT292" s="103" t="str">
        <f t="shared" si="245"/>
        <v/>
      </c>
      <c r="AU292" s="104" t="str">
        <f t="shared" si="249"/>
        <v/>
      </c>
      <c r="AV292" s="104" t="str">
        <f t="shared" si="249"/>
        <v/>
      </c>
      <c r="AW292" s="104" t="str">
        <f t="shared" si="249"/>
        <v/>
      </c>
      <c r="AX292" s="104" t="str">
        <f t="shared" si="249"/>
        <v/>
      </c>
      <c r="AY292" s="104" t="str">
        <f t="shared" si="249"/>
        <v/>
      </c>
      <c r="AZ292" s="104" t="str">
        <f t="shared" si="249"/>
        <v/>
      </c>
      <c r="BA292" s="103">
        <f t="shared" si="246"/>
        <v>0</v>
      </c>
      <c r="BB292" s="103">
        <f t="shared" si="247"/>
        <v>0</v>
      </c>
      <c r="BC292" s="103" t="str">
        <f>IF(BA292=1,VLOOKUP($AP292,Usinas!$B$3:$H$244,7,0),"")</f>
        <v/>
      </c>
    </row>
    <row r="293" spans="2:55" x14ac:dyDescent="0.3">
      <c r="X293" s="42" t="e">
        <v>#N/A</v>
      </c>
      <c r="Z293" s="101">
        <v>273</v>
      </c>
      <c r="AA293" s="101">
        <v>1</v>
      </c>
      <c r="AB293" s="101">
        <v>0.33150000000000002</v>
      </c>
      <c r="AP293" s="103">
        <v>273</v>
      </c>
      <c r="AQ293" s="103" t="str">
        <f>IF(BA293=1,VLOOKUP($AP293,Usinas!$B$3:$F$244,2,0),"")</f>
        <v>LAJEADO</v>
      </c>
      <c r="AR293" s="103" t="str">
        <f>IF(BA293=1,VLOOKUP($AP293,Usinas!$B$3:$F$241,3,0),"")</f>
        <v>TOCANTINS (SE)</v>
      </c>
      <c r="AS293" s="103" t="str">
        <f>IF(BA293,VLOOKUP($AP293,Usinas!$B$3:$F$244,4,0),"")</f>
        <v>SUDESTE</v>
      </c>
      <c r="AT293" s="103">
        <f t="shared" si="245"/>
        <v>0.33150000000000002</v>
      </c>
      <c r="AU293" s="104">
        <f t="shared" si="249"/>
        <v>1163.8965000000001</v>
      </c>
      <c r="AV293" s="104">
        <f t="shared" si="249"/>
        <v>1277.9325000000001</v>
      </c>
      <c r="AW293" s="104">
        <f t="shared" si="249"/>
        <v>1285.2255</v>
      </c>
      <c r="AX293" s="104">
        <f t="shared" si="249"/>
        <v>1237.8210000000001</v>
      </c>
      <c r="AY293" s="104">
        <f t="shared" si="249"/>
        <v>1318.0440000000001</v>
      </c>
      <c r="AZ293" s="104">
        <f t="shared" si="249"/>
        <v>1235.5005000000001</v>
      </c>
      <c r="BA293" s="103">
        <f t="shared" si="246"/>
        <v>1</v>
      </c>
      <c r="BB293" s="103">
        <f t="shared" si="247"/>
        <v>0</v>
      </c>
      <c r="BC293" s="103" t="str">
        <f>IF(BA293=1,VLOOKUP($AP293,Usinas!$B$3:$H$244,7,0),"")</f>
        <v>SUDESTE</v>
      </c>
    </row>
    <row r="294" spans="2:55" x14ac:dyDescent="0.3">
      <c r="X294" s="42" t="e">
        <v>#N/A</v>
      </c>
      <c r="Z294" s="101">
        <v>274</v>
      </c>
      <c r="AA294" s="101">
        <v>0</v>
      </c>
      <c r="AB294" s="101">
        <v>0</v>
      </c>
      <c r="AP294" s="103">
        <v>274</v>
      </c>
      <c r="AQ294" s="103" t="str">
        <f>IF(BA294=1,VLOOKUP($AP294,Usinas!$B$3:$F$244,2,0),"")</f>
        <v/>
      </c>
      <c r="AR294" s="103" t="str">
        <f>IF(BA294=1,VLOOKUP($AP294,Usinas!$B$3:$F$241,3,0),"")</f>
        <v/>
      </c>
      <c r="AS294" s="103" t="str">
        <f>IF(BA294,VLOOKUP($AP294,Usinas!$B$3:$F$244,4,0),"")</f>
        <v/>
      </c>
      <c r="AT294" s="103" t="str">
        <f t="shared" si="245"/>
        <v/>
      </c>
      <c r="AU294" s="104" t="str">
        <f t="shared" si="249"/>
        <v/>
      </c>
      <c r="AV294" s="104" t="str">
        <f t="shared" si="249"/>
        <v/>
      </c>
      <c r="AW294" s="104" t="str">
        <f t="shared" si="249"/>
        <v/>
      </c>
      <c r="AX294" s="104" t="str">
        <f t="shared" si="249"/>
        <v/>
      </c>
      <c r="AY294" s="104" t="str">
        <f t="shared" si="249"/>
        <v/>
      </c>
      <c r="AZ294" s="104" t="str">
        <f t="shared" si="249"/>
        <v/>
      </c>
      <c r="BA294" s="103">
        <f t="shared" si="246"/>
        <v>0</v>
      </c>
      <c r="BB294" s="103">
        <f t="shared" si="247"/>
        <v>0</v>
      </c>
      <c r="BC294" s="103" t="str">
        <f>IF(BA294=1,VLOOKUP($AP294,Usinas!$B$3:$H$244,7,0),"")</f>
        <v/>
      </c>
    </row>
    <row r="295" spans="2:55" x14ac:dyDescent="0.3">
      <c r="X295" s="42" t="e">
        <v>#N/A</v>
      </c>
      <c r="Z295" s="101">
        <v>275</v>
      </c>
      <c r="AA295" s="101">
        <v>1</v>
      </c>
      <c r="AB295" s="101">
        <v>0.54959999999999998</v>
      </c>
      <c r="AP295" s="124">
        <v>275</v>
      </c>
      <c r="AQ295" s="103" t="str">
        <f>IF(BA295=1,VLOOKUP($AP295,Usinas!$B$3:$F$244,2,0),"")</f>
        <v xml:space="preserve">TUCURUI     </v>
      </c>
      <c r="AR295" s="103" t="str">
        <f>IF(BA295=1,VLOOKUP($AP295,Usinas!$B$3:$F$241,3,0),"")</f>
        <v>TOCANTINS (N)</v>
      </c>
      <c r="AS295" s="103" t="str">
        <f>IF(BA295,VLOOKUP($AP295,Usinas!$B$3:$F$244,4,0),"")</f>
        <v>NORTE</v>
      </c>
      <c r="AT295" s="103">
        <f t="shared" si="245"/>
        <v>0.54959999999999998</v>
      </c>
      <c r="AU295" s="104">
        <f t="shared" si="249"/>
        <v>4380.8616000000002</v>
      </c>
      <c r="AV295" s="104">
        <f t="shared" si="249"/>
        <v>5040.3815999999997</v>
      </c>
      <c r="AW295" s="104">
        <f t="shared" si="249"/>
        <v>5720.7864</v>
      </c>
      <c r="AX295" s="104">
        <f t="shared" si="249"/>
        <v>6286.3247999999994</v>
      </c>
      <c r="AY295" s="104">
        <f t="shared" si="249"/>
        <v>7016.7431999999999</v>
      </c>
      <c r="AZ295" s="104">
        <f t="shared" si="249"/>
        <v>7770.7943999999998</v>
      </c>
      <c r="BA295" s="103">
        <f t="shared" si="246"/>
        <v>1</v>
      </c>
      <c r="BB295" s="103">
        <f t="shared" si="247"/>
        <v>0</v>
      </c>
      <c r="BC295" s="103" t="str">
        <f>IF(BA295=1,VLOOKUP($AP295,Usinas!$B$3:$H$244,7,0),"")</f>
        <v>NORTE</v>
      </c>
    </row>
    <row r="296" spans="2:55" x14ac:dyDescent="0.3">
      <c r="X296" s="42" t="e">
        <v>#N/A</v>
      </c>
      <c r="Z296" s="101">
        <v>276</v>
      </c>
      <c r="AA296" s="101">
        <v>0</v>
      </c>
      <c r="AB296" s="101">
        <v>0</v>
      </c>
      <c r="AP296" s="103">
        <v>276</v>
      </c>
      <c r="AQ296" s="103" t="str">
        <f>IF(BA296=1,VLOOKUP($AP296,Usinas!$B$3:$F$244,2,0),"")</f>
        <v/>
      </c>
      <c r="AR296" s="103" t="str">
        <f>IF(BA296=1,VLOOKUP($AP296,Usinas!$B$3:$F$241,3,0),"")</f>
        <v/>
      </c>
      <c r="AS296" s="103" t="str">
        <f>IF(BA296,VLOOKUP($AP296,Usinas!$B$3:$F$244,4,0),"")</f>
        <v/>
      </c>
      <c r="AT296" s="103" t="str">
        <f t="shared" si="245"/>
        <v/>
      </c>
      <c r="AU296" s="104" t="str">
        <f t="shared" si="249"/>
        <v/>
      </c>
      <c r="AV296" s="104" t="str">
        <f t="shared" si="249"/>
        <v/>
      </c>
      <c r="AW296" s="104" t="str">
        <f t="shared" si="249"/>
        <v/>
      </c>
      <c r="AX296" s="104" t="str">
        <f t="shared" si="249"/>
        <v/>
      </c>
      <c r="AY296" s="104" t="str">
        <f t="shared" si="249"/>
        <v/>
      </c>
      <c r="AZ296" s="104" t="str">
        <f t="shared" si="249"/>
        <v/>
      </c>
      <c r="BA296" s="103">
        <f t="shared" si="246"/>
        <v>0</v>
      </c>
      <c r="BB296" s="103">
        <f t="shared" si="247"/>
        <v>0</v>
      </c>
      <c r="BC296" s="103" t="str">
        <f>IF(BA296=1,VLOOKUP($AP296,Usinas!$B$3:$H$244,7,0),"")</f>
        <v/>
      </c>
    </row>
    <row r="297" spans="2:55" x14ac:dyDescent="0.3">
      <c r="X297" s="42" t="e">
        <v>#N/A</v>
      </c>
      <c r="Z297" s="101">
        <v>277</v>
      </c>
      <c r="AA297" s="101">
        <v>1</v>
      </c>
      <c r="AB297" s="101">
        <v>0.16789999999999999</v>
      </c>
      <c r="AP297" s="103">
        <v>277</v>
      </c>
      <c r="AQ297" s="103" t="str">
        <f>IF(BA297=1,VLOOKUP($AP297,Usinas!$B$3:$F$244,2,0),"")</f>
        <v xml:space="preserve">CURUA-UNA   </v>
      </c>
      <c r="AR297" s="103" t="str">
        <f>IF(BA297=1,VLOOKUP($AP297,Usinas!$B$3:$F$241,3,0),"")</f>
        <v>AMAZONAS (N)</v>
      </c>
      <c r="AS297" s="103" t="str">
        <f>IF(BA297,VLOOKUP($AP297,Usinas!$B$3:$F$244,4,0),"")</f>
        <v>NORTE</v>
      </c>
      <c r="AT297" s="103">
        <f t="shared" si="245"/>
        <v>0.16789999999999999</v>
      </c>
      <c r="AU297" s="104">
        <f t="shared" si="249"/>
        <v>15.614699999999999</v>
      </c>
      <c r="AV297" s="104">
        <f t="shared" si="249"/>
        <v>16.118400000000001</v>
      </c>
      <c r="AW297" s="104">
        <f t="shared" si="249"/>
        <v>16.957899999999999</v>
      </c>
      <c r="AX297" s="104">
        <f t="shared" si="249"/>
        <v>18.9727</v>
      </c>
      <c r="AY297" s="104">
        <f t="shared" si="249"/>
        <v>22.3307</v>
      </c>
      <c r="AZ297" s="104">
        <f t="shared" si="249"/>
        <v>24.8492</v>
      </c>
      <c r="BA297" s="103">
        <f t="shared" si="246"/>
        <v>1</v>
      </c>
      <c r="BB297" s="103">
        <f t="shared" si="247"/>
        <v>0</v>
      </c>
      <c r="BC297" s="103" t="str">
        <f>IF(BA297=1,VLOOKUP($AP297,Usinas!$B$3:$H$244,7,0),"")</f>
        <v>BELO MONTE</v>
      </c>
    </row>
    <row r="298" spans="2:55" x14ac:dyDescent="0.3">
      <c r="X298" s="42" t="e">
        <v>#N/A</v>
      </c>
      <c r="Z298" s="101">
        <v>278</v>
      </c>
      <c r="AA298" s="101">
        <v>1</v>
      </c>
      <c r="AB298" s="101">
        <v>0.50800000000000001</v>
      </c>
      <c r="AP298" s="103">
        <v>278</v>
      </c>
      <c r="AQ298" s="103" t="str">
        <f>IF(BA298=1,VLOOKUP($AP298,Usinas!$B$3:$F$244,2,0),"")</f>
        <v>MANSO</v>
      </c>
      <c r="AR298" s="103" t="str">
        <f>IF(BA298=1,VLOOKUP($AP298,Usinas!$B$3:$F$241,3,0),"")</f>
        <v>PARAGUAI</v>
      </c>
      <c r="AS298" s="103" t="str">
        <f>IF(BA298,VLOOKUP($AP298,Usinas!$B$3:$F$244,4,0),"")</f>
        <v>SUDESTE</v>
      </c>
      <c r="AT298" s="103">
        <f t="shared" si="245"/>
        <v>0.50800000000000001</v>
      </c>
      <c r="AU298" s="104">
        <f t="shared" si="249"/>
        <v>102.616</v>
      </c>
      <c r="AV298" s="104">
        <f t="shared" si="249"/>
        <v>122.428</v>
      </c>
      <c r="AW298" s="104">
        <f t="shared" si="249"/>
        <v>169.16400000000002</v>
      </c>
      <c r="AX298" s="104">
        <f t="shared" si="249"/>
        <v>150.36799999999999</v>
      </c>
      <c r="AY298" s="104">
        <f t="shared" si="249"/>
        <v>160.52799999999999</v>
      </c>
      <c r="AZ298" s="104">
        <f t="shared" si="249"/>
        <v>155.95599999999999</v>
      </c>
      <c r="BA298" s="103">
        <f t="shared" si="246"/>
        <v>1</v>
      </c>
      <c r="BB298" s="103">
        <f t="shared" si="247"/>
        <v>0</v>
      </c>
      <c r="BC298" s="103" t="str">
        <f>IF(BA298=1,VLOOKUP($AP298,Usinas!$B$3:$H$244,7,0),"")</f>
        <v>SUDESTE</v>
      </c>
    </row>
    <row r="299" spans="2:55" x14ac:dyDescent="0.3">
      <c r="X299" s="42" t="e">
        <v>#N/A</v>
      </c>
      <c r="Z299" s="101">
        <v>279</v>
      </c>
      <c r="AA299" s="101">
        <v>1</v>
      </c>
      <c r="AB299" s="101">
        <v>0.2762</v>
      </c>
      <c r="AP299" s="103">
        <v>279</v>
      </c>
      <c r="AQ299" s="103" t="str">
        <f>IF(BA299=1,VLOOKUP($AP299,Usinas!$B$3:$F$244,2,0),"")</f>
        <v>SAMUEL</v>
      </c>
      <c r="AR299" s="103" t="str">
        <f>IF(BA299=1,VLOOKUP($AP299,Usinas!$B$3:$F$241,3,0),"")</f>
        <v>AMAZONAS (SE)</v>
      </c>
      <c r="AS299" s="103" t="str">
        <f>IF(BA299,VLOOKUP($AP299,Usinas!$B$3:$F$244,4,0),"")</f>
        <v>SUDESTE</v>
      </c>
      <c r="AT299" s="103">
        <f t="shared" si="245"/>
        <v>0.2762</v>
      </c>
      <c r="AU299" s="104">
        <f t="shared" si="249"/>
        <v>136.71899999999999</v>
      </c>
      <c r="AV299" s="104">
        <f t="shared" si="249"/>
        <v>157.434</v>
      </c>
      <c r="AW299" s="104">
        <f t="shared" si="249"/>
        <v>173.17740000000001</v>
      </c>
      <c r="AX299" s="104">
        <f t="shared" si="249"/>
        <v>178.9776</v>
      </c>
      <c r="AY299" s="104">
        <f t="shared" si="249"/>
        <v>185.054</v>
      </c>
      <c r="AZ299" s="104">
        <f t="shared" si="249"/>
        <v>205.76900000000001</v>
      </c>
      <c r="BA299" s="103">
        <f t="shared" si="246"/>
        <v>1</v>
      </c>
      <c r="BB299" s="103">
        <f t="shared" si="247"/>
        <v>0</v>
      </c>
      <c r="BC299" s="103" t="str">
        <f>IF(BA299=1,VLOOKUP($AP299,Usinas!$B$3:$H$244,7,0),"")</f>
        <v>MADEIRA</v>
      </c>
    </row>
    <row r="300" spans="2:55" x14ac:dyDescent="0.3">
      <c r="X300" s="42" t="e">
        <v>#N/A</v>
      </c>
      <c r="Z300" s="101">
        <v>280</v>
      </c>
      <c r="AA300" s="101">
        <v>1</v>
      </c>
      <c r="AB300" s="101">
        <v>0.17949999999999999</v>
      </c>
      <c r="AP300" s="103">
        <v>280</v>
      </c>
      <c r="AQ300" s="103" t="str">
        <f>IF(BA300=1,VLOOKUP($AP300,Usinas!$B$3:$F$244,2,0),"")</f>
        <v>COARACY NUNES</v>
      </c>
      <c r="AR300" s="103" t="str">
        <f>IF(BA300=1,VLOOKUP($AP300,Usinas!$B$3:$F$241,3,0),"")</f>
        <v>ARAGUARI</v>
      </c>
      <c r="AS300" s="103" t="str">
        <f>IF(BA300,VLOOKUP($AP300,Usinas!$B$3:$F$244,4,0),"")</f>
        <v>NORTE</v>
      </c>
      <c r="AT300" s="103">
        <f t="shared" si="245"/>
        <v>0.17949999999999999</v>
      </c>
      <c r="AU300" s="104">
        <f t="shared" si="249"/>
        <v>64.260999999999996</v>
      </c>
      <c r="AV300" s="104">
        <f t="shared" si="249"/>
        <v>75.569499999999991</v>
      </c>
      <c r="AW300" s="104">
        <f t="shared" si="249"/>
        <v>87.954999999999998</v>
      </c>
      <c r="AX300" s="104">
        <f t="shared" si="249"/>
        <v>98.724999999999994</v>
      </c>
      <c r="AY300" s="104">
        <f t="shared" si="249"/>
        <v>118.11099999999999</v>
      </c>
      <c r="AZ300" s="104">
        <f t="shared" si="249"/>
        <v>138.93299999999999</v>
      </c>
      <c r="BA300" s="103">
        <f t="shared" si="246"/>
        <v>1</v>
      </c>
      <c r="BB300" s="103">
        <f t="shared" si="247"/>
        <v>0</v>
      </c>
      <c r="BC300" s="103" t="str">
        <f>IF(BA300=1,VLOOKUP($AP300,Usinas!$B$3:$H$244,7,0),"")</f>
        <v>MANAUS</v>
      </c>
    </row>
    <row r="301" spans="2:55" x14ac:dyDescent="0.3">
      <c r="B301" s="42" t="s">
        <v>717</v>
      </c>
      <c r="X301" s="42" t="e">
        <v>#N/A</v>
      </c>
      <c r="Z301" s="101">
        <v>281</v>
      </c>
      <c r="AA301" s="101">
        <v>1</v>
      </c>
      <c r="AB301" s="101">
        <v>2.2105999999999999</v>
      </c>
      <c r="AP301" s="103">
        <v>281</v>
      </c>
      <c r="AQ301" s="103" t="str">
        <f>IF(BA301=1,VLOOKUP($AP301,Usinas!$B$3:$F$244,2,0),"")</f>
        <v>P.PEDRA</v>
      </c>
      <c r="AR301" s="103" t="str">
        <f>IF(BA301=1,VLOOKUP($AP301,Usinas!$B$3:$F$241,3,0),"")</f>
        <v>PARAGUAI</v>
      </c>
      <c r="AS301" s="103" t="str">
        <f>IF(BA301,VLOOKUP($AP301,Usinas!$B$3:$F$244,4,0),"")</f>
        <v>SUDESTE</v>
      </c>
      <c r="AT301" s="103">
        <f t="shared" si="245"/>
        <v>2.2105999999999999</v>
      </c>
      <c r="AU301" s="104">
        <f t="shared" ref="AU301:AZ310" si="250">IF($BA301=1,IFERROR(VLOOKUP($AP301,$AE$21:$AK$211,AU$19,0),VLOOKUP($AP301,$BE$21:$BK$65,AU$19,0))*$AT301,"")</f>
        <v>210.00699999999998</v>
      </c>
      <c r="AV301" s="104">
        <f t="shared" si="250"/>
        <v>207.79639999999998</v>
      </c>
      <c r="AW301" s="104">
        <f t="shared" si="250"/>
        <v>216.6388</v>
      </c>
      <c r="AX301" s="104">
        <f t="shared" si="250"/>
        <v>221.06</v>
      </c>
      <c r="AY301" s="104">
        <f t="shared" si="250"/>
        <v>234.3236</v>
      </c>
      <c r="AZ301" s="104">
        <f t="shared" si="250"/>
        <v>238.7448</v>
      </c>
      <c r="BA301" s="103">
        <f t="shared" si="246"/>
        <v>1</v>
      </c>
      <c r="BB301" s="103">
        <f t="shared" si="247"/>
        <v>0</v>
      </c>
      <c r="BC301" s="103" t="str">
        <f>IF(BA301=1,VLOOKUP($AP301,Usinas!$B$3:$H$244,7,0),"")</f>
        <v>SUDESTE</v>
      </c>
    </row>
    <row r="302" spans="2:55" x14ac:dyDescent="0.3">
      <c r="X302" s="42" t="e">
        <v>#N/A</v>
      </c>
      <c r="Z302" s="101">
        <v>282</v>
      </c>
      <c r="AA302" s="101">
        <v>0</v>
      </c>
      <c r="AB302" s="101">
        <v>0</v>
      </c>
      <c r="AP302" s="103">
        <v>282</v>
      </c>
      <c r="AQ302" s="103" t="str">
        <f>IF(BA302=1,VLOOKUP($AP302,Usinas!$B$3:$F$244,2,0),"")</f>
        <v/>
      </c>
      <c r="AR302" s="103" t="str">
        <f>IF(BA302=1,VLOOKUP($AP302,Usinas!$B$3:$F$241,3,0),"")</f>
        <v/>
      </c>
      <c r="AS302" s="103" t="str">
        <f>IF(BA302,VLOOKUP($AP302,Usinas!$B$3:$F$244,4,0),"")</f>
        <v/>
      </c>
      <c r="AT302" s="103" t="str">
        <f t="shared" si="245"/>
        <v/>
      </c>
      <c r="AU302" s="104" t="str">
        <f t="shared" si="250"/>
        <v/>
      </c>
      <c r="AV302" s="104" t="str">
        <f t="shared" si="250"/>
        <v/>
      </c>
      <c r="AW302" s="104" t="str">
        <f t="shared" si="250"/>
        <v/>
      </c>
      <c r="AX302" s="104" t="str">
        <f t="shared" si="250"/>
        <v/>
      </c>
      <c r="AY302" s="104" t="str">
        <f t="shared" si="250"/>
        <v/>
      </c>
      <c r="AZ302" s="104" t="str">
        <f t="shared" si="250"/>
        <v/>
      </c>
      <c r="BA302" s="103">
        <f t="shared" si="246"/>
        <v>0</v>
      </c>
      <c r="BB302" s="103">
        <f t="shared" si="247"/>
        <v>0</v>
      </c>
      <c r="BC302" s="103" t="str">
        <f>IF(BA302=1,VLOOKUP($AP302,Usinas!$B$3:$H$244,7,0),"")</f>
        <v/>
      </c>
    </row>
    <row r="303" spans="2:55" x14ac:dyDescent="0.3">
      <c r="X303" s="42" t="e">
        <v>#N/A</v>
      </c>
      <c r="Z303" s="101">
        <v>283</v>
      </c>
      <c r="AA303" s="101">
        <v>1</v>
      </c>
      <c r="AB303" s="101">
        <v>0.44950000000000001</v>
      </c>
      <c r="AP303" s="103">
        <v>283</v>
      </c>
      <c r="AQ303" s="103" t="str">
        <f>IF(BA303=1,VLOOKUP($AP303,Usinas!$B$3:$F$244,2,0),"")</f>
        <v>SANTA CLARA</v>
      </c>
      <c r="AR303" s="103" t="str">
        <f>IF(BA303=1,VLOOKUP($AP303,Usinas!$B$3:$F$241,3,0),"")</f>
        <v>MUCURI</v>
      </c>
      <c r="AS303" s="103" t="str">
        <f>IF(BA303,VLOOKUP($AP303,Usinas!$B$3:$F$244,4,0),"")</f>
        <v>SUDESTE</v>
      </c>
      <c r="AT303" s="103">
        <f t="shared" si="245"/>
        <v>0.44950000000000001</v>
      </c>
      <c r="AU303" s="104">
        <f t="shared" si="250"/>
        <v>45.849000000000004</v>
      </c>
      <c r="AV303" s="104">
        <f t="shared" si="250"/>
        <v>46.748000000000005</v>
      </c>
      <c r="AW303" s="104">
        <f t="shared" si="250"/>
        <v>37.308500000000002</v>
      </c>
      <c r="AX303" s="104">
        <f t="shared" si="250"/>
        <v>57.536000000000001</v>
      </c>
      <c r="AY303" s="104">
        <f t="shared" si="250"/>
        <v>55.288499999999999</v>
      </c>
      <c r="AZ303" s="104">
        <f t="shared" si="250"/>
        <v>50.344000000000001</v>
      </c>
      <c r="BA303" s="103">
        <f t="shared" si="246"/>
        <v>1</v>
      </c>
      <c r="BB303" s="103">
        <f t="shared" si="247"/>
        <v>0</v>
      </c>
      <c r="BC303" s="103" t="str">
        <f>IF(BA303=1,VLOOKUP($AP303,Usinas!$B$3:$H$244,7,0),"")</f>
        <v>SUDESTE</v>
      </c>
    </row>
    <row r="304" spans="2:55" x14ac:dyDescent="0.3">
      <c r="X304" s="42" t="e">
        <v>#N/A</v>
      </c>
      <c r="Z304" s="101">
        <v>284</v>
      </c>
      <c r="AA304" s="101">
        <v>1</v>
      </c>
      <c r="AB304" s="101">
        <v>0.30159999999999998</v>
      </c>
      <c r="AP304" s="103">
        <v>284</v>
      </c>
      <c r="AQ304" s="103" t="str">
        <f>IF(BA304=1,VLOOKUP($AP304,Usinas!$B$3:$F$244,2,0),"")</f>
        <v>14 DE JULHO</v>
      </c>
      <c r="AR304" s="103" t="str">
        <f>IF(BA304=1,VLOOKUP($AP304,Usinas!$B$3:$F$241,3,0),"")</f>
        <v>JACUÍ</v>
      </c>
      <c r="AS304" s="103" t="str">
        <f>IF(BA304,VLOOKUP($AP304,Usinas!$B$3:$F$244,4,0),"")</f>
        <v>SUL</v>
      </c>
      <c r="AT304" s="103">
        <f t="shared" si="245"/>
        <v>0.30159999999999998</v>
      </c>
      <c r="AU304" s="104">
        <f t="shared" si="250"/>
        <v>63.637599999999999</v>
      </c>
      <c r="AV304" s="104">
        <f t="shared" si="250"/>
        <v>69.669599999999988</v>
      </c>
      <c r="AW304" s="104">
        <f t="shared" si="250"/>
        <v>62.129599999999996</v>
      </c>
      <c r="AX304" s="104">
        <f t="shared" si="250"/>
        <v>49.763999999999996</v>
      </c>
      <c r="AY304" s="104">
        <f t="shared" si="250"/>
        <v>50.668799999999997</v>
      </c>
      <c r="AZ304" s="104">
        <f t="shared" si="250"/>
        <v>52.176799999999993</v>
      </c>
      <c r="BA304" s="103">
        <f t="shared" si="246"/>
        <v>1</v>
      </c>
      <c r="BB304" s="103">
        <f t="shared" si="247"/>
        <v>0</v>
      </c>
      <c r="BC304" s="103" t="str">
        <f>IF(BA304=1,VLOOKUP($AP304,Usinas!$B$3:$H$244,7,0),"")</f>
        <v>SUL</v>
      </c>
    </row>
    <row r="305" spans="24:55" x14ac:dyDescent="0.3">
      <c r="X305" s="42" t="e">
        <v>#N/A</v>
      </c>
      <c r="Z305" s="101">
        <v>285</v>
      </c>
      <c r="AA305" s="101">
        <v>1</v>
      </c>
      <c r="AB305" s="101">
        <v>0.155</v>
      </c>
      <c r="AP305" s="103">
        <v>285</v>
      </c>
      <c r="AQ305" s="103" t="str">
        <f>IF(BA305=1,VLOOKUP($AP305,Usinas!$B$3:$F$244,2,0),"")</f>
        <v>JIRAU</v>
      </c>
      <c r="AR305" s="103" t="str">
        <f>IF(BA305=1,VLOOKUP($AP305,Usinas!$B$3:$F$241,3,0),"")</f>
        <v>AMAZONAS (SE)</v>
      </c>
      <c r="AS305" s="103" t="str">
        <f>IF(BA305,VLOOKUP($AP305,Usinas!$B$3:$F$244,4,0),"")</f>
        <v>SUDESTE</v>
      </c>
      <c r="AT305" s="103">
        <f t="shared" si="245"/>
        <v>0.155</v>
      </c>
      <c r="AU305" s="104">
        <f t="shared" si="250"/>
        <v>3764.02</v>
      </c>
      <c r="AV305" s="104">
        <f t="shared" si="250"/>
        <v>4271.18</v>
      </c>
      <c r="AW305" s="104">
        <f t="shared" si="250"/>
        <v>4693.8649999999998</v>
      </c>
      <c r="AX305" s="104">
        <f t="shared" si="250"/>
        <v>5111.125</v>
      </c>
      <c r="AY305" s="104">
        <f t="shared" si="250"/>
        <v>5489.6350000000002</v>
      </c>
      <c r="AZ305" s="104">
        <f t="shared" si="250"/>
        <v>5647.7349999999997</v>
      </c>
      <c r="BA305" s="103">
        <f t="shared" si="246"/>
        <v>1</v>
      </c>
      <c r="BB305" s="103">
        <f t="shared" si="247"/>
        <v>0</v>
      </c>
      <c r="BC305" s="103" t="str">
        <f>IF(BA305=1,VLOOKUP($AP305,Usinas!$B$3:$H$244,7,0),"")</f>
        <v>MADEIRA</v>
      </c>
    </row>
    <row r="306" spans="24:55" x14ac:dyDescent="0.3">
      <c r="X306" s="42" t="e">
        <v>#N/A</v>
      </c>
      <c r="Z306" s="101">
        <v>286</v>
      </c>
      <c r="AA306" s="101">
        <v>1</v>
      </c>
      <c r="AB306" s="101">
        <v>1.0349999999999999</v>
      </c>
      <c r="AP306" s="103">
        <v>286</v>
      </c>
      <c r="AQ306" s="103" t="str">
        <f>IF(BA306=1,VLOOKUP($AP306,Usinas!$B$3:$F$244,2,0),"")</f>
        <v>QUEBRA-QUEIXO</v>
      </c>
      <c r="AR306" s="103" t="str">
        <f>IF(BA306=1,VLOOKUP($AP306,Usinas!$B$3:$F$241,3,0),"")</f>
        <v>URUGUAI</v>
      </c>
      <c r="AS306" s="103" t="str">
        <f>IF(BA306,VLOOKUP($AP306,Usinas!$B$3:$F$244,4,0),"")</f>
        <v>SUL</v>
      </c>
      <c r="AT306" s="103">
        <f t="shared" si="245"/>
        <v>1.0349999999999999</v>
      </c>
      <c r="AU306" s="104">
        <f t="shared" si="250"/>
        <v>74.52</v>
      </c>
      <c r="AV306" s="104">
        <f t="shared" si="250"/>
        <v>72.449999999999989</v>
      </c>
      <c r="AW306" s="104">
        <f t="shared" si="250"/>
        <v>66.239999999999995</v>
      </c>
      <c r="AX306" s="104">
        <f t="shared" si="250"/>
        <v>60.029999999999994</v>
      </c>
      <c r="AY306" s="104">
        <f t="shared" si="250"/>
        <v>65.204999999999998</v>
      </c>
      <c r="AZ306" s="104">
        <f t="shared" si="250"/>
        <v>62.099999999999994</v>
      </c>
      <c r="BA306" s="103">
        <f t="shared" si="246"/>
        <v>1</v>
      </c>
      <c r="BB306" s="103">
        <f t="shared" si="247"/>
        <v>0</v>
      </c>
      <c r="BC306" s="103" t="str">
        <f>IF(BA306=1,VLOOKUP($AP306,Usinas!$B$3:$H$244,7,0),"")</f>
        <v>SUL</v>
      </c>
    </row>
    <row r="307" spans="24:55" x14ac:dyDescent="0.3">
      <c r="X307" s="42" t="e">
        <v>#N/A</v>
      </c>
      <c r="Z307" s="101">
        <v>287</v>
      </c>
      <c r="AA307" s="101">
        <v>1</v>
      </c>
      <c r="AB307" s="101">
        <v>0.15890000000000001</v>
      </c>
      <c r="AP307" s="103">
        <v>287</v>
      </c>
      <c r="AQ307" s="103" t="str">
        <f>IF(BA307=1,VLOOKUP($AP307,Usinas!$B$3:$F$244,2,0),"")</f>
        <v>SANTO ANTONIO</v>
      </c>
      <c r="AR307" s="103" t="str">
        <f>IF(BA307=1,VLOOKUP($AP307,Usinas!$B$3:$F$241,3,0),"")</f>
        <v>AMAZONAS (SE)</v>
      </c>
      <c r="AS307" s="103" t="str">
        <f>IF(BA307,VLOOKUP($AP307,Usinas!$B$3:$F$244,4,0),"")</f>
        <v>SUDESTE</v>
      </c>
      <c r="AT307" s="103">
        <f t="shared" si="245"/>
        <v>0.15890000000000001</v>
      </c>
      <c r="AU307" s="104">
        <f t="shared" si="250"/>
        <v>4062.1196000000004</v>
      </c>
      <c r="AV307" s="104">
        <f t="shared" si="250"/>
        <v>4586.0129000000006</v>
      </c>
      <c r="AW307" s="104">
        <f t="shared" si="250"/>
        <v>5071.6113000000005</v>
      </c>
      <c r="AX307" s="104">
        <f t="shared" si="250"/>
        <v>5480.4610000000002</v>
      </c>
      <c r="AY307" s="104">
        <f t="shared" si="250"/>
        <v>5911.3978000000006</v>
      </c>
      <c r="AZ307" s="104">
        <f t="shared" si="250"/>
        <v>6083.8043000000007</v>
      </c>
      <c r="BA307" s="103">
        <f t="shared" si="246"/>
        <v>1</v>
      </c>
      <c r="BB307" s="103">
        <f t="shared" si="247"/>
        <v>0</v>
      </c>
      <c r="BC307" s="103" t="str">
        <f>IF(BA307=1,VLOOKUP($AP307,Usinas!$B$3:$H$244,7,0),"")</f>
        <v>MADEIRA</v>
      </c>
    </row>
    <row r="308" spans="24:55" x14ac:dyDescent="0.3">
      <c r="X308" s="42" t="e">
        <v>#N/A</v>
      </c>
      <c r="Z308" s="101">
        <v>288</v>
      </c>
      <c r="AA308" s="101">
        <v>0</v>
      </c>
      <c r="AB308" s="101">
        <v>0</v>
      </c>
      <c r="AP308" s="103">
        <v>288</v>
      </c>
      <c r="AQ308" s="103" t="str">
        <f>IF(BA308=1,VLOOKUP($AP308,Usinas!$B$3:$F$244,2,0),"")</f>
        <v/>
      </c>
      <c r="AR308" s="103" t="str">
        <f>IF(BA308=1,VLOOKUP($AP308,Usinas!$B$3:$F$241,3,0),"")</f>
        <v/>
      </c>
      <c r="AS308" s="103" t="str">
        <f>IF(BA308,VLOOKUP($AP308,Usinas!$B$3:$F$244,4,0),"")</f>
        <v/>
      </c>
      <c r="AT308" s="103" t="str">
        <f t="shared" si="245"/>
        <v/>
      </c>
      <c r="AU308" s="104" t="str">
        <f t="shared" si="250"/>
        <v/>
      </c>
      <c r="AV308" s="104" t="str">
        <f t="shared" si="250"/>
        <v/>
      </c>
      <c r="AW308" s="104" t="str">
        <f t="shared" si="250"/>
        <v/>
      </c>
      <c r="AX308" s="104" t="str">
        <f t="shared" si="250"/>
        <v/>
      </c>
      <c r="AY308" s="104" t="str">
        <f t="shared" si="250"/>
        <v/>
      </c>
      <c r="AZ308" s="104" t="str">
        <f t="shared" si="250"/>
        <v/>
      </c>
      <c r="BA308" s="103">
        <f t="shared" si="246"/>
        <v>0</v>
      </c>
      <c r="BB308" s="103">
        <f t="shared" si="247"/>
        <v>0</v>
      </c>
      <c r="BC308" s="103" t="str">
        <f>IF(BA308=1,VLOOKUP($AP308,Usinas!$B$3:$H$244,7,0),"")</f>
        <v/>
      </c>
    </row>
    <row r="309" spans="24:55" x14ac:dyDescent="0.3">
      <c r="X309" s="42" t="e">
        <v>#N/A</v>
      </c>
      <c r="Z309" s="101">
        <v>289</v>
      </c>
      <c r="AA309" s="101">
        <v>0</v>
      </c>
      <c r="AB309" s="101">
        <v>0</v>
      </c>
      <c r="AP309" s="103">
        <v>289</v>
      </c>
      <c r="AQ309" s="103" t="str">
        <f>IF(BA309=1,VLOOKUP($AP309,Usinas!$B$3:$F$244,2,0),"")</f>
        <v/>
      </c>
      <c r="AR309" s="103" t="str">
        <f>IF(BA309=1,VLOOKUP($AP309,Usinas!$B$3:$F$241,3,0),"")</f>
        <v/>
      </c>
      <c r="AS309" s="103" t="str">
        <f>IF(BA309,VLOOKUP($AP309,Usinas!$B$3:$F$244,4,0),"")</f>
        <v/>
      </c>
      <c r="AT309" s="103" t="str">
        <f t="shared" si="245"/>
        <v/>
      </c>
      <c r="AU309" s="104" t="str">
        <f t="shared" si="250"/>
        <v/>
      </c>
      <c r="AV309" s="104" t="str">
        <f t="shared" si="250"/>
        <v/>
      </c>
      <c r="AW309" s="104" t="str">
        <f t="shared" si="250"/>
        <v/>
      </c>
      <c r="AX309" s="104" t="str">
        <f t="shared" si="250"/>
        <v/>
      </c>
      <c r="AY309" s="104" t="str">
        <f t="shared" si="250"/>
        <v/>
      </c>
      <c r="AZ309" s="104" t="str">
        <f t="shared" si="250"/>
        <v/>
      </c>
      <c r="BA309" s="103">
        <f t="shared" si="246"/>
        <v>0</v>
      </c>
      <c r="BB309" s="103">
        <f t="shared" si="247"/>
        <v>0</v>
      </c>
      <c r="BC309" s="103" t="str">
        <f>IF(BA309=1,VLOOKUP($AP309,Usinas!$B$3:$H$244,7,0),"")</f>
        <v/>
      </c>
    </row>
    <row r="310" spans="24:55" x14ac:dyDescent="0.3">
      <c r="X310" s="42" t="e">
        <v>#N/A</v>
      </c>
      <c r="Z310" s="101">
        <v>290</v>
      </c>
      <c r="AA310" s="101">
        <v>1</v>
      </c>
      <c r="AB310" s="101">
        <v>0.23150000000000001</v>
      </c>
      <c r="AP310" s="103">
        <v>290</v>
      </c>
      <c r="AQ310" s="103" t="str">
        <f>IF(BA310=1,VLOOKUP($AP310,Usinas!$B$3:$F$244,2,0),"")</f>
        <v>SANTO ANTONIO DO JARI</v>
      </c>
      <c r="AR310" s="103" t="str">
        <f>IF(BA310=1,VLOOKUP($AP310,Usinas!$B$3:$F$241,3,0),"")</f>
        <v>AMAZONAS (N)</v>
      </c>
      <c r="AS310" s="103" t="str">
        <f>IF(BA310,VLOOKUP($AP310,Usinas!$B$3:$F$244,4,0),"")</f>
        <v>NORTE</v>
      </c>
      <c r="AT310" s="103">
        <f t="shared" si="245"/>
        <v>0.23150000000000001</v>
      </c>
      <c r="AU310" s="104">
        <f t="shared" si="250"/>
        <v>101.86</v>
      </c>
      <c r="AV310" s="104">
        <f t="shared" si="250"/>
        <v>128.01949999999999</v>
      </c>
      <c r="AW310" s="104">
        <f t="shared" si="250"/>
        <v>143.06700000000001</v>
      </c>
      <c r="AX310" s="104">
        <f t="shared" si="250"/>
        <v>181.03300000000002</v>
      </c>
      <c r="AY310" s="104">
        <f t="shared" si="250"/>
        <v>209.27600000000001</v>
      </c>
      <c r="AZ310" s="104">
        <f t="shared" si="250"/>
        <v>249.09400000000002</v>
      </c>
      <c r="BA310" s="103">
        <f t="shared" si="246"/>
        <v>1</v>
      </c>
      <c r="BB310" s="103">
        <f t="shared" si="247"/>
        <v>0</v>
      </c>
      <c r="BC310" s="103" t="str">
        <f>IF(BA310=1,VLOOKUP($AP310,Usinas!$B$3:$H$244,7,0),"")</f>
        <v>MANAUS</v>
      </c>
    </row>
    <row r="311" spans="24:55" x14ac:dyDescent="0.3">
      <c r="X311" s="42" t="e">
        <v>#N/A</v>
      </c>
      <c r="Z311" s="101">
        <v>291</v>
      </c>
      <c r="AA311" s="101">
        <v>1</v>
      </c>
      <c r="AB311" s="101">
        <v>0.86890000000000001</v>
      </c>
      <c r="AP311" s="103">
        <v>291</v>
      </c>
      <c r="AQ311" s="103" t="str">
        <f>IF(BA311=1,VLOOKUP($AP311,Usinas!$B$3:$F$244,2,0),"")</f>
        <v>DARDANELOS</v>
      </c>
      <c r="AR311" s="103" t="str">
        <f>IF(BA311=1,VLOOKUP($AP311,Usinas!$B$3:$F$241,3,0),"")</f>
        <v>AMAZONAS (SE)</v>
      </c>
      <c r="AS311" s="103" t="str">
        <f>IF(BA311,VLOOKUP($AP311,Usinas!$B$3:$F$244,4,0),"")</f>
        <v>SUDESTE</v>
      </c>
      <c r="AT311" s="103">
        <f t="shared" si="245"/>
        <v>0.86890000000000001</v>
      </c>
      <c r="AU311" s="104">
        <f t="shared" ref="AU311:AZ320" si="251">IF($BA311=1,IFERROR(VLOOKUP($AP311,$AE$21:$AK$211,AU$19,0),VLOOKUP($AP311,$BE$21:$BK$65,AU$19,0))*$AT311,"")</f>
        <v>528.2912</v>
      </c>
      <c r="AV311" s="104">
        <f t="shared" si="251"/>
        <v>596.93430000000001</v>
      </c>
      <c r="AW311" s="104">
        <f t="shared" si="251"/>
        <v>651.67499999999995</v>
      </c>
      <c r="AX311" s="104">
        <f t="shared" si="251"/>
        <v>652.54390000000001</v>
      </c>
      <c r="AY311" s="104">
        <f t="shared" si="251"/>
        <v>675.13530000000003</v>
      </c>
      <c r="AZ311" s="104">
        <f t="shared" si="251"/>
        <v>736.82719999999995</v>
      </c>
      <c r="BA311" s="103">
        <f t="shared" si="246"/>
        <v>1</v>
      </c>
      <c r="BB311" s="103">
        <f t="shared" si="247"/>
        <v>0</v>
      </c>
      <c r="BC311" s="103" t="str">
        <f>IF(BA311=1,VLOOKUP($AP311,Usinas!$B$3:$H$244,7,0),"")</f>
        <v>MADEIRA</v>
      </c>
    </row>
    <row r="312" spans="24:55" x14ac:dyDescent="0.3">
      <c r="X312" s="42" t="e">
        <v>#N/A</v>
      </c>
      <c r="Z312" s="101">
        <v>292</v>
      </c>
      <c r="AA312" s="101">
        <v>1</v>
      </c>
      <c r="AB312" s="101">
        <v>0.80320000000000003</v>
      </c>
      <c r="AP312" s="103">
        <v>292</v>
      </c>
      <c r="AQ312" s="103" t="str">
        <f>IF(BA312=1,VLOOKUP($AP312,Usinas!$B$3:$F$244,2,0),"")</f>
        <v>BELO MONTE</v>
      </c>
      <c r="AR312" s="103" t="str">
        <f>IF(BA312=1,VLOOKUP($AP312,Usinas!$B$3:$F$241,3,0),"")</f>
        <v>XINGU</v>
      </c>
      <c r="AS312" s="103" t="str">
        <f>IF(BA312,VLOOKUP($AP312,Usinas!$B$3:$F$244,4,0),"")</f>
        <v>NORTE</v>
      </c>
      <c r="AT312" s="103">
        <f t="shared" si="245"/>
        <v>0.80320000000000003</v>
      </c>
      <c r="AU312" s="104">
        <f t="shared" si="251"/>
        <v>2847.5734857142857</v>
      </c>
      <c r="AV312" s="104">
        <f t="shared" si="251"/>
        <v>3712.3904000000002</v>
      </c>
      <c r="AW312" s="104">
        <f>IF($BA312=1,IFERROR(VLOOKUP($AP312,$AE$21:$AK$211,AW$19,0),VLOOKUP($AP312,$BE$21:$BK$65,AW$19,0))*$AT312,"")</f>
        <v>4684.2624000000005</v>
      </c>
      <c r="AX312" s="104">
        <f t="shared" si="251"/>
        <v>5708.3424000000005</v>
      </c>
      <c r="AY312" s="104">
        <f t="shared" si="251"/>
        <v>6731.6192000000001</v>
      </c>
      <c r="AZ312" s="104">
        <f t="shared" si="251"/>
        <v>7383.8176000000003</v>
      </c>
      <c r="BA312" s="103">
        <f t="shared" si="246"/>
        <v>1</v>
      </c>
      <c r="BB312" s="103">
        <f t="shared" si="247"/>
        <v>0</v>
      </c>
      <c r="BC312" s="103" t="str">
        <f>IF(BA312=1,VLOOKUP($AP312,Usinas!$B$3:$H$244,7,0),"")</f>
        <v>BELO MONTE</v>
      </c>
    </row>
    <row r="313" spans="24:55" x14ac:dyDescent="0.3">
      <c r="X313" s="42" t="e">
        <v>#N/A</v>
      </c>
      <c r="Z313" s="101">
        <v>293</v>
      </c>
      <c r="AA313" s="101">
        <v>0</v>
      </c>
      <c r="AB313" s="101">
        <v>0</v>
      </c>
      <c r="AP313" s="103">
        <v>293</v>
      </c>
      <c r="AQ313" s="103" t="str">
        <f>IF(BA313=1,VLOOKUP($AP313,Usinas!$B$3:$F$244,2,0),"")</f>
        <v/>
      </c>
      <c r="AR313" s="103" t="str">
        <f>IF(BA313=1,VLOOKUP($AP313,Usinas!$B$3:$F$241,3,0),"")</f>
        <v/>
      </c>
      <c r="AS313" s="103" t="str">
        <f>IF(BA313,VLOOKUP($AP313,Usinas!$B$3:$F$244,4,0),"")</f>
        <v/>
      </c>
      <c r="AT313" s="103" t="str">
        <f t="shared" si="245"/>
        <v/>
      </c>
      <c r="AU313" s="104" t="str">
        <f t="shared" si="251"/>
        <v/>
      </c>
      <c r="AV313" s="104" t="str">
        <f t="shared" si="251"/>
        <v/>
      </c>
      <c r="AW313" s="104" t="str">
        <f t="shared" si="251"/>
        <v/>
      </c>
      <c r="AX313" s="104" t="str">
        <f t="shared" si="251"/>
        <v/>
      </c>
      <c r="AY313" s="104" t="str">
        <f t="shared" si="251"/>
        <v/>
      </c>
      <c r="AZ313" s="104" t="str">
        <f t="shared" si="251"/>
        <v/>
      </c>
      <c r="BA313" s="103">
        <f t="shared" si="246"/>
        <v>0</v>
      </c>
      <c r="BB313" s="103">
        <f t="shared" si="247"/>
        <v>0</v>
      </c>
      <c r="BC313" s="103" t="str">
        <f>IF(BA313=1,VLOOKUP($AP313,Usinas!$B$3:$H$244,7,0),"")</f>
        <v/>
      </c>
    </row>
    <row r="314" spans="24:55" x14ac:dyDescent="0.3">
      <c r="X314" s="42" t="e">
        <v>#N/A</v>
      </c>
      <c r="Z314" s="101">
        <v>294</v>
      </c>
      <c r="AA314" s="101">
        <v>1</v>
      </c>
      <c r="AB314" s="101">
        <v>0.45019999999999999</v>
      </c>
      <c r="AP314" s="103">
        <v>294</v>
      </c>
      <c r="AQ314" s="103" t="str">
        <f>IF(BA314=1,VLOOKUP($AP314,Usinas!$B$3:$F$244,2,0),"")</f>
        <v>SALTO</v>
      </c>
      <c r="AR314" s="103" t="str">
        <f>IF(BA314=1,VLOOKUP($AP314,Usinas!$B$3:$F$241,3,0),"")</f>
        <v>PARANAÍBA</v>
      </c>
      <c r="AS314" s="103" t="str">
        <f>IF(BA314,VLOOKUP($AP314,Usinas!$B$3:$F$244,4,0),"")</f>
        <v>SUDESTE</v>
      </c>
      <c r="AT314" s="103">
        <f t="shared" si="245"/>
        <v>0.45019999999999999</v>
      </c>
      <c r="AU314" s="104">
        <f t="shared" si="251"/>
        <v>101.7452</v>
      </c>
      <c r="AV314" s="104">
        <f t="shared" si="251"/>
        <v>104.4464</v>
      </c>
      <c r="AW314" s="104">
        <f t="shared" si="251"/>
        <v>116.1516</v>
      </c>
      <c r="AX314" s="104">
        <f t="shared" si="251"/>
        <v>111.1994</v>
      </c>
      <c r="AY314" s="104">
        <f t="shared" si="251"/>
        <v>113.00019999999999</v>
      </c>
      <c r="AZ314" s="104">
        <f t="shared" si="251"/>
        <v>112.55</v>
      </c>
      <c r="BA314" s="103">
        <f t="shared" si="246"/>
        <v>1</v>
      </c>
      <c r="BB314" s="103">
        <f t="shared" si="247"/>
        <v>0</v>
      </c>
      <c r="BC314" s="103" t="str">
        <f>IF(BA314=1,VLOOKUP($AP314,Usinas!$B$3:$H$244,7,0),"")</f>
        <v>PARANA</v>
      </c>
    </row>
    <row r="315" spans="24:55" x14ac:dyDescent="0.3">
      <c r="X315" s="42" t="e">
        <v>#N/A</v>
      </c>
      <c r="Z315" s="101">
        <v>295</v>
      </c>
      <c r="AA315" s="101">
        <v>1</v>
      </c>
      <c r="AB315" s="101">
        <v>0.92969999999999997</v>
      </c>
      <c r="AP315" s="103">
        <v>295</v>
      </c>
      <c r="AQ315" s="103" t="str">
        <f>IF(BA315=1,VLOOKUP($AP315,Usinas!$B$3:$F$244,2,0),"")</f>
        <v>JAURU</v>
      </c>
      <c r="AR315" s="103" t="str">
        <f>IF(BA315=1,VLOOKUP($AP315,Usinas!$B$3:$F$241,3,0),"")</f>
        <v>PARAGUAI</v>
      </c>
      <c r="AS315" s="103" t="str">
        <f>IF(BA315,VLOOKUP($AP315,Usinas!$B$3:$F$244,4,0),"")</f>
        <v>SUDESTE</v>
      </c>
      <c r="AT315" s="103">
        <f t="shared" si="245"/>
        <v>0.92969999999999997</v>
      </c>
      <c r="AU315" s="104">
        <f t="shared" si="251"/>
        <v>80.883899999999997</v>
      </c>
      <c r="AV315" s="104">
        <f t="shared" si="251"/>
        <v>86.462099999999992</v>
      </c>
      <c r="AW315" s="104">
        <f t="shared" si="251"/>
        <v>84.602699999999999</v>
      </c>
      <c r="AX315" s="104">
        <f t="shared" si="251"/>
        <v>88.3215</v>
      </c>
      <c r="AY315" s="104">
        <f t="shared" si="251"/>
        <v>94.829399999999993</v>
      </c>
      <c r="AZ315" s="104">
        <f t="shared" si="251"/>
        <v>98.548199999999994</v>
      </c>
      <c r="BA315" s="103">
        <f t="shared" si="246"/>
        <v>1</v>
      </c>
      <c r="BB315" s="103">
        <f t="shared" si="247"/>
        <v>0</v>
      </c>
      <c r="BC315" s="103" t="str">
        <f>IF(BA315=1,VLOOKUP($AP315,Usinas!$B$3:$H$244,7,0),"")</f>
        <v>SUDESTE</v>
      </c>
    </row>
    <row r="316" spans="24:55" x14ac:dyDescent="0.3">
      <c r="X316" s="42" t="e">
        <v>#N/A</v>
      </c>
      <c r="Z316" s="101">
        <v>296</v>
      </c>
      <c r="AA316" s="101">
        <v>1</v>
      </c>
      <c r="AB316" s="101">
        <v>1.5451999999999999</v>
      </c>
      <c r="AP316" s="103">
        <v>296</v>
      </c>
      <c r="AQ316" s="103" t="str">
        <f>IF(BA316=1,VLOOKUP($AP316,Usinas!$B$3:$F$244,2,0),"")</f>
        <v>GUAPORÉ</v>
      </c>
      <c r="AR316" s="103" t="str">
        <f>IF(BA316=1,VLOOKUP($AP316,Usinas!$B$3:$F$241,3,0),"")</f>
        <v>AMAZONAS (SE)</v>
      </c>
      <c r="AS316" s="103" t="str">
        <f>IF(BA316,VLOOKUP($AP316,Usinas!$B$3:$F$244,4,0),"")</f>
        <v>SUDESTE</v>
      </c>
      <c r="AT316" s="103">
        <f t="shared" si="245"/>
        <v>1.5451999999999999</v>
      </c>
      <c r="AU316" s="104">
        <f t="shared" si="251"/>
        <v>50.991599999999998</v>
      </c>
      <c r="AV316" s="104">
        <f t="shared" si="251"/>
        <v>67.988799999999998</v>
      </c>
      <c r="AW316" s="104">
        <f t="shared" si="251"/>
        <v>74.169600000000003</v>
      </c>
      <c r="AX316" s="104">
        <f t="shared" si="251"/>
        <v>64.898399999999995</v>
      </c>
      <c r="AY316" s="104">
        <f t="shared" si="251"/>
        <v>80.350399999999993</v>
      </c>
      <c r="AZ316" s="104">
        <f t="shared" si="251"/>
        <v>69.533999999999992</v>
      </c>
      <c r="BA316" s="103">
        <f t="shared" si="246"/>
        <v>1</v>
      </c>
      <c r="BB316" s="103">
        <f t="shared" si="247"/>
        <v>0</v>
      </c>
      <c r="BC316" s="103" t="str">
        <f>IF(BA316=1,VLOOKUP($AP316,Usinas!$B$3:$H$244,7,0),"")</f>
        <v>MADEIRA</v>
      </c>
    </row>
    <row r="317" spans="24:55" x14ac:dyDescent="0.3">
      <c r="X317" s="42" t="e">
        <v>#N/A</v>
      </c>
      <c r="Z317" s="101">
        <v>297</v>
      </c>
      <c r="AA317" s="101">
        <v>1</v>
      </c>
      <c r="AB317" s="101">
        <v>0.14990000000000001</v>
      </c>
      <c r="AP317" s="103">
        <v>297</v>
      </c>
      <c r="AQ317" s="103" t="str">
        <f>IF(BA317=1,VLOOKUP($AP317,Usinas!$B$3:$F$244,2,0),"")</f>
        <v>FERREIRA GOMES</v>
      </c>
      <c r="AR317" s="103" t="str">
        <f>IF(BA317=1,VLOOKUP($AP317,Usinas!$B$3:$F$241,3,0),"")</f>
        <v>ARAGUARI</v>
      </c>
      <c r="AS317" s="103" t="str">
        <f>IF(BA317,VLOOKUP($AP317,Usinas!$B$3:$F$244,4,0),"")</f>
        <v>NORTE</v>
      </c>
      <c r="AT317" s="103">
        <f t="shared" si="245"/>
        <v>0.14990000000000001</v>
      </c>
      <c r="AU317" s="104">
        <f t="shared" si="251"/>
        <v>53.963999999999999</v>
      </c>
      <c r="AV317" s="104">
        <f t="shared" si="251"/>
        <v>53.963999999999999</v>
      </c>
      <c r="AW317" s="104">
        <f t="shared" si="251"/>
        <v>53.963999999999999</v>
      </c>
      <c r="AX317" s="104">
        <f t="shared" si="251"/>
        <v>53.963999999999999</v>
      </c>
      <c r="AY317" s="104">
        <f t="shared" si="251"/>
        <v>53.963999999999999</v>
      </c>
      <c r="AZ317" s="104">
        <f t="shared" si="251"/>
        <v>53.963999999999999</v>
      </c>
      <c r="BA317" s="103">
        <f t="shared" si="246"/>
        <v>1</v>
      </c>
      <c r="BB317" s="103">
        <f t="shared" si="247"/>
        <v>0</v>
      </c>
      <c r="BC317" s="103" t="str">
        <f>IF(BA317=1,VLOOKUP($AP317,Usinas!$B$3:$H$244,7,0),"")</f>
        <v>MANAUS</v>
      </c>
    </row>
    <row r="318" spans="24:55" x14ac:dyDescent="0.3">
      <c r="X318" s="42" t="e">
        <v>#N/A</v>
      </c>
      <c r="Z318" s="101">
        <v>298</v>
      </c>
      <c r="AA318" s="101">
        <v>0</v>
      </c>
      <c r="AB318" s="101">
        <v>0</v>
      </c>
      <c r="AP318" s="103">
        <v>298</v>
      </c>
      <c r="AQ318" s="103" t="str">
        <f>IF(BA318=1,VLOOKUP($AP318,Usinas!$B$3:$F$244,2,0),"")</f>
        <v/>
      </c>
      <c r="AR318" s="103" t="str">
        <f>IF(BA318=1,VLOOKUP($AP318,Usinas!$B$3:$F$241,3,0),"")</f>
        <v/>
      </c>
      <c r="AS318" s="103" t="str">
        <f>IF(BA318,VLOOKUP($AP318,Usinas!$B$3:$F$244,4,0),"")</f>
        <v/>
      </c>
      <c r="AT318" s="103" t="str">
        <f t="shared" si="245"/>
        <v/>
      </c>
      <c r="AU318" s="104" t="str">
        <f t="shared" si="251"/>
        <v/>
      </c>
      <c r="AV318" s="104" t="str">
        <f t="shared" si="251"/>
        <v/>
      </c>
      <c r="AW318" s="104" t="str">
        <f t="shared" si="251"/>
        <v/>
      </c>
      <c r="AX318" s="104" t="str">
        <f t="shared" si="251"/>
        <v/>
      </c>
      <c r="AY318" s="104" t="str">
        <f t="shared" si="251"/>
        <v/>
      </c>
      <c r="AZ318" s="104" t="str">
        <f t="shared" si="251"/>
        <v/>
      </c>
      <c r="BA318" s="103">
        <f t="shared" si="246"/>
        <v>0</v>
      </c>
      <c r="BB318" s="103">
        <f t="shared" si="247"/>
        <v>0</v>
      </c>
      <c r="BC318" s="103" t="str">
        <f>IF(BA318=1,VLOOKUP($AP318,Usinas!$B$3:$H$244,7,0),"")</f>
        <v/>
      </c>
    </row>
    <row r="319" spans="24:55" x14ac:dyDescent="0.3">
      <c r="X319" s="42" t="e">
        <v>#N/A</v>
      </c>
      <c r="Z319" s="101">
        <v>299</v>
      </c>
      <c r="AA319" s="101">
        <v>1</v>
      </c>
      <c r="AB319" s="101">
        <v>0.2702</v>
      </c>
      <c r="AP319" s="103">
        <v>299</v>
      </c>
      <c r="AQ319" s="103" t="str">
        <f>IF(BA319=1,VLOOKUP($AP319,Usinas!$B$3:$F$244,2,0),"")</f>
        <v>ILHA POMBOS</v>
      </c>
      <c r="AR319" s="103" t="str">
        <f>IF(BA319=1,VLOOKUP($AP319,Usinas!$B$3:$F$241,3,0),"")</f>
        <v>PARAÍBA DO SUL</v>
      </c>
      <c r="AS319" s="103" t="str">
        <f>IF(BA319,VLOOKUP($AP319,Usinas!$B$3:$F$244,4,0),"")</f>
        <v>SUDESTE</v>
      </c>
      <c r="AT319" s="103">
        <f t="shared" si="245"/>
        <v>0.2702</v>
      </c>
      <c r="AU319" s="104">
        <f t="shared" si="251"/>
        <v>232.6422</v>
      </c>
      <c r="AV319" s="104">
        <f t="shared" si="251"/>
        <v>270.47019999999998</v>
      </c>
      <c r="AW319" s="104">
        <f t="shared" si="251"/>
        <v>288.03320000000002</v>
      </c>
      <c r="AX319" s="104">
        <f t="shared" si="251"/>
        <v>281.27819999999997</v>
      </c>
      <c r="AY319" s="104">
        <f t="shared" si="251"/>
        <v>241.82900000000001</v>
      </c>
      <c r="AZ319" s="104">
        <f t="shared" si="251"/>
        <v>244.53100000000001</v>
      </c>
      <c r="BA319" s="103">
        <f t="shared" si="246"/>
        <v>1</v>
      </c>
      <c r="BB319" s="103">
        <f t="shared" si="247"/>
        <v>0</v>
      </c>
      <c r="BC319" s="103" t="str">
        <f>IF(BA319=1,VLOOKUP($AP319,Usinas!$B$3:$H$244,7,0),"")</f>
        <v>SUDESTE</v>
      </c>
    </row>
    <row r="320" spans="24:55" x14ac:dyDescent="0.3">
      <c r="X320" s="42" t="e">
        <v>#N/A</v>
      </c>
      <c r="Z320" s="101">
        <v>300</v>
      </c>
      <c r="AA320" s="101">
        <v>0</v>
      </c>
      <c r="AB320" s="101">
        <v>0</v>
      </c>
      <c r="AP320" s="103">
        <v>300</v>
      </c>
      <c r="AQ320" s="103" t="str">
        <f>IF(BA320=1,VLOOKUP($AP320,Usinas!$B$3:$F$244,2,0),"")</f>
        <v/>
      </c>
      <c r="AR320" s="103" t="str">
        <f>IF(BA320=1,VLOOKUP($AP320,Usinas!$B$3:$F$241,3,0),"")</f>
        <v/>
      </c>
      <c r="AS320" s="103" t="str">
        <f>IF(BA320,VLOOKUP($AP320,Usinas!$B$3:$F$244,4,0),"")</f>
        <v/>
      </c>
      <c r="AT320" s="103" t="str">
        <f t="shared" si="245"/>
        <v/>
      </c>
      <c r="AU320" s="104" t="str">
        <f t="shared" si="251"/>
        <v/>
      </c>
      <c r="AV320" s="104" t="str">
        <f t="shared" si="251"/>
        <v/>
      </c>
      <c r="AW320" s="104" t="str">
        <f t="shared" si="251"/>
        <v/>
      </c>
      <c r="AX320" s="104" t="str">
        <f t="shared" si="251"/>
        <v/>
      </c>
      <c r="AY320" s="104" t="str">
        <f t="shared" si="251"/>
        <v/>
      </c>
      <c r="AZ320" s="104" t="str">
        <f t="shared" si="251"/>
        <v/>
      </c>
      <c r="BA320" s="103">
        <f t="shared" si="246"/>
        <v>0</v>
      </c>
      <c r="BB320" s="103">
        <f t="shared" si="247"/>
        <v>0</v>
      </c>
      <c r="BC320" s="103" t="str">
        <f>IF(BA320=1,VLOOKUP($AP320,Usinas!$B$3:$H$244,7,0),"")</f>
        <v/>
      </c>
    </row>
    <row r="321" spans="24:55" x14ac:dyDescent="0.3">
      <c r="X321" s="42" t="e">
        <v>#N/A</v>
      </c>
      <c r="Z321" s="101">
        <v>301</v>
      </c>
      <c r="AA321" s="101">
        <v>0</v>
      </c>
      <c r="AB321" s="101">
        <v>0</v>
      </c>
      <c r="AP321" s="103">
        <v>301</v>
      </c>
      <c r="AQ321" s="103" t="str">
        <f>IF(BA321=1,VLOOKUP($AP321,Usinas!$B$3:$F$244,2,0),"")</f>
        <v/>
      </c>
      <c r="AR321" s="103" t="str">
        <f>IF(BA321=1,VLOOKUP($AP321,Usinas!$B$3:$F$241,3,0),"")</f>
        <v/>
      </c>
      <c r="AS321" s="103" t="str">
        <f>IF(BA321,VLOOKUP($AP321,Usinas!$B$3:$F$244,4,0),"")</f>
        <v/>
      </c>
      <c r="AT321" s="103" t="str">
        <f t="shared" si="245"/>
        <v/>
      </c>
      <c r="AU321" s="104" t="str">
        <f t="shared" ref="AU321:AZ330" si="252">IF($BA321=1,IFERROR(VLOOKUP($AP321,$AE$21:$AK$211,AU$19,0),VLOOKUP($AP321,$BE$21:$BK$65,AU$19,0))*$AT321,"")</f>
        <v/>
      </c>
      <c r="AV321" s="104" t="str">
        <f t="shared" si="252"/>
        <v/>
      </c>
      <c r="AW321" s="104" t="str">
        <f t="shared" si="252"/>
        <v/>
      </c>
      <c r="AX321" s="104" t="str">
        <f t="shared" si="252"/>
        <v/>
      </c>
      <c r="AY321" s="104" t="str">
        <f t="shared" si="252"/>
        <v/>
      </c>
      <c r="AZ321" s="104" t="str">
        <f t="shared" si="252"/>
        <v/>
      </c>
      <c r="BA321" s="103">
        <f t="shared" si="246"/>
        <v>0</v>
      </c>
      <c r="BB321" s="103">
        <f t="shared" si="247"/>
        <v>0</v>
      </c>
      <c r="BC321" s="103" t="str">
        <f>IF(BA321=1,VLOOKUP($AP321,Usinas!$B$3:$H$244,7,0),"")</f>
        <v/>
      </c>
    </row>
    <row r="322" spans="24:55" x14ac:dyDescent="0.3">
      <c r="X322" s="42" t="e">
        <v>#N/A</v>
      </c>
      <c r="Z322" s="101">
        <v>302</v>
      </c>
      <c r="AA322" s="101">
        <v>1</v>
      </c>
      <c r="AB322" s="101">
        <v>0.1163</v>
      </c>
      <c r="AP322" s="103">
        <v>302</v>
      </c>
      <c r="AQ322" s="103" t="str">
        <f>IF(BA322=1,VLOOKUP($AP322,Usinas!$B$3:$F$244,2,0),"")</f>
        <v>BELO MONTE</v>
      </c>
      <c r="AR322" s="103" t="str">
        <f>IF(BA322=1,VLOOKUP($AP322,Usinas!$B$3:$F$241,3,0),"")</f>
        <v>XINGU</v>
      </c>
      <c r="AS322" s="103" t="str">
        <f>IF(BA322,VLOOKUP($AP322,Usinas!$B$3:$F$244,4,0),"")</f>
        <v>NORTE</v>
      </c>
      <c r="AT322" s="103">
        <f t="shared" si="245"/>
        <v>0.1163</v>
      </c>
      <c r="AU322" s="104">
        <f t="shared" si="252"/>
        <v>114.63857142857144</v>
      </c>
      <c r="AV322" s="104">
        <f t="shared" si="252"/>
        <v>127.93</v>
      </c>
      <c r="AW322" s="104">
        <f t="shared" si="252"/>
        <v>127.93</v>
      </c>
      <c r="AX322" s="104">
        <f t="shared" si="252"/>
        <v>127.93</v>
      </c>
      <c r="AY322" s="104">
        <f t="shared" si="252"/>
        <v>127.93</v>
      </c>
      <c r="AZ322" s="104">
        <f t="shared" si="252"/>
        <v>186.08</v>
      </c>
      <c r="BA322" s="103">
        <f t="shared" si="246"/>
        <v>1</v>
      </c>
      <c r="BB322" s="103">
        <f t="shared" si="247"/>
        <v>0</v>
      </c>
      <c r="BC322" s="103" t="str">
        <f>IF(BA322=1,VLOOKUP($AP322,Usinas!$B$3:$H$244,7,0),"")</f>
        <v>BELO MONTE</v>
      </c>
    </row>
    <row r="323" spans="24:55" x14ac:dyDescent="0.3">
      <c r="X323" s="42" t="e">
        <v>#N/A</v>
      </c>
      <c r="Z323" s="101">
        <v>303</v>
      </c>
      <c r="AA323" s="101">
        <v>1</v>
      </c>
      <c r="AB323" s="101">
        <v>2.7014</v>
      </c>
      <c r="AP323" s="103">
        <v>303</v>
      </c>
      <c r="AQ323" s="103" t="str">
        <f>IF(BA323=1,VLOOKUP($AP323,Usinas!$B$3:$F$244,2,0),"")</f>
        <v>FONTES</v>
      </c>
      <c r="AR323" s="103" t="str">
        <f>IF(BA323=1,VLOOKUP($AP323,Usinas!$B$3:$F$241,3,0),"")</f>
        <v>PARAÍBA DO SUL</v>
      </c>
      <c r="AS323" s="103" t="str">
        <f>IF(BA323,VLOOKUP($AP323,Usinas!$B$3:$F$244,4,0),"")</f>
        <v>SUDESTE</v>
      </c>
      <c r="AT323" s="103">
        <f t="shared" si="245"/>
        <v>2.7014</v>
      </c>
      <c r="AU323" s="104">
        <f t="shared" si="252"/>
        <v>116.1602</v>
      </c>
      <c r="AV323" s="104">
        <f t="shared" si="252"/>
        <v>116.1602</v>
      </c>
      <c r="AW323" s="104">
        <f t="shared" si="252"/>
        <v>116.1602</v>
      </c>
      <c r="AX323" s="104">
        <f t="shared" si="252"/>
        <v>110.7574</v>
      </c>
      <c r="AY323" s="104">
        <f t="shared" si="252"/>
        <v>116.1602</v>
      </c>
      <c r="AZ323" s="104">
        <f t="shared" si="252"/>
        <v>110.7574</v>
      </c>
      <c r="BA323" s="103">
        <f t="shared" si="246"/>
        <v>1</v>
      </c>
      <c r="BB323" s="103">
        <f t="shared" si="247"/>
        <v>0</v>
      </c>
      <c r="BC323" s="103" t="str">
        <f>IF(BA323=1,VLOOKUP($AP323,Usinas!$B$3:$H$244,7,0),"")</f>
        <v>SUDESTE</v>
      </c>
    </row>
    <row r="324" spans="24:55" x14ac:dyDescent="0.3">
      <c r="X324" s="42" t="e">
        <v>#N/A</v>
      </c>
      <c r="Z324" s="101">
        <v>304</v>
      </c>
      <c r="AA324" s="101">
        <v>0</v>
      </c>
      <c r="AB324" s="101">
        <v>0</v>
      </c>
      <c r="AP324" s="103">
        <v>304</v>
      </c>
      <c r="AQ324" s="103" t="str">
        <f>IF(BA324=1,VLOOKUP($AP324,Usinas!$B$3:$F$244,2,0),"")</f>
        <v/>
      </c>
      <c r="AR324" s="103" t="str">
        <f>IF(BA324=1,VLOOKUP($AP324,Usinas!$B$3:$F$241,3,0),"")</f>
        <v/>
      </c>
      <c r="AS324" s="103" t="str">
        <f>IF(BA324,VLOOKUP($AP324,Usinas!$B$3:$F$244,4,0),"")</f>
        <v/>
      </c>
      <c r="AT324" s="103" t="str">
        <f t="shared" si="245"/>
        <v/>
      </c>
      <c r="AU324" s="104" t="str">
        <f t="shared" si="252"/>
        <v/>
      </c>
      <c r="AV324" s="104" t="str">
        <f t="shared" si="252"/>
        <v/>
      </c>
      <c r="AW324" s="104" t="str">
        <f t="shared" si="252"/>
        <v/>
      </c>
      <c r="AX324" s="104" t="str">
        <f t="shared" si="252"/>
        <v/>
      </c>
      <c r="AY324" s="104" t="str">
        <f t="shared" si="252"/>
        <v/>
      </c>
      <c r="AZ324" s="104" t="str">
        <f t="shared" si="252"/>
        <v/>
      </c>
      <c r="BA324" s="103">
        <f t="shared" si="246"/>
        <v>0</v>
      </c>
      <c r="BB324" s="103">
        <f t="shared" si="247"/>
        <v>0</v>
      </c>
      <c r="BC324" s="103" t="str">
        <f>IF(BA324=1,VLOOKUP($AP324,Usinas!$B$3:$H$244,7,0),"")</f>
        <v/>
      </c>
    </row>
    <row r="325" spans="24:55" x14ac:dyDescent="0.3">
      <c r="X325" s="42" t="e">
        <v>#N/A</v>
      </c>
      <c r="Z325" s="101">
        <v>305</v>
      </c>
      <c r="AA325" s="101">
        <v>0</v>
      </c>
      <c r="AB325" s="101">
        <v>0</v>
      </c>
      <c r="AP325" s="103">
        <v>305</v>
      </c>
      <c r="AQ325" s="103" t="str">
        <f>IF(BA325=1,VLOOKUP($AP325,Usinas!$B$3:$F$244,2,0),"")</f>
        <v/>
      </c>
      <c r="AR325" s="103" t="str">
        <f>IF(BA325=1,VLOOKUP($AP325,Usinas!$B$3:$F$241,3,0),"")</f>
        <v/>
      </c>
      <c r="AS325" s="103" t="str">
        <f>IF(BA325,VLOOKUP($AP325,Usinas!$B$3:$F$244,4,0),"")</f>
        <v/>
      </c>
      <c r="AT325" s="103" t="str">
        <f t="shared" si="245"/>
        <v/>
      </c>
      <c r="AU325" s="104" t="str">
        <f t="shared" si="252"/>
        <v/>
      </c>
      <c r="AV325" s="104" t="str">
        <f t="shared" si="252"/>
        <v/>
      </c>
      <c r="AW325" s="104" t="str">
        <f t="shared" si="252"/>
        <v/>
      </c>
      <c r="AX325" s="104" t="str">
        <f t="shared" si="252"/>
        <v/>
      </c>
      <c r="AY325" s="104" t="str">
        <f t="shared" si="252"/>
        <v/>
      </c>
      <c r="AZ325" s="104" t="str">
        <f t="shared" si="252"/>
        <v/>
      </c>
      <c r="BA325" s="103">
        <f t="shared" si="246"/>
        <v>0</v>
      </c>
      <c r="BB325" s="103">
        <f t="shared" si="247"/>
        <v>0</v>
      </c>
      <c r="BC325" s="103" t="str">
        <f>IF(BA325=1,VLOOKUP($AP325,Usinas!$B$3:$H$244,7,0),"")</f>
        <v/>
      </c>
    </row>
    <row r="326" spans="24:55" x14ac:dyDescent="0.3">
      <c r="X326" s="42" t="e">
        <v>#N/A</v>
      </c>
      <c r="Z326" s="101">
        <v>306</v>
      </c>
      <c r="AA326" s="101">
        <v>1</v>
      </c>
      <c r="AB326" s="101">
        <v>0.32329999999999998</v>
      </c>
      <c r="AP326" s="103">
        <v>306</v>
      </c>
      <c r="AQ326" s="103" t="str">
        <f>IF(BA326=1,VLOOKUP($AP326,Usinas!$B$3:$F$244,2,0),"")</f>
        <v>PEREIRA PASSOS</v>
      </c>
      <c r="AR326" s="103" t="str">
        <f>IF(BA326=1,VLOOKUP($AP326,Usinas!$B$3:$F$241,3,0),"")</f>
        <v>PARAÍBA DO SUL</v>
      </c>
      <c r="AS326" s="103" t="str">
        <f>IF(BA326,VLOOKUP($AP326,Usinas!$B$3:$F$244,4,0),"")</f>
        <v>SUDESTE</v>
      </c>
      <c r="AT326" s="103">
        <f t="shared" si="245"/>
        <v>0.32329999999999998</v>
      </c>
      <c r="AU326" s="104">
        <f t="shared" si="252"/>
        <v>60.457099999999997</v>
      </c>
      <c r="AV326" s="104">
        <f t="shared" si="252"/>
        <v>60.457099999999997</v>
      </c>
      <c r="AW326" s="104">
        <f t="shared" si="252"/>
        <v>60.457099999999997</v>
      </c>
      <c r="AX326" s="104">
        <f t="shared" si="252"/>
        <v>59.810499999999998</v>
      </c>
      <c r="AY326" s="104">
        <f t="shared" si="252"/>
        <v>60.457099999999997</v>
      </c>
      <c r="AZ326" s="104">
        <f t="shared" si="252"/>
        <v>59.810499999999998</v>
      </c>
      <c r="BA326" s="103">
        <f t="shared" si="246"/>
        <v>1</v>
      </c>
      <c r="BB326" s="103">
        <f t="shared" si="247"/>
        <v>0</v>
      </c>
      <c r="BC326" s="103" t="str">
        <f>IF(BA326=1,VLOOKUP($AP326,Usinas!$B$3:$H$244,7,0),"")</f>
        <v>SUDESTE</v>
      </c>
    </row>
    <row r="327" spans="24:55" x14ac:dyDescent="0.3">
      <c r="X327" s="42" t="e">
        <v>#N/A</v>
      </c>
      <c r="Z327" s="101">
        <v>307</v>
      </c>
      <c r="AA327" s="101">
        <v>0</v>
      </c>
      <c r="AB327" s="101">
        <v>0</v>
      </c>
      <c r="AP327" s="103">
        <v>307</v>
      </c>
      <c r="AQ327" s="103" t="str">
        <f>IF(BA327=1,VLOOKUP($AP327,Usinas!$B$3:$F$244,2,0),"")</f>
        <v/>
      </c>
      <c r="AR327" s="103" t="str">
        <f>IF(BA327=1,VLOOKUP($AP327,Usinas!$B$3:$F$241,3,0),"")</f>
        <v/>
      </c>
      <c r="AS327" s="103" t="str">
        <f>IF(BA327,VLOOKUP($AP327,Usinas!$B$3:$F$244,4,0),"")</f>
        <v/>
      </c>
      <c r="AT327" s="103" t="str">
        <f t="shared" si="245"/>
        <v/>
      </c>
      <c r="AU327" s="104" t="str">
        <f t="shared" si="252"/>
        <v/>
      </c>
      <c r="AV327" s="104" t="str">
        <f t="shared" si="252"/>
        <v/>
      </c>
      <c r="AW327" s="104" t="str">
        <f t="shared" si="252"/>
        <v/>
      </c>
      <c r="AX327" s="104" t="str">
        <f t="shared" si="252"/>
        <v/>
      </c>
      <c r="AY327" s="104" t="str">
        <f t="shared" si="252"/>
        <v/>
      </c>
      <c r="AZ327" s="104" t="str">
        <f t="shared" si="252"/>
        <v/>
      </c>
      <c r="BA327" s="103">
        <f t="shared" si="246"/>
        <v>0</v>
      </c>
      <c r="BB327" s="103">
        <f t="shared" si="247"/>
        <v>0</v>
      </c>
      <c r="BC327" s="103" t="str">
        <f>IF(BA327=1,VLOOKUP($AP327,Usinas!$B$3:$H$244,7,0),"")</f>
        <v/>
      </c>
    </row>
    <row r="328" spans="24:55" x14ac:dyDescent="0.3">
      <c r="X328" s="42" t="e">
        <v>#N/A</v>
      </c>
      <c r="Z328" s="101">
        <v>308</v>
      </c>
      <c r="AA328" s="101">
        <v>0</v>
      </c>
      <c r="AB328" s="101">
        <v>0</v>
      </c>
      <c r="AP328" s="103">
        <v>308</v>
      </c>
      <c r="AQ328" s="103" t="str">
        <f>IF(BA328=1,VLOOKUP($AP328,Usinas!$B$3:$F$244,2,0),"")</f>
        <v/>
      </c>
      <c r="AR328" s="103" t="str">
        <f>IF(BA328=1,VLOOKUP($AP328,Usinas!$B$3:$F$241,3,0),"")</f>
        <v/>
      </c>
      <c r="AS328" s="103" t="str">
        <f>IF(BA328,VLOOKUP($AP328,Usinas!$B$3:$F$244,4,0),"")</f>
        <v/>
      </c>
      <c r="AT328" s="103" t="str">
        <f t="shared" si="245"/>
        <v/>
      </c>
      <c r="AU328" s="104" t="str">
        <f t="shared" si="252"/>
        <v/>
      </c>
      <c r="AV328" s="104" t="str">
        <f t="shared" si="252"/>
        <v/>
      </c>
      <c r="AW328" s="104" t="str">
        <f t="shared" si="252"/>
        <v/>
      </c>
      <c r="AX328" s="104" t="str">
        <f t="shared" si="252"/>
        <v/>
      </c>
      <c r="AY328" s="104" t="str">
        <f t="shared" si="252"/>
        <v/>
      </c>
      <c r="AZ328" s="104" t="str">
        <f t="shared" si="252"/>
        <v/>
      </c>
      <c r="BA328" s="103">
        <f t="shared" si="246"/>
        <v>0</v>
      </c>
      <c r="BB328" s="103">
        <f t="shared" si="247"/>
        <v>0</v>
      </c>
      <c r="BC328" s="103" t="str">
        <f>IF(BA328=1,VLOOKUP($AP328,Usinas!$B$3:$H$244,7,0),"")</f>
        <v/>
      </c>
    </row>
    <row r="329" spans="24:55" x14ac:dyDescent="0.3">
      <c r="X329" s="42" t="e">
        <v>#N/A</v>
      </c>
      <c r="Z329" s="101">
        <v>309</v>
      </c>
      <c r="AA329" s="101">
        <v>0</v>
      </c>
      <c r="AB329" s="101">
        <v>0</v>
      </c>
      <c r="AP329" s="103">
        <v>309</v>
      </c>
      <c r="AQ329" s="103" t="str">
        <f>IF(BA329=1,VLOOKUP($AP329,Usinas!$B$3:$F$244,2,0),"")</f>
        <v/>
      </c>
      <c r="AR329" s="103" t="str">
        <f>IF(BA329=1,VLOOKUP($AP329,Usinas!$B$3:$F$241,3,0),"")</f>
        <v/>
      </c>
      <c r="AS329" s="103" t="str">
        <f>IF(BA329,VLOOKUP($AP329,Usinas!$B$3:$F$244,4,0),"")</f>
        <v/>
      </c>
      <c r="AT329" s="103" t="str">
        <f t="shared" si="245"/>
        <v/>
      </c>
      <c r="AU329" s="104" t="str">
        <f t="shared" si="252"/>
        <v/>
      </c>
      <c r="AV329" s="104" t="str">
        <f t="shared" si="252"/>
        <v/>
      </c>
      <c r="AW329" s="104" t="str">
        <f t="shared" si="252"/>
        <v/>
      </c>
      <c r="AX329" s="104" t="str">
        <f t="shared" si="252"/>
        <v/>
      </c>
      <c r="AY329" s="104" t="str">
        <f t="shared" si="252"/>
        <v/>
      </c>
      <c r="AZ329" s="104" t="str">
        <f t="shared" si="252"/>
        <v/>
      </c>
      <c r="BA329" s="103">
        <f t="shared" si="246"/>
        <v>0</v>
      </c>
      <c r="BB329" s="103">
        <f t="shared" si="247"/>
        <v>0</v>
      </c>
      <c r="BC329" s="103" t="str">
        <f>IF(BA329=1,VLOOKUP($AP329,Usinas!$B$3:$H$244,7,0),"")</f>
        <v/>
      </c>
    </row>
    <row r="330" spans="24:55" x14ac:dyDescent="0.3">
      <c r="X330" s="42" t="e">
        <v>#N/A</v>
      </c>
      <c r="Z330" s="101">
        <v>310</v>
      </c>
      <c r="AA330" s="101">
        <v>0</v>
      </c>
      <c r="AB330" s="101">
        <v>0</v>
      </c>
      <c r="AP330" s="103">
        <v>310</v>
      </c>
      <c r="AQ330" s="103" t="str">
        <f>IF(BA330=1,VLOOKUP($AP330,Usinas!$B$3:$F$244,2,0),"")</f>
        <v/>
      </c>
      <c r="AR330" s="103" t="str">
        <f>IF(BA330=1,VLOOKUP($AP330,Usinas!$B$3:$F$241,3,0),"")</f>
        <v/>
      </c>
      <c r="AS330" s="103" t="str">
        <f>IF(BA330,VLOOKUP($AP330,Usinas!$B$3:$F$244,4,0),"")</f>
        <v/>
      </c>
      <c r="AT330" s="103" t="str">
        <f t="shared" si="245"/>
        <v/>
      </c>
      <c r="AU330" s="104" t="str">
        <f t="shared" si="252"/>
        <v/>
      </c>
      <c r="AV330" s="104" t="str">
        <f t="shared" si="252"/>
        <v/>
      </c>
      <c r="AW330" s="104" t="str">
        <f t="shared" si="252"/>
        <v/>
      </c>
      <c r="AX330" s="104" t="str">
        <f t="shared" si="252"/>
        <v/>
      </c>
      <c r="AY330" s="104" t="str">
        <f t="shared" si="252"/>
        <v/>
      </c>
      <c r="AZ330" s="104" t="str">
        <f t="shared" si="252"/>
        <v/>
      </c>
      <c r="BA330" s="103">
        <f t="shared" si="246"/>
        <v>0</v>
      </c>
      <c r="BB330" s="103">
        <f t="shared" si="247"/>
        <v>0</v>
      </c>
      <c r="BC330" s="103" t="str">
        <f>IF(BA330=1,VLOOKUP($AP330,Usinas!$B$3:$H$244,7,0),"")</f>
        <v/>
      </c>
    </row>
    <row r="331" spans="24:55" x14ac:dyDescent="0.3">
      <c r="X331" s="42" t="e">
        <v>#N/A</v>
      </c>
      <c r="Z331" s="101">
        <v>311</v>
      </c>
      <c r="AA331" s="101">
        <v>0</v>
      </c>
      <c r="AB331" s="101">
        <v>0</v>
      </c>
      <c r="AP331" s="103">
        <v>311</v>
      </c>
      <c r="AQ331" s="103" t="str">
        <f>IF(BA331=1,VLOOKUP($AP331,Usinas!$B$3:$F$244,2,0),"")</f>
        <v/>
      </c>
      <c r="AR331" s="103" t="str">
        <f>IF(BA331=1,VLOOKUP($AP331,Usinas!$B$3:$F$241,3,0),"")</f>
        <v/>
      </c>
      <c r="AS331" s="103" t="str">
        <f>IF(BA331,VLOOKUP($AP331,Usinas!$B$3:$F$244,4,0),"")</f>
        <v/>
      </c>
      <c r="AT331" s="103" t="str">
        <f t="shared" si="245"/>
        <v/>
      </c>
      <c r="AU331" s="104" t="str">
        <f t="shared" ref="AU331:AZ340" si="253">IF($BA331=1,IFERROR(VLOOKUP($AP331,$AE$21:$AK$211,AU$19,0),VLOOKUP($AP331,$BE$21:$BK$65,AU$19,0))*$AT331,"")</f>
        <v/>
      </c>
      <c r="AV331" s="104" t="str">
        <f t="shared" si="253"/>
        <v/>
      </c>
      <c r="AW331" s="104" t="str">
        <f t="shared" si="253"/>
        <v/>
      </c>
      <c r="AX331" s="104" t="str">
        <f t="shared" si="253"/>
        <v/>
      </c>
      <c r="AY331" s="104" t="str">
        <f t="shared" si="253"/>
        <v/>
      </c>
      <c r="AZ331" s="104" t="str">
        <f t="shared" si="253"/>
        <v/>
      </c>
      <c r="BA331" s="103">
        <f t="shared" si="246"/>
        <v>0</v>
      </c>
      <c r="BB331" s="103">
        <f t="shared" si="247"/>
        <v>0</v>
      </c>
      <c r="BC331" s="103" t="str">
        <f>IF(BA331=1,VLOOKUP($AP331,Usinas!$B$3:$H$244,7,0),"")</f>
        <v/>
      </c>
    </row>
    <row r="332" spans="24:55" x14ac:dyDescent="0.3">
      <c r="X332" s="42" t="e">
        <v>#N/A</v>
      </c>
      <c r="Z332" s="101">
        <v>312</v>
      </c>
      <c r="AA332" s="101">
        <v>0</v>
      </c>
      <c r="AB332" s="101">
        <v>0</v>
      </c>
      <c r="AP332" s="103">
        <v>312</v>
      </c>
      <c r="AQ332" s="103" t="str">
        <f>IF(BA332=1,VLOOKUP($AP332,Usinas!$B$3:$F$244,2,0),"")</f>
        <v/>
      </c>
      <c r="AR332" s="103" t="str">
        <f>IF(BA332=1,VLOOKUP($AP332,Usinas!$B$3:$F$241,3,0),"")</f>
        <v/>
      </c>
      <c r="AS332" s="103" t="str">
        <f>IF(BA332,VLOOKUP($AP332,Usinas!$B$3:$F$244,4,0),"")</f>
        <v/>
      </c>
      <c r="AT332" s="103" t="str">
        <f t="shared" si="245"/>
        <v/>
      </c>
      <c r="AU332" s="104" t="str">
        <f t="shared" si="253"/>
        <v/>
      </c>
      <c r="AV332" s="104" t="str">
        <f t="shared" si="253"/>
        <v/>
      </c>
      <c r="AW332" s="104" t="str">
        <f t="shared" si="253"/>
        <v/>
      </c>
      <c r="AX332" s="104" t="str">
        <f t="shared" si="253"/>
        <v/>
      </c>
      <c r="AY332" s="104" t="str">
        <f t="shared" si="253"/>
        <v/>
      </c>
      <c r="AZ332" s="104" t="str">
        <f t="shared" si="253"/>
        <v/>
      </c>
      <c r="BA332" s="103">
        <f t="shared" si="246"/>
        <v>0</v>
      </c>
      <c r="BB332" s="103">
        <f t="shared" si="247"/>
        <v>0</v>
      </c>
      <c r="BC332" s="103" t="str">
        <f>IF(BA332=1,VLOOKUP($AP332,Usinas!$B$3:$H$244,7,0),"")</f>
        <v/>
      </c>
    </row>
    <row r="333" spans="24:55" x14ac:dyDescent="0.3">
      <c r="X333" s="42" t="e">
        <v>#N/A</v>
      </c>
      <c r="Z333" s="101">
        <v>313</v>
      </c>
      <c r="AA333" s="101">
        <v>0</v>
      </c>
      <c r="AB333" s="101">
        <v>0</v>
      </c>
      <c r="AP333" s="103">
        <v>313</v>
      </c>
      <c r="AQ333" s="103" t="str">
        <f>IF(BA333=1,VLOOKUP($AP333,Usinas!$B$3:$F$244,2,0),"")</f>
        <v/>
      </c>
      <c r="AR333" s="103" t="str">
        <f>IF(BA333=1,VLOOKUP($AP333,Usinas!$B$3:$F$241,3,0),"")</f>
        <v/>
      </c>
      <c r="AS333" s="103" t="str">
        <f>IF(BA333,VLOOKUP($AP333,Usinas!$B$3:$F$244,4,0),"")</f>
        <v/>
      </c>
      <c r="AT333" s="103" t="str">
        <f t="shared" si="245"/>
        <v/>
      </c>
      <c r="AU333" s="104" t="str">
        <f t="shared" si="253"/>
        <v/>
      </c>
      <c r="AV333" s="104" t="str">
        <f t="shared" si="253"/>
        <v/>
      </c>
      <c r="AW333" s="104" t="str">
        <f t="shared" si="253"/>
        <v/>
      </c>
      <c r="AX333" s="104" t="str">
        <f t="shared" si="253"/>
        <v/>
      </c>
      <c r="AY333" s="104" t="str">
        <f t="shared" si="253"/>
        <v/>
      </c>
      <c r="AZ333" s="104" t="str">
        <f t="shared" si="253"/>
        <v/>
      </c>
      <c r="BA333" s="103">
        <f t="shared" si="246"/>
        <v>0</v>
      </c>
      <c r="BB333" s="103">
        <f t="shared" si="247"/>
        <v>0</v>
      </c>
      <c r="BC333" s="103" t="str">
        <f>IF(BA333=1,VLOOKUP($AP333,Usinas!$B$3:$H$244,7,0),"")</f>
        <v/>
      </c>
    </row>
    <row r="334" spans="24:55" x14ac:dyDescent="0.3">
      <c r="X334" s="42" t="e">
        <v>#N/A</v>
      </c>
      <c r="Z334" s="101">
        <v>314</v>
      </c>
      <c r="AA334" s="101">
        <v>0</v>
      </c>
      <c r="AB334" s="101">
        <v>0</v>
      </c>
      <c r="AP334" s="103">
        <v>314</v>
      </c>
      <c r="AQ334" s="103" t="str">
        <f>IF(BA334=1,VLOOKUP($AP334,Usinas!$B$3:$F$244,2,0),"")</f>
        <v/>
      </c>
      <c r="AR334" s="103" t="str">
        <f>IF(BA334=1,VLOOKUP($AP334,Usinas!$B$3:$F$241,3,0),"")</f>
        <v/>
      </c>
      <c r="AS334" s="103" t="str">
        <f>IF(BA334,VLOOKUP($AP334,Usinas!$B$3:$F$244,4,0),"")</f>
        <v/>
      </c>
      <c r="AT334" s="103" t="str">
        <f t="shared" si="245"/>
        <v/>
      </c>
      <c r="AU334" s="104" t="str">
        <f t="shared" si="253"/>
        <v/>
      </c>
      <c r="AV334" s="104" t="str">
        <f t="shared" si="253"/>
        <v/>
      </c>
      <c r="AW334" s="104" t="str">
        <f t="shared" si="253"/>
        <v/>
      </c>
      <c r="AX334" s="104" t="str">
        <f t="shared" si="253"/>
        <v/>
      </c>
      <c r="AY334" s="104" t="str">
        <f t="shared" si="253"/>
        <v/>
      </c>
      <c r="AZ334" s="104" t="str">
        <f t="shared" si="253"/>
        <v/>
      </c>
      <c r="BA334" s="103">
        <f t="shared" si="246"/>
        <v>0</v>
      </c>
      <c r="BB334" s="103">
        <f t="shared" si="247"/>
        <v>0</v>
      </c>
      <c r="BC334" s="103" t="str">
        <f>IF(BA334=1,VLOOKUP($AP334,Usinas!$B$3:$H$244,7,0),"")</f>
        <v/>
      </c>
    </row>
    <row r="335" spans="24:55" x14ac:dyDescent="0.3">
      <c r="X335" s="42" t="e">
        <v>#N/A</v>
      </c>
      <c r="Z335" s="101">
        <v>315</v>
      </c>
      <c r="AA335" s="101">
        <v>0</v>
      </c>
      <c r="AB335" s="101">
        <v>0</v>
      </c>
      <c r="AP335" s="103">
        <v>315</v>
      </c>
      <c r="AQ335" s="103" t="str">
        <f>IF(BA335=1,VLOOKUP($AP335,Usinas!$B$3:$F$244,2,0),"")</f>
        <v/>
      </c>
      <c r="AR335" s="103" t="str">
        <f>IF(BA335=1,VLOOKUP($AP335,Usinas!$B$3:$F$241,3,0),"")</f>
        <v/>
      </c>
      <c r="AS335" s="103" t="str">
        <f>IF(BA335,VLOOKUP($AP335,Usinas!$B$3:$F$244,4,0),"")</f>
        <v/>
      </c>
      <c r="AT335" s="103" t="str">
        <f t="shared" si="245"/>
        <v/>
      </c>
      <c r="AU335" s="104" t="str">
        <f t="shared" si="253"/>
        <v/>
      </c>
      <c r="AV335" s="104" t="str">
        <f t="shared" si="253"/>
        <v/>
      </c>
      <c r="AW335" s="104" t="str">
        <f t="shared" si="253"/>
        <v/>
      </c>
      <c r="AX335" s="104" t="str">
        <f t="shared" si="253"/>
        <v/>
      </c>
      <c r="AY335" s="104" t="str">
        <f t="shared" si="253"/>
        <v/>
      </c>
      <c r="AZ335" s="104" t="str">
        <f t="shared" si="253"/>
        <v/>
      </c>
      <c r="BA335" s="103">
        <f t="shared" si="246"/>
        <v>0</v>
      </c>
      <c r="BB335" s="103">
        <f t="shared" si="247"/>
        <v>0</v>
      </c>
      <c r="BC335" s="103" t="str">
        <f>IF(BA335=1,VLOOKUP($AP335,Usinas!$B$3:$H$244,7,0),"")</f>
        <v/>
      </c>
    </row>
    <row r="336" spans="24:55" x14ac:dyDescent="0.3">
      <c r="X336" s="42" t="e">
        <v>#N/A</v>
      </c>
      <c r="Z336" s="101">
        <v>316</v>
      </c>
      <c r="AA336" s="101">
        <v>0</v>
      </c>
      <c r="AB336" s="101">
        <v>0</v>
      </c>
      <c r="AP336" s="103">
        <v>316</v>
      </c>
      <c r="AQ336" s="103" t="str">
        <f>IF(BA336=1,VLOOKUP($AP336,Usinas!$B$3:$F$244,2,0),"")</f>
        <v/>
      </c>
      <c r="AR336" s="103" t="str">
        <f>IF(BA336=1,VLOOKUP($AP336,Usinas!$B$3:$F$241,3,0),"")</f>
        <v/>
      </c>
      <c r="AS336" s="103" t="str">
        <f>IF(BA336,VLOOKUP($AP336,Usinas!$B$3:$F$244,4,0),"")</f>
        <v/>
      </c>
      <c r="AT336" s="103" t="str">
        <f t="shared" si="245"/>
        <v/>
      </c>
      <c r="AU336" s="104" t="str">
        <f t="shared" si="253"/>
        <v/>
      </c>
      <c r="AV336" s="104" t="str">
        <f t="shared" si="253"/>
        <v/>
      </c>
      <c r="AW336" s="104" t="str">
        <f t="shared" si="253"/>
        <v/>
      </c>
      <c r="AX336" s="104" t="str">
        <f t="shared" si="253"/>
        <v/>
      </c>
      <c r="AY336" s="104" t="str">
        <f t="shared" si="253"/>
        <v/>
      </c>
      <c r="AZ336" s="104" t="str">
        <f t="shared" si="253"/>
        <v/>
      </c>
      <c r="BA336" s="103">
        <f t="shared" si="246"/>
        <v>0</v>
      </c>
      <c r="BB336" s="103">
        <f t="shared" si="247"/>
        <v>0</v>
      </c>
      <c r="BC336" s="103" t="str">
        <f>IF(BA336=1,VLOOKUP($AP336,Usinas!$B$3:$H$244,7,0),"")</f>
        <v/>
      </c>
    </row>
    <row r="337" spans="24:55" x14ac:dyDescent="0.3">
      <c r="X337" s="42" t="e">
        <v>#N/A</v>
      </c>
      <c r="Z337" s="101">
        <v>317</v>
      </c>
      <c r="AA337" s="101">
        <v>0</v>
      </c>
      <c r="AB337" s="101">
        <v>0</v>
      </c>
      <c r="AP337" s="103">
        <v>317</v>
      </c>
      <c r="AQ337" s="103" t="str">
        <f>IF(BA337=1,VLOOKUP($AP337,Usinas!$B$3:$F$244,2,0),"")</f>
        <v/>
      </c>
      <c r="AR337" s="103" t="str">
        <f>IF(BA337=1,VLOOKUP($AP337,Usinas!$B$3:$F$241,3,0),"")</f>
        <v/>
      </c>
      <c r="AS337" s="103" t="str">
        <f>IF(BA337,VLOOKUP($AP337,Usinas!$B$3:$F$244,4,0),"")</f>
        <v/>
      </c>
      <c r="AT337" s="103" t="str">
        <f t="shared" si="245"/>
        <v/>
      </c>
      <c r="AU337" s="104" t="str">
        <f t="shared" si="253"/>
        <v/>
      </c>
      <c r="AV337" s="104" t="str">
        <f t="shared" si="253"/>
        <v/>
      </c>
      <c r="AW337" s="104" t="str">
        <f t="shared" si="253"/>
        <v/>
      </c>
      <c r="AX337" s="104" t="str">
        <f t="shared" si="253"/>
        <v/>
      </c>
      <c r="AY337" s="104" t="str">
        <f t="shared" si="253"/>
        <v/>
      </c>
      <c r="AZ337" s="104" t="str">
        <f t="shared" si="253"/>
        <v/>
      </c>
      <c r="BA337" s="103">
        <f t="shared" si="246"/>
        <v>0</v>
      </c>
      <c r="BB337" s="103">
        <f t="shared" si="247"/>
        <v>0</v>
      </c>
      <c r="BC337" s="103" t="str">
        <f>IF(BA337=1,VLOOKUP($AP337,Usinas!$B$3:$H$244,7,0),"")</f>
        <v/>
      </c>
    </row>
    <row r="338" spans="24:55" x14ac:dyDescent="0.3">
      <c r="X338" s="42" t="e">
        <v>#N/A</v>
      </c>
      <c r="Z338" s="101">
        <v>318</v>
      </c>
      <c r="AA338" s="101">
        <v>1</v>
      </c>
      <c r="AB338" s="101">
        <v>5.6807999999999996</v>
      </c>
      <c r="AP338" s="103">
        <v>318</v>
      </c>
      <c r="AQ338" s="103" t="str">
        <f>IF(BA338=1,VLOOKUP($AP338,Usinas!$B$3:$F$244,2,0),"")</f>
        <v>H.BORDEN</v>
      </c>
      <c r="AR338" s="103" t="str">
        <f>IF(BA338=1,VLOOKUP($AP338,Usinas!$B$3:$F$241,3,0),"")</f>
        <v>ALTO TIETÊ</v>
      </c>
      <c r="AS338" s="103" t="str">
        <f>IF(BA338,VLOOKUP($AP338,Usinas!$B$3:$F$244,4,0),"")</f>
        <v>SUDESTE</v>
      </c>
      <c r="AT338" s="103">
        <f t="shared" si="245"/>
        <v>5.6807999999999996</v>
      </c>
      <c r="AU338" s="104">
        <f t="shared" si="253"/>
        <v>472.07447999999994</v>
      </c>
      <c r="AV338" s="104">
        <f t="shared" si="253"/>
        <v>625.45607999999993</v>
      </c>
      <c r="AW338" s="104">
        <f t="shared" si="253"/>
        <v>691.35335999999995</v>
      </c>
      <c r="AX338" s="104">
        <f t="shared" si="253"/>
        <v>613.52639999999997</v>
      </c>
      <c r="AY338" s="104">
        <f t="shared" si="253"/>
        <v>739.64015999999992</v>
      </c>
      <c r="AZ338" s="104">
        <f t="shared" si="253"/>
        <v>648.74735999999996</v>
      </c>
      <c r="BA338" s="103">
        <f t="shared" si="246"/>
        <v>1</v>
      </c>
      <c r="BB338" s="103">
        <f t="shared" si="247"/>
        <v>0</v>
      </c>
      <c r="BC338" s="103" t="str">
        <f>IF(BA338=1,VLOOKUP($AP338,Usinas!$B$3:$H$244,7,0),"")</f>
        <v>SUDESTE</v>
      </c>
    </row>
    <row r="339" spans="24:55" x14ac:dyDescent="0.3">
      <c r="X339" s="42" t="e">
        <v>#N/A</v>
      </c>
      <c r="Z339" s="101">
        <v>319</v>
      </c>
      <c r="AA339" s="101">
        <v>0</v>
      </c>
      <c r="AB339" s="101">
        <v>0</v>
      </c>
      <c r="AP339" s="103">
        <v>319</v>
      </c>
      <c r="AQ339" s="103" t="str">
        <f>IF(BA339=1,VLOOKUP($AP339,Usinas!$B$3:$F$244,2,0),"")</f>
        <v/>
      </c>
      <c r="AR339" s="103" t="str">
        <f>IF(BA339=1,VLOOKUP($AP339,Usinas!$B$3:$F$241,3,0),"")</f>
        <v/>
      </c>
      <c r="AS339" s="103" t="str">
        <f>IF(BA339,VLOOKUP($AP339,Usinas!$B$3:$F$244,4,0),"")</f>
        <v/>
      </c>
      <c r="AT339" s="103" t="str">
        <f t="shared" si="245"/>
        <v/>
      </c>
      <c r="AU339" s="104" t="str">
        <f t="shared" si="253"/>
        <v/>
      </c>
      <c r="AV339" s="104" t="str">
        <f t="shared" si="253"/>
        <v/>
      </c>
      <c r="AW339" s="104" t="str">
        <f t="shared" si="253"/>
        <v/>
      </c>
      <c r="AX339" s="104" t="str">
        <f t="shared" si="253"/>
        <v/>
      </c>
      <c r="AY339" s="104" t="str">
        <f t="shared" si="253"/>
        <v/>
      </c>
      <c r="AZ339" s="104" t="str">
        <f t="shared" si="253"/>
        <v/>
      </c>
      <c r="BA339" s="103">
        <f t="shared" si="246"/>
        <v>0</v>
      </c>
      <c r="BB339" s="103">
        <f t="shared" si="247"/>
        <v>0</v>
      </c>
      <c r="BC339" s="103" t="str">
        <f>IF(BA339=1,VLOOKUP($AP339,Usinas!$B$3:$H$244,7,0),"")</f>
        <v/>
      </c>
    </row>
    <row r="340" spans="24:55" x14ac:dyDescent="0.3">
      <c r="X340" s="42" t="e">
        <v>#N/A</v>
      </c>
      <c r="Z340" s="101">
        <v>320</v>
      </c>
      <c r="AA340" s="101">
        <v>0</v>
      </c>
      <c r="AB340" s="101">
        <v>0</v>
      </c>
      <c r="AP340" s="103">
        <v>320</v>
      </c>
      <c r="AQ340" s="103" t="str">
        <f>IF(BA340=1,VLOOKUP($AP340,Usinas!$B$3:$F$244,2,0),"")</f>
        <v/>
      </c>
      <c r="AR340" s="103" t="str">
        <f>IF(BA340=1,VLOOKUP($AP340,Usinas!$B$3:$F$241,3,0),"")</f>
        <v/>
      </c>
      <c r="AS340" s="103" t="str">
        <f>IF(BA340,VLOOKUP($AP340,Usinas!$B$3:$F$244,4,0),"")</f>
        <v/>
      </c>
      <c r="AT340" s="103" t="str">
        <f t="shared" si="245"/>
        <v/>
      </c>
      <c r="AU340" s="104" t="str">
        <f t="shared" si="253"/>
        <v/>
      </c>
      <c r="AV340" s="104" t="str">
        <f t="shared" si="253"/>
        <v/>
      </c>
      <c r="AW340" s="104" t="str">
        <f t="shared" si="253"/>
        <v/>
      </c>
      <c r="AX340" s="104" t="str">
        <f t="shared" si="253"/>
        <v/>
      </c>
      <c r="AY340" s="104" t="str">
        <f t="shared" si="253"/>
        <v/>
      </c>
      <c r="AZ340" s="104" t="str">
        <f t="shared" si="253"/>
        <v/>
      </c>
      <c r="BA340" s="103">
        <f t="shared" si="246"/>
        <v>0</v>
      </c>
      <c r="BB340" s="103">
        <f t="shared" si="247"/>
        <v>0</v>
      </c>
      <c r="BC340" s="103" t="str">
        <f>IF(BA340=1,VLOOKUP($AP340,Usinas!$B$3:$H$244,7,0),"")</f>
        <v/>
      </c>
    </row>
    <row r="341" spans="24:55" x14ac:dyDescent="0.3">
      <c r="X341" s="42" t="e">
        <v>#N/A</v>
      </c>
      <c r="Z341" s="101">
        <v>321</v>
      </c>
      <c r="AA341" s="101">
        <v>0</v>
      </c>
      <c r="AB341" s="101">
        <v>0</v>
      </c>
      <c r="AP341" s="103">
        <v>321</v>
      </c>
      <c r="AQ341" s="103" t="str">
        <f>IF(BA341=1,VLOOKUP($AP341,Usinas!$B$3:$F$244,2,0),"")</f>
        <v/>
      </c>
      <c r="AR341" s="103" t="str">
        <f>IF(BA341=1,VLOOKUP($AP341,Usinas!$B$3:$F$241,3,0),"")</f>
        <v/>
      </c>
      <c r="AS341" s="103" t="str">
        <f>IF(BA341,VLOOKUP($AP341,Usinas!$B$3:$F$244,4,0),"")</f>
        <v/>
      </c>
      <c r="AT341" s="103" t="str">
        <f t="shared" si="245"/>
        <v/>
      </c>
      <c r="AU341" s="104" t="str">
        <f t="shared" ref="AU341:AZ350" si="254">IF($BA341=1,IFERROR(VLOOKUP($AP341,$AE$21:$AK$211,AU$19,0),VLOOKUP($AP341,$BE$21:$BK$65,AU$19,0))*$AT341,"")</f>
        <v/>
      </c>
      <c r="AV341" s="104" t="str">
        <f t="shared" si="254"/>
        <v/>
      </c>
      <c r="AW341" s="104" t="str">
        <f t="shared" si="254"/>
        <v/>
      </c>
      <c r="AX341" s="104" t="str">
        <f t="shared" si="254"/>
        <v/>
      </c>
      <c r="AY341" s="104" t="str">
        <f t="shared" si="254"/>
        <v/>
      </c>
      <c r="AZ341" s="104" t="str">
        <f t="shared" si="254"/>
        <v/>
      </c>
      <c r="BA341" s="103">
        <f t="shared" si="246"/>
        <v>0</v>
      </c>
      <c r="BB341" s="103">
        <f t="shared" si="247"/>
        <v>0</v>
      </c>
      <c r="BC341" s="103" t="str">
        <f>IF(BA341=1,VLOOKUP($AP341,Usinas!$B$3:$H$244,7,0),"")</f>
        <v/>
      </c>
    </row>
    <row r="342" spans="24:55" x14ac:dyDescent="0.3">
      <c r="X342" s="42" t="e">
        <v>#N/A</v>
      </c>
      <c r="Z342" s="101">
        <v>322</v>
      </c>
      <c r="AA342" s="101">
        <v>0</v>
      </c>
      <c r="AB342" s="101">
        <v>0</v>
      </c>
      <c r="AP342" s="103">
        <v>322</v>
      </c>
      <c r="AQ342" s="103" t="str">
        <f>IF(BA342=1,VLOOKUP($AP342,Usinas!$B$3:$F$244,2,0),"")</f>
        <v/>
      </c>
      <c r="AR342" s="103" t="str">
        <f>IF(BA342=1,VLOOKUP($AP342,Usinas!$B$3:$F$241,3,0),"")</f>
        <v/>
      </c>
      <c r="AS342" s="103" t="str">
        <f>IF(BA342,VLOOKUP($AP342,Usinas!$B$3:$F$244,4,0),"")</f>
        <v/>
      </c>
      <c r="AT342" s="103" t="str">
        <f t="shared" ref="AT342:AT372" si="255">IF(BA342=1,VLOOKUP($AP342,$Z$21:$AB$372,3,0),"")</f>
        <v/>
      </c>
      <c r="AU342" s="104" t="str">
        <f t="shared" si="254"/>
        <v/>
      </c>
      <c r="AV342" s="104" t="str">
        <f t="shared" si="254"/>
        <v/>
      </c>
      <c r="AW342" s="104" t="str">
        <f t="shared" si="254"/>
        <v/>
      </c>
      <c r="AX342" s="104" t="str">
        <f t="shared" si="254"/>
        <v/>
      </c>
      <c r="AY342" s="104" t="str">
        <f t="shared" si="254"/>
        <v/>
      </c>
      <c r="AZ342" s="104" t="str">
        <f t="shared" si="254"/>
        <v/>
      </c>
      <c r="BA342" s="103">
        <f t="shared" ref="BA342:BA372" si="256">VLOOKUP(AP342,$Z$21:$AA$372,2,0)</f>
        <v>0</v>
      </c>
      <c r="BB342" s="103">
        <f t="shared" ref="BB342:BB372" si="257">IF(BA342=0,0,IF(OR(ISNA(AR342),ISNA(AS342),ISNA(AT342),ISNA(AU342),ISNA(AV342),ISNA(AW342),ISNA(AX342),ISNA(AY342),ISNA(AZ342)),1,0))</f>
        <v>0</v>
      </c>
      <c r="BC342" s="103" t="str">
        <f>IF(BA342=1,VLOOKUP($AP342,Usinas!$B$3:$H$244,7,0),"")</f>
        <v/>
      </c>
    </row>
    <row r="343" spans="24:55" x14ac:dyDescent="0.3">
      <c r="X343" s="42" t="e">
        <v>#N/A</v>
      </c>
      <c r="Z343" s="101">
        <v>323</v>
      </c>
      <c r="AA343" s="101">
        <v>0</v>
      </c>
      <c r="AB343" s="101">
        <v>0</v>
      </c>
      <c r="AP343" s="103">
        <v>323</v>
      </c>
      <c r="AQ343" s="103" t="str">
        <f>IF(BA343=1,VLOOKUP($AP343,Usinas!$B$3:$F$244,2,0),"")</f>
        <v/>
      </c>
      <c r="AR343" s="103" t="str">
        <f>IF(BA343=1,VLOOKUP($AP343,Usinas!$B$3:$F$241,3,0),"")</f>
        <v/>
      </c>
      <c r="AS343" s="103" t="str">
        <f>IF(BA343,VLOOKUP($AP343,Usinas!$B$3:$F$244,4,0),"")</f>
        <v/>
      </c>
      <c r="AT343" s="103" t="str">
        <f t="shared" si="255"/>
        <v/>
      </c>
      <c r="AU343" s="104" t="str">
        <f t="shared" si="254"/>
        <v/>
      </c>
      <c r="AV343" s="104" t="str">
        <f t="shared" si="254"/>
        <v/>
      </c>
      <c r="AW343" s="104" t="str">
        <f t="shared" si="254"/>
        <v/>
      </c>
      <c r="AX343" s="104" t="str">
        <f t="shared" si="254"/>
        <v/>
      </c>
      <c r="AY343" s="104" t="str">
        <f t="shared" si="254"/>
        <v/>
      </c>
      <c r="AZ343" s="104" t="str">
        <f t="shared" si="254"/>
        <v/>
      </c>
      <c r="BA343" s="103">
        <f t="shared" si="256"/>
        <v>0</v>
      </c>
      <c r="BB343" s="103">
        <f t="shared" si="257"/>
        <v>0</v>
      </c>
      <c r="BC343" s="103" t="str">
        <f>IF(BA343=1,VLOOKUP($AP343,Usinas!$B$3:$H$244,7,0),"")</f>
        <v/>
      </c>
    </row>
    <row r="344" spans="24:55" x14ac:dyDescent="0.3">
      <c r="X344" s="42" t="e">
        <v>#N/A</v>
      </c>
      <c r="Z344" s="101">
        <v>324</v>
      </c>
      <c r="AA344" s="101">
        <v>0</v>
      </c>
      <c r="AB344" s="101">
        <v>0</v>
      </c>
      <c r="AP344" s="103">
        <v>324</v>
      </c>
      <c r="AQ344" s="103" t="str">
        <f>IF(BA344=1,VLOOKUP($AP344,Usinas!$B$3:$F$244,2,0),"")</f>
        <v/>
      </c>
      <c r="AR344" s="103" t="str">
        <f>IF(BA344=1,VLOOKUP($AP344,Usinas!$B$3:$F$241,3,0),"")</f>
        <v/>
      </c>
      <c r="AS344" s="103" t="str">
        <f>IF(BA344,VLOOKUP($AP344,Usinas!$B$3:$F$244,4,0),"")</f>
        <v/>
      </c>
      <c r="AT344" s="103" t="str">
        <f t="shared" si="255"/>
        <v/>
      </c>
      <c r="AU344" s="104" t="str">
        <f t="shared" si="254"/>
        <v/>
      </c>
      <c r="AV344" s="104" t="str">
        <f t="shared" si="254"/>
        <v/>
      </c>
      <c r="AW344" s="104" t="str">
        <f t="shared" si="254"/>
        <v/>
      </c>
      <c r="AX344" s="104" t="str">
        <f t="shared" si="254"/>
        <v/>
      </c>
      <c r="AY344" s="104" t="str">
        <f t="shared" si="254"/>
        <v/>
      </c>
      <c r="AZ344" s="104" t="str">
        <f t="shared" si="254"/>
        <v/>
      </c>
      <c r="BA344" s="103">
        <f t="shared" si="256"/>
        <v>0</v>
      </c>
      <c r="BB344" s="103">
        <f t="shared" si="257"/>
        <v>0</v>
      </c>
      <c r="BC344" s="103" t="str">
        <f>IF(BA344=1,VLOOKUP($AP344,Usinas!$B$3:$H$244,7,0),"")</f>
        <v/>
      </c>
    </row>
    <row r="345" spans="24:55" x14ac:dyDescent="0.3">
      <c r="X345" s="42" t="e">
        <v>#N/A</v>
      </c>
      <c r="Z345" s="101">
        <v>325</v>
      </c>
      <c r="AA345" s="101">
        <v>0</v>
      </c>
      <c r="AB345" s="101">
        <v>0</v>
      </c>
      <c r="AP345" s="103">
        <v>325</v>
      </c>
      <c r="AQ345" s="103" t="str">
        <f>IF(BA345=1,VLOOKUP($AP345,Usinas!$B$3:$F$244,2,0),"")</f>
        <v/>
      </c>
      <c r="AR345" s="103" t="str">
        <f>IF(BA345=1,VLOOKUP($AP345,Usinas!$B$3:$F$241,3,0),"")</f>
        <v/>
      </c>
      <c r="AS345" s="103" t="str">
        <f>IF(BA345,VLOOKUP($AP345,Usinas!$B$3:$F$244,4,0),"")</f>
        <v/>
      </c>
      <c r="AT345" s="103" t="str">
        <f t="shared" si="255"/>
        <v/>
      </c>
      <c r="AU345" s="104" t="str">
        <f t="shared" si="254"/>
        <v/>
      </c>
      <c r="AV345" s="104" t="str">
        <f t="shared" si="254"/>
        <v/>
      </c>
      <c r="AW345" s="104" t="str">
        <f t="shared" si="254"/>
        <v/>
      </c>
      <c r="AX345" s="104" t="str">
        <f t="shared" si="254"/>
        <v/>
      </c>
      <c r="AY345" s="104" t="str">
        <f t="shared" si="254"/>
        <v/>
      </c>
      <c r="AZ345" s="104" t="str">
        <f t="shared" si="254"/>
        <v/>
      </c>
      <c r="BA345" s="103">
        <f t="shared" si="256"/>
        <v>0</v>
      </c>
      <c r="BB345" s="103">
        <f t="shared" si="257"/>
        <v>0</v>
      </c>
      <c r="BC345" s="103" t="str">
        <f>IF(BA345=1,VLOOKUP($AP345,Usinas!$B$3:$H$244,7,0),"")</f>
        <v/>
      </c>
    </row>
    <row r="346" spans="24:55" x14ac:dyDescent="0.3">
      <c r="X346" s="42" t="e">
        <v>#N/A</v>
      </c>
      <c r="Z346" s="101">
        <v>326</v>
      </c>
      <c r="AA346" s="101">
        <v>0</v>
      </c>
      <c r="AB346" s="101">
        <v>0</v>
      </c>
      <c r="AP346" s="103">
        <v>326</v>
      </c>
      <c r="AQ346" s="103" t="str">
        <f>IF(BA346=1,VLOOKUP($AP346,Usinas!$B$3:$F$244,2,0),"")</f>
        <v/>
      </c>
      <c r="AR346" s="103" t="str">
        <f>IF(BA346=1,VLOOKUP($AP346,Usinas!$B$3:$F$241,3,0),"")</f>
        <v/>
      </c>
      <c r="AS346" s="103" t="str">
        <f>IF(BA346,VLOOKUP($AP346,Usinas!$B$3:$F$244,4,0),"")</f>
        <v/>
      </c>
      <c r="AT346" s="103" t="str">
        <f t="shared" si="255"/>
        <v/>
      </c>
      <c r="AU346" s="104" t="str">
        <f t="shared" si="254"/>
        <v/>
      </c>
      <c r="AV346" s="104" t="str">
        <f t="shared" si="254"/>
        <v/>
      </c>
      <c r="AW346" s="104" t="str">
        <f t="shared" si="254"/>
        <v/>
      </c>
      <c r="AX346" s="104" t="str">
        <f t="shared" si="254"/>
        <v/>
      </c>
      <c r="AY346" s="104" t="str">
        <f t="shared" si="254"/>
        <v/>
      </c>
      <c r="AZ346" s="104" t="str">
        <f t="shared" si="254"/>
        <v/>
      </c>
      <c r="BA346" s="103">
        <f t="shared" si="256"/>
        <v>0</v>
      </c>
      <c r="BB346" s="103">
        <f t="shared" si="257"/>
        <v>0</v>
      </c>
      <c r="BC346" s="103" t="str">
        <f>IF(BA346=1,VLOOKUP($AP346,Usinas!$B$3:$H$244,7,0),"")</f>
        <v/>
      </c>
    </row>
    <row r="347" spans="24:55" x14ac:dyDescent="0.3">
      <c r="X347" s="42" t="e">
        <v>#N/A</v>
      </c>
      <c r="Z347" s="101">
        <v>327</v>
      </c>
      <c r="AA347" s="101">
        <v>0</v>
      </c>
      <c r="AB347" s="101">
        <v>0</v>
      </c>
      <c r="AP347" s="103">
        <v>327</v>
      </c>
      <c r="AQ347" s="103" t="str">
        <f>IF(BA347=1,VLOOKUP($AP347,Usinas!$B$3:$F$244,2,0),"")</f>
        <v/>
      </c>
      <c r="AR347" s="103" t="str">
        <f>IF(BA347=1,VLOOKUP($AP347,Usinas!$B$3:$F$241,3,0),"")</f>
        <v/>
      </c>
      <c r="AS347" s="103" t="str">
        <f>IF(BA347,VLOOKUP($AP347,Usinas!$B$3:$F$244,4,0),"")</f>
        <v/>
      </c>
      <c r="AT347" s="103" t="str">
        <f t="shared" si="255"/>
        <v/>
      </c>
      <c r="AU347" s="104" t="str">
        <f t="shared" si="254"/>
        <v/>
      </c>
      <c r="AV347" s="104" t="str">
        <f t="shared" si="254"/>
        <v/>
      </c>
      <c r="AW347" s="104" t="str">
        <f t="shared" si="254"/>
        <v/>
      </c>
      <c r="AX347" s="104" t="str">
        <f t="shared" si="254"/>
        <v/>
      </c>
      <c r="AY347" s="104" t="str">
        <f t="shared" si="254"/>
        <v/>
      </c>
      <c r="AZ347" s="104" t="str">
        <f t="shared" si="254"/>
        <v/>
      </c>
      <c r="BA347" s="103">
        <f t="shared" si="256"/>
        <v>0</v>
      </c>
      <c r="BB347" s="103">
        <f t="shared" si="257"/>
        <v>0</v>
      </c>
      <c r="BC347" s="103" t="str">
        <f>IF(BA347=1,VLOOKUP($AP347,Usinas!$B$3:$H$244,7,0),"")</f>
        <v/>
      </c>
    </row>
    <row r="348" spans="24:55" x14ac:dyDescent="0.3">
      <c r="X348" s="42" t="e">
        <v>#N/A</v>
      </c>
      <c r="Z348" s="101">
        <v>328</v>
      </c>
      <c r="AA348" s="101">
        <v>0</v>
      </c>
      <c r="AB348" s="101">
        <v>0</v>
      </c>
      <c r="AP348" s="103">
        <v>328</v>
      </c>
      <c r="AQ348" s="103" t="str">
        <f>IF(BA348=1,VLOOKUP($AP348,Usinas!$B$3:$F$244,2,0),"")</f>
        <v/>
      </c>
      <c r="AR348" s="103" t="str">
        <f>IF(BA348=1,VLOOKUP($AP348,Usinas!$B$3:$F$241,3,0),"")</f>
        <v/>
      </c>
      <c r="AS348" s="103" t="str">
        <f>IF(BA348,VLOOKUP($AP348,Usinas!$B$3:$F$244,4,0),"")</f>
        <v/>
      </c>
      <c r="AT348" s="103" t="str">
        <f t="shared" si="255"/>
        <v/>
      </c>
      <c r="AU348" s="104" t="str">
        <f t="shared" si="254"/>
        <v/>
      </c>
      <c r="AV348" s="104" t="str">
        <f t="shared" si="254"/>
        <v/>
      </c>
      <c r="AW348" s="104" t="str">
        <f t="shared" si="254"/>
        <v/>
      </c>
      <c r="AX348" s="104" t="str">
        <f t="shared" si="254"/>
        <v/>
      </c>
      <c r="AY348" s="104" t="str">
        <f t="shared" si="254"/>
        <v/>
      </c>
      <c r="AZ348" s="104" t="str">
        <f t="shared" si="254"/>
        <v/>
      </c>
      <c r="BA348" s="103">
        <f t="shared" si="256"/>
        <v>0</v>
      </c>
      <c r="BB348" s="103">
        <f t="shared" si="257"/>
        <v>0</v>
      </c>
      <c r="BC348" s="103" t="str">
        <f>IF(BA348=1,VLOOKUP($AP348,Usinas!$B$3:$H$244,7,0),"")</f>
        <v/>
      </c>
    </row>
    <row r="349" spans="24:55" x14ac:dyDescent="0.3">
      <c r="X349" s="42" t="e">
        <v>#N/A</v>
      </c>
      <c r="Z349" s="101">
        <v>329</v>
      </c>
      <c r="AA349" s="101">
        <v>0</v>
      </c>
      <c r="AB349" s="101">
        <v>0</v>
      </c>
      <c r="AP349" s="103">
        <v>329</v>
      </c>
      <c r="AQ349" s="103" t="str">
        <f>IF(BA349=1,VLOOKUP($AP349,Usinas!$B$3:$F$244,2,0),"")</f>
        <v/>
      </c>
      <c r="AR349" s="103" t="str">
        <f>IF(BA349=1,VLOOKUP($AP349,Usinas!$B$3:$F$241,3,0),"")</f>
        <v/>
      </c>
      <c r="AS349" s="103" t="str">
        <f>IF(BA349,VLOOKUP($AP349,Usinas!$B$3:$F$244,4,0),"")</f>
        <v/>
      </c>
      <c r="AT349" s="103" t="str">
        <f t="shared" si="255"/>
        <v/>
      </c>
      <c r="AU349" s="104" t="str">
        <f t="shared" si="254"/>
        <v/>
      </c>
      <c r="AV349" s="104" t="str">
        <f t="shared" si="254"/>
        <v/>
      </c>
      <c r="AW349" s="104" t="str">
        <f t="shared" si="254"/>
        <v/>
      </c>
      <c r="AX349" s="104" t="str">
        <f t="shared" si="254"/>
        <v/>
      </c>
      <c r="AY349" s="104" t="str">
        <f t="shared" si="254"/>
        <v/>
      </c>
      <c r="AZ349" s="104" t="str">
        <f t="shared" si="254"/>
        <v/>
      </c>
      <c r="BA349" s="103">
        <f t="shared" si="256"/>
        <v>0</v>
      </c>
      <c r="BB349" s="103">
        <f t="shared" si="257"/>
        <v>0</v>
      </c>
      <c r="BC349" s="103" t="str">
        <f>IF(BA349=1,VLOOKUP($AP349,Usinas!$B$3:$H$244,7,0),"")</f>
        <v/>
      </c>
    </row>
    <row r="350" spans="24:55" x14ac:dyDescent="0.3">
      <c r="X350" s="42" t="e">
        <v>#N/A</v>
      </c>
      <c r="Z350" s="101">
        <v>330</v>
      </c>
      <c r="AA350" s="101">
        <v>0</v>
      </c>
      <c r="AB350" s="101">
        <v>0</v>
      </c>
      <c r="AP350" s="103">
        <v>330</v>
      </c>
      <c r="AQ350" s="103" t="str">
        <f>IF(BA350=1,VLOOKUP($AP350,Usinas!$B$3:$F$244,2,0),"")</f>
        <v/>
      </c>
      <c r="AR350" s="103" t="str">
        <f>IF(BA350=1,VLOOKUP($AP350,Usinas!$B$3:$F$241,3,0),"")</f>
        <v/>
      </c>
      <c r="AS350" s="103" t="str">
        <f>IF(BA350,VLOOKUP($AP350,Usinas!$B$3:$F$244,4,0),"")</f>
        <v/>
      </c>
      <c r="AT350" s="103" t="str">
        <f t="shared" si="255"/>
        <v/>
      </c>
      <c r="AU350" s="104" t="str">
        <f t="shared" si="254"/>
        <v/>
      </c>
      <c r="AV350" s="104" t="str">
        <f t="shared" si="254"/>
        <v/>
      </c>
      <c r="AW350" s="104" t="str">
        <f t="shared" si="254"/>
        <v/>
      </c>
      <c r="AX350" s="104" t="str">
        <f t="shared" si="254"/>
        <v/>
      </c>
      <c r="AY350" s="104" t="str">
        <f t="shared" si="254"/>
        <v/>
      </c>
      <c r="AZ350" s="104" t="str">
        <f t="shared" si="254"/>
        <v/>
      </c>
      <c r="BA350" s="103">
        <f t="shared" si="256"/>
        <v>0</v>
      </c>
      <c r="BB350" s="103">
        <f t="shared" si="257"/>
        <v>0</v>
      </c>
      <c r="BC350" s="103" t="str">
        <f>IF(BA350=1,VLOOKUP($AP350,Usinas!$B$3:$H$244,7,0),"")</f>
        <v/>
      </c>
    </row>
    <row r="351" spans="24:55" x14ac:dyDescent="0.3">
      <c r="X351" s="42" t="e">
        <v>#N/A</v>
      </c>
      <c r="Z351" s="101">
        <v>331</v>
      </c>
      <c r="AA351" s="101">
        <v>0</v>
      </c>
      <c r="AB351" s="101">
        <v>0</v>
      </c>
      <c r="AP351" s="103">
        <v>331</v>
      </c>
      <c r="AQ351" s="103" t="str">
        <f>IF(BA351=1,VLOOKUP($AP351,Usinas!$B$3:$F$244,2,0),"")</f>
        <v/>
      </c>
      <c r="AR351" s="103" t="str">
        <f>IF(BA351=1,VLOOKUP($AP351,Usinas!$B$3:$F$241,3,0),"")</f>
        <v/>
      </c>
      <c r="AS351" s="103" t="str">
        <f>IF(BA351,VLOOKUP($AP351,Usinas!$B$3:$F$244,4,0),"")</f>
        <v/>
      </c>
      <c r="AT351" s="103" t="str">
        <f t="shared" si="255"/>
        <v/>
      </c>
      <c r="AU351" s="104" t="str">
        <f t="shared" ref="AU351:AZ360" si="258">IF($BA351=1,IFERROR(VLOOKUP($AP351,$AE$21:$AK$211,AU$19,0),VLOOKUP($AP351,$BE$21:$BK$65,AU$19,0))*$AT351,"")</f>
        <v/>
      </c>
      <c r="AV351" s="104" t="str">
        <f t="shared" si="258"/>
        <v/>
      </c>
      <c r="AW351" s="104" t="str">
        <f t="shared" si="258"/>
        <v/>
      </c>
      <c r="AX351" s="104" t="str">
        <f t="shared" si="258"/>
        <v/>
      </c>
      <c r="AY351" s="104" t="str">
        <f t="shared" si="258"/>
        <v/>
      </c>
      <c r="AZ351" s="104" t="str">
        <f t="shared" si="258"/>
        <v/>
      </c>
      <c r="BA351" s="103">
        <f t="shared" si="256"/>
        <v>0</v>
      </c>
      <c r="BB351" s="103">
        <f t="shared" si="257"/>
        <v>0</v>
      </c>
      <c r="BC351" s="103" t="str">
        <f>IF(BA351=1,VLOOKUP($AP351,Usinas!$B$3:$H$244,7,0),"")</f>
        <v/>
      </c>
    </row>
    <row r="352" spans="24:55" x14ac:dyDescent="0.3">
      <c r="X352" s="42" t="e">
        <v>#N/A</v>
      </c>
      <c r="Z352" s="101">
        <v>332</v>
      </c>
      <c r="AA352" s="101">
        <v>0</v>
      </c>
      <c r="AB352" s="101">
        <v>0</v>
      </c>
      <c r="AP352" s="103">
        <v>332</v>
      </c>
      <c r="AQ352" s="103" t="str">
        <f>IF(BA352=1,VLOOKUP($AP352,Usinas!$B$3:$F$244,2,0),"")</f>
        <v/>
      </c>
      <c r="AR352" s="103" t="str">
        <f>IF(BA352=1,VLOOKUP($AP352,Usinas!$B$3:$F$241,3,0),"")</f>
        <v/>
      </c>
      <c r="AS352" s="103" t="str">
        <f>IF(BA352,VLOOKUP($AP352,Usinas!$B$3:$F$244,4,0),"")</f>
        <v/>
      </c>
      <c r="AT352" s="103" t="str">
        <f t="shared" si="255"/>
        <v/>
      </c>
      <c r="AU352" s="104" t="str">
        <f t="shared" si="258"/>
        <v/>
      </c>
      <c r="AV352" s="104" t="str">
        <f t="shared" si="258"/>
        <v/>
      </c>
      <c r="AW352" s="104" t="str">
        <f t="shared" si="258"/>
        <v/>
      </c>
      <c r="AX352" s="104" t="str">
        <f t="shared" si="258"/>
        <v/>
      </c>
      <c r="AY352" s="104" t="str">
        <f t="shared" si="258"/>
        <v/>
      </c>
      <c r="AZ352" s="104" t="str">
        <f t="shared" si="258"/>
        <v/>
      </c>
      <c r="BA352" s="103">
        <f t="shared" si="256"/>
        <v>0</v>
      </c>
      <c r="BB352" s="103">
        <f t="shared" si="257"/>
        <v>0</v>
      </c>
      <c r="BC352" s="103" t="str">
        <f>IF(BA352=1,VLOOKUP($AP352,Usinas!$B$3:$H$244,7,0),"")</f>
        <v/>
      </c>
    </row>
    <row r="353" spans="24:55" x14ac:dyDescent="0.3">
      <c r="X353" s="42" t="e">
        <v>#N/A</v>
      </c>
      <c r="Z353" s="101">
        <v>333</v>
      </c>
      <c r="AA353" s="101">
        <v>0</v>
      </c>
      <c r="AB353" s="101">
        <v>0</v>
      </c>
      <c r="AP353" s="103">
        <v>333</v>
      </c>
      <c r="AQ353" s="103" t="str">
        <f>IF(BA353=1,VLOOKUP($AP353,Usinas!$B$3:$F$244,2,0),"")</f>
        <v/>
      </c>
      <c r="AR353" s="103" t="str">
        <f>IF(BA353=1,VLOOKUP($AP353,Usinas!$B$3:$F$241,3,0),"")</f>
        <v/>
      </c>
      <c r="AS353" s="103" t="str">
        <f>IF(BA353,VLOOKUP($AP353,Usinas!$B$3:$F$244,4,0),"")</f>
        <v/>
      </c>
      <c r="AT353" s="103" t="str">
        <f t="shared" si="255"/>
        <v/>
      </c>
      <c r="AU353" s="104" t="str">
        <f t="shared" si="258"/>
        <v/>
      </c>
      <c r="AV353" s="104" t="str">
        <f t="shared" si="258"/>
        <v/>
      </c>
      <c r="AW353" s="104" t="str">
        <f t="shared" si="258"/>
        <v/>
      </c>
      <c r="AX353" s="104" t="str">
        <f t="shared" si="258"/>
        <v/>
      </c>
      <c r="AY353" s="104" t="str">
        <f t="shared" si="258"/>
        <v/>
      </c>
      <c r="AZ353" s="104" t="str">
        <f t="shared" si="258"/>
        <v/>
      </c>
      <c r="BA353" s="103">
        <f t="shared" si="256"/>
        <v>0</v>
      </c>
      <c r="BB353" s="103">
        <f t="shared" si="257"/>
        <v>0</v>
      </c>
      <c r="BC353" s="103" t="str">
        <f>IF(BA353=1,VLOOKUP($AP353,Usinas!$B$3:$H$244,7,0),"")</f>
        <v/>
      </c>
    </row>
    <row r="354" spans="24:55" x14ac:dyDescent="0.3">
      <c r="X354" s="42" t="e">
        <v>#N/A</v>
      </c>
      <c r="Z354" s="101">
        <v>334</v>
      </c>
      <c r="AA354" s="101">
        <v>0</v>
      </c>
      <c r="AB354" s="101">
        <v>0</v>
      </c>
      <c r="AP354" s="103">
        <v>334</v>
      </c>
      <c r="AQ354" s="103" t="str">
        <f>IF(BA354=1,VLOOKUP($AP354,Usinas!$B$3:$F$244,2,0),"")</f>
        <v/>
      </c>
      <c r="AR354" s="103" t="str">
        <f>IF(BA354=1,VLOOKUP($AP354,Usinas!$B$3:$F$241,3,0),"")</f>
        <v/>
      </c>
      <c r="AS354" s="103" t="str">
        <f>IF(BA354,VLOOKUP($AP354,Usinas!$B$3:$F$244,4,0),"")</f>
        <v/>
      </c>
      <c r="AT354" s="103" t="str">
        <f t="shared" si="255"/>
        <v/>
      </c>
      <c r="AU354" s="104" t="str">
        <f t="shared" si="258"/>
        <v/>
      </c>
      <c r="AV354" s="104" t="str">
        <f t="shared" si="258"/>
        <v/>
      </c>
      <c r="AW354" s="104" t="str">
        <f t="shared" si="258"/>
        <v/>
      </c>
      <c r="AX354" s="104" t="str">
        <f t="shared" si="258"/>
        <v/>
      </c>
      <c r="AY354" s="104" t="str">
        <f t="shared" si="258"/>
        <v/>
      </c>
      <c r="AZ354" s="104" t="str">
        <f t="shared" si="258"/>
        <v/>
      </c>
      <c r="BA354" s="103">
        <f t="shared" si="256"/>
        <v>0</v>
      </c>
      <c r="BB354" s="103">
        <f t="shared" si="257"/>
        <v>0</v>
      </c>
      <c r="BC354" s="103" t="str">
        <f>IF(BA354=1,VLOOKUP($AP354,Usinas!$B$3:$H$244,7,0),"")</f>
        <v/>
      </c>
    </row>
    <row r="355" spans="24:55" x14ac:dyDescent="0.3">
      <c r="X355" s="42" t="e">
        <v>#N/A</v>
      </c>
      <c r="Z355" s="101">
        <v>335</v>
      </c>
      <c r="AA355" s="101">
        <v>0</v>
      </c>
      <c r="AB355" s="101">
        <v>0</v>
      </c>
      <c r="AP355" s="103">
        <v>335</v>
      </c>
      <c r="AQ355" s="103" t="str">
        <f>IF(BA355=1,VLOOKUP($AP355,Usinas!$B$3:$F$244,2,0),"")</f>
        <v/>
      </c>
      <c r="AR355" s="103" t="str">
        <f>IF(BA355=1,VLOOKUP($AP355,Usinas!$B$3:$F$241,3,0),"")</f>
        <v/>
      </c>
      <c r="AS355" s="103" t="str">
        <f>IF(BA355,VLOOKUP($AP355,Usinas!$B$3:$F$244,4,0),"")</f>
        <v/>
      </c>
      <c r="AT355" s="103" t="str">
        <f t="shared" si="255"/>
        <v/>
      </c>
      <c r="AU355" s="104" t="str">
        <f t="shared" si="258"/>
        <v/>
      </c>
      <c r="AV355" s="104" t="str">
        <f t="shared" si="258"/>
        <v/>
      </c>
      <c r="AW355" s="104" t="str">
        <f t="shared" si="258"/>
        <v/>
      </c>
      <c r="AX355" s="104" t="str">
        <f t="shared" si="258"/>
        <v/>
      </c>
      <c r="AY355" s="104" t="str">
        <f t="shared" si="258"/>
        <v/>
      </c>
      <c r="AZ355" s="104" t="str">
        <f t="shared" si="258"/>
        <v/>
      </c>
      <c r="BA355" s="103">
        <f t="shared" si="256"/>
        <v>0</v>
      </c>
      <c r="BB355" s="103">
        <f t="shared" si="257"/>
        <v>0</v>
      </c>
      <c r="BC355" s="103" t="str">
        <f>IF(BA355=1,VLOOKUP($AP355,Usinas!$B$3:$H$244,7,0),"")</f>
        <v/>
      </c>
    </row>
    <row r="356" spans="24:55" x14ac:dyDescent="0.3">
      <c r="X356" s="42" t="e">
        <v>#N/A</v>
      </c>
      <c r="Z356" s="101">
        <v>336</v>
      </c>
      <c r="AA356" s="101">
        <v>0</v>
      </c>
      <c r="AB356" s="101">
        <v>0</v>
      </c>
      <c r="AP356" s="103">
        <v>336</v>
      </c>
      <c r="AQ356" s="103" t="str">
        <f>IF(BA356=1,VLOOKUP($AP356,Usinas!$B$3:$F$244,2,0),"")</f>
        <v/>
      </c>
      <c r="AR356" s="103" t="str">
        <f>IF(BA356=1,VLOOKUP($AP356,Usinas!$B$3:$F$241,3,0),"")</f>
        <v/>
      </c>
      <c r="AS356" s="103" t="str">
        <f>IF(BA356,VLOOKUP($AP356,Usinas!$B$3:$F$244,4,0),"")</f>
        <v/>
      </c>
      <c r="AT356" s="103" t="str">
        <f t="shared" si="255"/>
        <v/>
      </c>
      <c r="AU356" s="104" t="str">
        <f t="shared" si="258"/>
        <v/>
      </c>
      <c r="AV356" s="104" t="str">
        <f t="shared" si="258"/>
        <v/>
      </c>
      <c r="AW356" s="104" t="str">
        <f t="shared" si="258"/>
        <v/>
      </c>
      <c r="AX356" s="104" t="str">
        <f t="shared" si="258"/>
        <v/>
      </c>
      <c r="AY356" s="104" t="str">
        <f t="shared" si="258"/>
        <v/>
      </c>
      <c r="AZ356" s="104" t="str">
        <f t="shared" si="258"/>
        <v/>
      </c>
      <c r="BA356" s="103">
        <f t="shared" si="256"/>
        <v>0</v>
      </c>
      <c r="BB356" s="103">
        <f t="shared" si="257"/>
        <v>0</v>
      </c>
      <c r="BC356" s="103" t="str">
        <f>IF(BA356=1,VLOOKUP($AP356,Usinas!$B$3:$H$244,7,0),"")</f>
        <v/>
      </c>
    </row>
    <row r="357" spans="24:55" x14ac:dyDescent="0.3">
      <c r="X357" s="42" t="e">
        <v>#N/A</v>
      </c>
      <c r="Z357" s="101">
        <v>337</v>
      </c>
      <c r="AA357" s="101">
        <v>0</v>
      </c>
      <c r="AB357" s="101">
        <v>0</v>
      </c>
      <c r="AP357" s="103">
        <v>337</v>
      </c>
      <c r="AQ357" s="103" t="str">
        <f>IF(BA357=1,VLOOKUP($AP357,Usinas!$B$3:$F$244,2,0),"")</f>
        <v/>
      </c>
      <c r="AR357" s="103" t="str">
        <f>IF(BA357=1,VLOOKUP($AP357,Usinas!$B$3:$F$241,3,0),"")</f>
        <v/>
      </c>
      <c r="AS357" s="103" t="str">
        <f>IF(BA357,VLOOKUP($AP357,Usinas!$B$3:$F$244,4,0),"")</f>
        <v/>
      </c>
      <c r="AT357" s="103" t="str">
        <f t="shared" si="255"/>
        <v/>
      </c>
      <c r="AU357" s="104" t="str">
        <f t="shared" si="258"/>
        <v/>
      </c>
      <c r="AV357" s="104" t="str">
        <f t="shared" si="258"/>
        <v/>
      </c>
      <c r="AW357" s="104" t="str">
        <f t="shared" si="258"/>
        <v/>
      </c>
      <c r="AX357" s="104" t="str">
        <f t="shared" si="258"/>
        <v/>
      </c>
      <c r="AY357" s="104" t="str">
        <f t="shared" si="258"/>
        <v/>
      </c>
      <c r="AZ357" s="104" t="str">
        <f t="shared" si="258"/>
        <v/>
      </c>
      <c r="BA357" s="103">
        <f t="shared" si="256"/>
        <v>0</v>
      </c>
      <c r="BB357" s="103">
        <f t="shared" si="257"/>
        <v>0</v>
      </c>
      <c r="BC357" s="103" t="str">
        <f>IF(BA357=1,VLOOKUP($AP357,Usinas!$B$3:$H$244,7,0),"")</f>
        <v/>
      </c>
    </row>
    <row r="358" spans="24:55" x14ac:dyDescent="0.3">
      <c r="X358" s="42" t="e">
        <v>#N/A</v>
      </c>
      <c r="Z358" s="101">
        <v>338</v>
      </c>
      <c r="AA358" s="101">
        <v>0</v>
      </c>
      <c r="AB358" s="101">
        <v>0</v>
      </c>
      <c r="AP358" s="103">
        <v>338</v>
      </c>
      <c r="AQ358" s="103" t="str">
        <f>IF(BA358=1,VLOOKUP($AP358,Usinas!$B$3:$F$244,2,0),"")</f>
        <v/>
      </c>
      <c r="AR358" s="103" t="str">
        <f>IF(BA358=1,VLOOKUP($AP358,Usinas!$B$3:$F$241,3,0),"")</f>
        <v/>
      </c>
      <c r="AS358" s="103" t="str">
        <f>IF(BA358,VLOOKUP($AP358,Usinas!$B$3:$F$244,4,0),"")</f>
        <v/>
      </c>
      <c r="AT358" s="103" t="str">
        <f t="shared" si="255"/>
        <v/>
      </c>
      <c r="AU358" s="104" t="str">
        <f t="shared" si="258"/>
        <v/>
      </c>
      <c r="AV358" s="104" t="str">
        <f t="shared" si="258"/>
        <v/>
      </c>
      <c r="AW358" s="104" t="str">
        <f t="shared" si="258"/>
        <v/>
      </c>
      <c r="AX358" s="104" t="str">
        <f t="shared" si="258"/>
        <v/>
      </c>
      <c r="AY358" s="104" t="str">
        <f t="shared" si="258"/>
        <v/>
      </c>
      <c r="AZ358" s="104" t="str">
        <f t="shared" si="258"/>
        <v/>
      </c>
      <c r="BA358" s="103">
        <f t="shared" si="256"/>
        <v>0</v>
      </c>
      <c r="BB358" s="103">
        <f t="shared" si="257"/>
        <v>0</v>
      </c>
      <c r="BC358" s="103" t="str">
        <f>IF(BA358=1,VLOOKUP($AP358,Usinas!$B$3:$H$244,7,0),"")</f>
        <v/>
      </c>
    </row>
    <row r="359" spans="24:55" x14ac:dyDescent="0.3">
      <c r="X359" s="42" t="e">
        <v>#N/A</v>
      </c>
      <c r="Z359" s="101">
        <v>339</v>
      </c>
      <c r="AA359" s="101">
        <v>0</v>
      </c>
      <c r="AB359" s="101">
        <v>0</v>
      </c>
      <c r="AP359" s="103">
        <v>339</v>
      </c>
      <c r="AQ359" s="103" t="str">
        <f>IF(BA359=1,VLOOKUP($AP359,Usinas!$B$3:$F$244,2,0),"")</f>
        <v/>
      </c>
      <c r="AR359" s="103" t="str">
        <f>IF(BA359=1,VLOOKUP($AP359,Usinas!$B$3:$F$241,3,0),"")</f>
        <v/>
      </c>
      <c r="AS359" s="103" t="str">
        <f>IF(BA359,VLOOKUP($AP359,Usinas!$B$3:$F$244,4,0),"")</f>
        <v/>
      </c>
      <c r="AT359" s="103" t="str">
        <f t="shared" si="255"/>
        <v/>
      </c>
      <c r="AU359" s="104" t="str">
        <f t="shared" si="258"/>
        <v/>
      </c>
      <c r="AV359" s="104" t="str">
        <f t="shared" si="258"/>
        <v/>
      </c>
      <c r="AW359" s="104" t="str">
        <f t="shared" si="258"/>
        <v/>
      </c>
      <c r="AX359" s="104" t="str">
        <f t="shared" si="258"/>
        <v/>
      </c>
      <c r="AY359" s="104" t="str">
        <f t="shared" si="258"/>
        <v/>
      </c>
      <c r="AZ359" s="104" t="str">
        <f t="shared" si="258"/>
        <v/>
      </c>
      <c r="BA359" s="103">
        <f t="shared" si="256"/>
        <v>0</v>
      </c>
      <c r="BB359" s="103">
        <f t="shared" si="257"/>
        <v>0</v>
      </c>
      <c r="BC359" s="103" t="str">
        <f>IF(BA359=1,VLOOKUP($AP359,Usinas!$B$3:$H$244,7,0),"")</f>
        <v/>
      </c>
    </row>
    <row r="360" spans="24:55" x14ac:dyDescent="0.3">
      <c r="X360" s="42" t="e">
        <v>#N/A</v>
      </c>
      <c r="Z360" s="101">
        <v>340</v>
      </c>
      <c r="AA360" s="101">
        <v>0</v>
      </c>
      <c r="AB360" s="101">
        <v>0</v>
      </c>
      <c r="AP360" s="103">
        <v>340</v>
      </c>
      <c r="AQ360" s="103" t="str">
        <f>IF(BA360=1,VLOOKUP($AP360,Usinas!$B$3:$F$244,2,0),"")</f>
        <v/>
      </c>
      <c r="AR360" s="103" t="str">
        <f>IF(BA360=1,VLOOKUP($AP360,Usinas!$B$3:$F$241,3,0),"")</f>
        <v/>
      </c>
      <c r="AS360" s="103" t="str">
        <f>IF(BA360,VLOOKUP($AP360,Usinas!$B$3:$F$244,4,0),"")</f>
        <v/>
      </c>
      <c r="AT360" s="103" t="str">
        <f t="shared" si="255"/>
        <v/>
      </c>
      <c r="AU360" s="104" t="str">
        <f t="shared" si="258"/>
        <v/>
      </c>
      <c r="AV360" s="104" t="str">
        <f t="shared" si="258"/>
        <v/>
      </c>
      <c r="AW360" s="104" t="str">
        <f t="shared" si="258"/>
        <v/>
      </c>
      <c r="AX360" s="104" t="str">
        <f t="shared" si="258"/>
        <v/>
      </c>
      <c r="AY360" s="104" t="str">
        <f t="shared" si="258"/>
        <v/>
      </c>
      <c r="AZ360" s="104" t="str">
        <f t="shared" si="258"/>
        <v/>
      </c>
      <c r="BA360" s="103">
        <f t="shared" si="256"/>
        <v>0</v>
      </c>
      <c r="BB360" s="103">
        <f t="shared" si="257"/>
        <v>0</v>
      </c>
      <c r="BC360" s="103" t="str">
        <f>IF(BA360=1,VLOOKUP($AP360,Usinas!$B$3:$H$244,7,0),"")</f>
        <v/>
      </c>
    </row>
    <row r="361" spans="24:55" x14ac:dyDescent="0.3">
      <c r="X361" s="42" t="e">
        <v>#N/A</v>
      </c>
      <c r="Z361" s="101">
        <v>341</v>
      </c>
      <c r="AA361" s="101">
        <v>0</v>
      </c>
      <c r="AB361" s="101">
        <v>0</v>
      </c>
      <c r="AP361" s="103">
        <v>341</v>
      </c>
      <c r="AQ361" s="103" t="str">
        <f>IF(BA361=1,VLOOKUP($AP361,Usinas!$B$3:$F$244,2,0),"")</f>
        <v/>
      </c>
      <c r="AR361" s="103" t="str">
        <f>IF(BA361=1,VLOOKUP($AP361,Usinas!$B$3:$F$241,3,0),"")</f>
        <v/>
      </c>
      <c r="AS361" s="103" t="str">
        <f>IF(BA361,VLOOKUP($AP361,Usinas!$B$3:$F$244,4,0),"")</f>
        <v/>
      </c>
      <c r="AT361" s="103" t="str">
        <f t="shared" si="255"/>
        <v/>
      </c>
      <c r="AU361" s="104" t="str">
        <f t="shared" ref="AU361:AZ372" si="259">IF($BA361=1,IFERROR(VLOOKUP($AP361,$AE$21:$AK$211,AU$19,0),VLOOKUP($AP361,$BE$21:$BK$65,AU$19,0))*$AT361,"")</f>
        <v/>
      </c>
      <c r="AV361" s="104" t="str">
        <f t="shared" si="259"/>
        <v/>
      </c>
      <c r="AW361" s="104" t="str">
        <f t="shared" si="259"/>
        <v/>
      </c>
      <c r="AX361" s="104" t="str">
        <f t="shared" si="259"/>
        <v/>
      </c>
      <c r="AY361" s="104" t="str">
        <f t="shared" si="259"/>
        <v/>
      </c>
      <c r="AZ361" s="104" t="str">
        <f t="shared" si="259"/>
        <v/>
      </c>
      <c r="BA361" s="103">
        <f t="shared" si="256"/>
        <v>0</v>
      </c>
      <c r="BB361" s="103">
        <f t="shared" si="257"/>
        <v>0</v>
      </c>
      <c r="BC361" s="103" t="str">
        <f>IF(BA361=1,VLOOKUP($AP361,Usinas!$B$3:$H$244,7,0),"")</f>
        <v/>
      </c>
    </row>
    <row r="362" spans="24:55" x14ac:dyDescent="0.3">
      <c r="X362" s="42" t="e">
        <v>#N/A</v>
      </c>
      <c r="Z362" s="101">
        <v>342</v>
      </c>
      <c r="AA362" s="101">
        <v>0</v>
      </c>
      <c r="AB362" s="101">
        <v>0</v>
      </c>
      <c r="AP362" s="103">
        <v>342</v>
      </c>
      <c r="AQ362" s="103" t="str">
        <f>IF(BA362=1,VLOOKUP($AP362,Usinas!$B$3:$F$244,2,0),"")</f>
        <v/>
      </c>
      <c r="AR362" s="103" t="str">
        <f>IF(BA362=1,VLOOKUP($AP362,Usinas!$B$3:$F$241,3,0),"")</f>
        <v/>
      </c>
      <c r="AS362" s="103" t="str">
        <f>IF(BA362,VLOOKUP($AP362,Usinas!$B$3:$F$244,4,0),"")</f>
        <v/>
      </c>
      <c r="AT362" s="103" t="str">
        <f t="shared" si="255"/>
        <v/>
      </c>
      <c r="AU362" s="104" t="str">
        <f t="shared" si="259"/>
        <v/>
      </c>
      <c r="AV362" s="104" t="str">
        <f t="shared" si="259"/>
        <v/>
      </c>
      <c r="AW362" s="104" t="str">
        <f t="shared" si="259"/>
        <v/>
      </c>
      <c r="AX362" s="104" t="str">
        <f t="shared" si="259"/>
        <v/>
      </c>
      <c r="AY362" s="104" t="str">
        <f t="shared" si="259"/>
        <v/>
      </c>
      <c r="AZ362" s="104" t="str">
        <f t="shared" si="259"/>
        <v/>
      </c>
      <c r="BA362" s="103">
        <f t="shared" si="256"/>
        <v>0</v>
      </c>
      <c r="BB362" s="103">
        <f t="shared" si="257"/>
        <v>0</v>
      </c>
      <c r="BC362" s="103" t="str">
        <f>IF(BA362=1,VLOOKUP($AP362,Usinas!$B$3:$H$244,7,0),"")</f>
        <v/>
      </c>
    </row>
    <row r="363" spans="24:55" x14ac:dyDescent="0.3">
      <c r="X363" s="42" t="e">
        <v>#N/A</v>
      </c>
      <c r="Z363" s="124">
        <v>900</v>
      </c>
      <c r="AA363" s="124">
        <v>0</v>
      </c>
      <c r="AB363" s="101">
        <v>0</v>
      </c>
      <c r="AP363" s="124">
        <v>900</v>
      </c>
      <c r="AQ363" s="124" t="str">
        <f>IF(BA363=1,VLOOKUP($AP363,Usinas!$B$3:$F$244,2,0),"")</f>
        <v/>
      </c>
      <c r="AR363" s="124" t="str">
        <f>IF(BA363=1,VLOOKUP($AP363,Usinas!$B$3:$F$241,3,0),"")</f>
        <v/>
      </c>
      <c r="AS363" s="124" t="str">
        <f>IF(BA363,VLOOKUP($AP363,Usinas!$B$3:$F$244,4,0),"")</f>
        <v/>
      </c>
      <c r="AT363" s="124" t="str">
        <f t="shared" si="255"/>
        <v/>
      </c>
      <c r="AU363" s="133" t="str">
        <f t="shared" si="259"/>
        <v/>
      </c>
      <c r="AV363" s="133" t="str">
        <f t="shared" si="259"/>
        <v/>
      </c>
      <c r="AW363" s="133" t="str">
        <f t="shared" si="259"/>
        <v/>
      </c>
      <c r="AX363" s="133" t="str">
        <f t="shared" si="259"/>
        <v/>
      </c>
      <c r="AY363" s="133" t="str">
        <f t="shared" si="259"/>
        <v/>
      </c>
      <c r="AZ363" s="133" t="str">
        <f t="shared" si="259"/>
        <v/>
      </c>
      <c r="BA363" s="124">
        <f t="shared" si="256"/>
        <v>0</v>
      </c>
      <c r="BB363" s="124">
        <f t="shared" si="257"/>
        <v>0</v>
      </c>
      <c r="BC363" s="124" t="str">
        <f>IF(BA363=1,VLOOKUP($AP363,Usinas!$B$3:$H$244,7,0),"")</f>
        <v/>
      </c>
    </row>
    <row r="364" spans="24:55" x14ac:dyDescent="0.3">
      <c r="X364" s="42" t="e">
        <v>#N/A</v>
      </c>
      <c r="Z364" s="124">
        <v>901</v>
      </c>
      <c r="AA364" s="124">
        <v>0</v>
      </c>
      <c r="AB364" s="101">
        <v>0</v>
      </c>
      <c r="AP364" s="124">
        <v>901</v>
      </c>
      <c r="AQ364" s="124" t="str">
        <f>IF(BA364=1,VLOOKUP($AP364,Usinas!$B$3:$F$244,2,0),"")</f>
        <v/>
      </c>
      <c r="AR364" s="124" t="str">
        <f>IF(BA364=1,VLOOKUP($AP364,Usinas!$B$3:$F$241,3,0),"")</f>
        <v/>
      </c>
      <c r="AS364" s="124" t="str">
        <f>IF(BA364,VLOOKUP($AP364,Usinas!$B$3:$F$244,4,0),"")</f>
        <v/>
      </c>
      <c r="AT364" s="124" t="str">
        <f t="shared" si="255"/>
        <v/>
      </c>
      <c r="AU364" s="133" t="str">
        <f t="shared" si="259"/>
        <v/>
      </c>
      <c r="AV364" s="133" t="str">
        <f t="shared" si="259"/>
        <v/>
      </c>
      <c r="AW364" s="133" t="str">
        <f t="shared" si="259"/>
        <v/>
      </c>
      <c r="AX364" s="133" t="str">
        <f t="shared" si="259"/>
        <v/>
      </c>
      <c r="AY364" s="133" t="str">
        <f t="shared" si="259"/>
        <v/>
      </c>
      <c r="AZ364" s="133" t="str">
        <f t="shared" si="259"/>
        <v/>
      </c>
      <c r="BA364" s="124">
        <f t="shared" si="256"/>
        <v>0</v>
      </c>
      <c r="BB364" s="124">
        <f t="shared" si="257"/>
        <v>0</v>
      </c>
      <c r="BC364" s="124" t="str">
        <f>IF(BA364=1,VLOOKUP($AP364,Usinas!$B$3:$H$244,7,0),"")</f>
        <v/>
      </c>
    </row>
    <row r="365" spans="24:55" x14ac:dyDescent="0.3">
      <c r="X365" s="42" t="e">
        <v>#N/A</v>
      </c>
      <c r="Z365" s="124">
        <v>902</v>
      </c>
      <c r="AA365" s="124">
        <v>0</v>
      </c>
      <c r="AB365" s="101">
        <v>0</v>
      </c>
      <c r="AP365" s="124">
        <v>902</v>
      </c>
      <c r="AQ365" s="124" t="str">
        <f>IF(BA365=1,VLOOKUP($AP365,Usinas!$B$3:$F$244,2,0),"")</f>
        <v/>
      </c>
      <c r="AR365" s="124" t="str">
        <f>IF(BA365=1,VLOOKUP($AP365,Usinas!$B$3:$F$241,3,0),"")</f>
        <v/>
      </c>
      <c r="AS365" s="124" t="str">
        <f>IF(BA365,VLOOKUP($AP365,Usinas!$B$3:$F$244,4,0),"")</f>
        <v/>
      </c>
      <c r="AT365" s="124" t="str">
        <f t="shared" si="255"/>
        <v/>
      </c>
      <c r="AU365" s="133" t="str">
        <f t="shared" si="259"/>
        <v/>
      </c>
      <c r="AV365" s="133" t="str">
        <f t="shared" si="259"/>
        <v/>
      </c>
      <c r="AW365" s="133" t="str">
        <f t="shared" si="259"/>
        <v/>
      </c>
      <c r="AX365" s="133" t="str">
        <f t="shared" si="259"/>
        <v/>
      </c>
      <c r="AY365" s="133" t="str">
        <f t="shared" si="259"/>
        <v/>
      </c>
      <c r="AZ365" s="133" t="str">
        <f t="shared" si="259"/>
        <v/>
      </c>
      <c r="BA365" s="124">
        <f t="shared" si="256"/>
        <v>0</v>
      </c>
      <c r="BB365" s="124">
        <f t="shared" si="257"/>
        <v>0</v>
      </c>
      <c r="BC365" s="124" t="str">
        <f>IF(BA365=1,VLOOKUP($AP365,Usinas!$B$3:$H$244,7,0),"")</f>
        <v/>
      </c>
    </row>
    <row r="366" spans="24:55" x14ac:dyDescent="0.3">
      <c r="X366" s="42" t="e">
        <v>#N/A</v>
      </c>
      <c r="Z366" s="124">
        <v>903</v>
      </c>
      <c r="AA366" s="124">
        <v>0</v>
      </c>
      <c r="AB366" s="101">
        <v>0</v>
      </c>
      <c r="AP366" s="124">
        <v>903</v>
      </c>
      <c r="AQ366" s="124" t="str">
        <f>IF(BA366=1,VLOOKUP($AP366,Usinas!$B$3:$F$244,2,0),"")</f>
        <v/>
      </c>
      <c r="AR366" s="124" t="str">
        <f>IF(BA366=1,VLOOKUP($AP366,Usinas!$B$3:$F$241,3,0),"")</f>
        <v/>
      </c>
      <c r="AS366" s="124" t="str">
        <f>IF(BA366,VLOOKUP($AP366,Usinas!$B$3:$F$244,4,0),"")</f>
        <v/>
      </c>
      <c r="AT366" s="124" t="str">
        <f t="shared" si="255"/>
        <v/>
      </c>
      <c r="AU366" s="133" t="str">
        <f t="shared" si="259"/>
        <v/>
      </c>
      <c r="AV366" s="133" t="str">
        <f t="shared" si="259"/>
        <v/>
      </c>
      <c r="AW366" s="133" t="str">
        <f t="shared" si="259"/>
        <v/>
      </c>
      <c r="AX366" s="133" t="str">
        <f t="shared" si="259"/>
        <v/>
      </c>
      <c r="AY366" s="133" t="str">
        <f t="shared" si="259"/>
        <v/>
      </c>
      <c r="AZ366" s="133" t="str">
        <f t="shared" si="259"/>
        <v/>
      </c>
      <c r="BA366" s="124">
        <f t="shared" si="256"/>
        <v>0</v>
      </c>
      <c r="BB366" s="124">
        <f t="shared" si="257"/>
        <v>0</v>
      </c>
      <c r="BC366" s="124" t="str">
        <f>IF(BA366=1,VLOOKUP($AP366,Usinas!$B$3:$H$244,7,0),"")</f>
        <v/>
      </c>
    </row>
    <row r="367" spans="24:55" x14ac:dyDescent="0.3">
      <c r="X367" s="42" t="e">
        <v>#N/A</v>
      </c>
      <c r="Z367" s="124">
        <v>904</v>
      </c>
      <c r="AA367" s="124">
        <v>0</v>
      </c>
      <c r="AB367" s="101">
        <v>0</v>
      </c>
      <c r="AP367" s="124">
        <v>904</v>
      </c>
      <c r="AQ367" s="124" t="str">
        <f>IF(BA367=1,VLOOKUP($AP367,Usinas!$B$3:$F$244,2,0),"")</f>
        <v/>
      </c>
      <c r="AR367" s="124" t="str">
        <f>IF(BA367=1,VLOOKUP($AP367,Usinas!$B$3:$F$241,3,0),"")</f>
        <v/>
      </c>
      <c r="AS367" s="124" t="str">
        <f>IF(BA367,VLOOKUP($AP367,Usinas!$B$3:$F$244,4,0),"")</f>
        <v/>
      </c>
      <c r="AT367" s="124" t="str">
        <f t="shared" si="255"/>
        <v/>
      </c>
      <c r="AU367" s="133" t="str">
        <f t="shared" si="259"/>
        <v/>
      </c>
      <c r="AV367" s="133" t="str">
        <f t="shared" si="259"/>
        <v/>
      </c>
      <c r="AW367" s="133" t="str">
        <f t="shared" si="259"/>
        <v/>
      </c>
      <c r="AX367" s="133" t="str">
        <f t="shared" si="259"/>
        <v/>
      </c>
      <c r="AY367" s="133" t="str">
        <f t="shared" si="259"/>
        <v/>
      </c>
      <c r="AZ367" s="133" t="str">
        <f t="shared" si="259"/>
        <v/>
      </c>
      <c r="BA367" s="124">
        <f t="shared" si="256"/>
        <v>0</v>
      </c>
      <c r="BB367" s="124">
        <f t="shared" si="257"/>
        <v>0</v>
      </c>
      <c r="BC367" s="124" t="str">
        <f>IF(BA367=1,VLOOKUP($AP367,Usinas!$B$3:$H$244,7,0),"")</f>
        <v/>
      </c>
    </row>
    <row r="368" spans="24:55" x14ac:dyDescent="0.3">
      <c r="X368" s="42" t="e">
        <v>#N/A</v>
      </c>
      <c r="Z368" s="124">
        <v>905</v>
      </c>
      <c r="AA368" s="124">
        <v>0</v>
      </c>
      <c r="AB368" s="101">
        <v>0</v>
      </c>
      <c r="AP368" s="124">
        <v>905</v>
      </c>
      <c r="AQ368" s="124" t="str">
        <f>IF(BA368=1,VLOOKUP($AP368,Usinas!$B$3:$F$244,2,0),"")</f>
        <v/>
      </c>
      <c r="AR368" s="124" t="str">
        <f>IF(BA368=1,VLOOKUP($AP368,Usinas!$B$3:$F$241,3,0),"")</f>
        <v/>
      </c>
      <c r="AS368" s="124" t="str">
        <f>IF(BA368,VLOOKUP($AP368,Usinas!$B$3:$F$244,4,0),"")</f>
        <v/>
      </c>
      <c r="AT368" s="124" t="str">
        <f t="shared" si="255"/>
        <v/>
      </c>
      <c r="AU368" s="133" t="str">
        <f t="shared" si="259"/>
        <v/>
      </c>
      <c r="AV368" s="133" t="str">
        <f t="shared" si="259"/>
        <v/>
      </c>
      <c r="AW368" s="133" t="str">
        <f t="shared" si="259"/>
        <v/>
      </c>
      <c r="AX368" s="133" t="str">
        <f t="shared" si="259"/>
        <v/>
      </c>
      <c r="AY368" s="133" t="str">
        <f t="shared" si="259"/>
        <v/>
      </c>
      <c r="AZ368" s="133" t="str">
        <f t="shared" si="259"/>
        <v/>
      </c>
      <c r="BA368" s="124">
        <f t="shared" si="256"/>
        <v>0</v>
      </c>
      <c r="BB368" s="124">
        <f t="shared" si="257"/>
        <v>0</v>
      </c>
      <c r="BC368" s="124" t="str">
        <f>IF(BA368=1,VLOOKUP($AP368,Usinas!$B$3:$H$244,7,0),"")</f>
        <v/>
      </c>
    </row>
    <row r="369" spans="24:55" x14ac:dyDescent="0.3">
      <c r="X369" s="42" t="e">
        <v>#N/A</v>
      </c>
      <c r="Z369" s="124">
        <v>906</v>
      </c>
      <c r="AA369" s="124">
        <v>0</v>
      </c>
      <c r="AB369" s="101">
        <v>0</v>
      </c>
      <c r="AP369" s="124">
        <v>906</v>
      </c>
      <c r="AQ369" s="124" t="str">
        <f>IF(BA369=1,VLOOKUP($AP369,Usinas!$B$3:$F$244,2,0),"")</f>
        <v/>
      </c>
      <c r="AR369" s="124" t="str">
        <f>IF(BA369=1,VLOOKUP($AP369,Usinas!$B$3:$F$241,3,0),"")</f>
        <v/>
      </c>
      <c r="AS369" s="124" t="str">
        <f>IF(BA369,VLOOKUP($AP369,Usinas!$B$3:$F$244,4,0),"")</f>
        <v/>
      </c>
      <c r="AT369" s="124" t="str">
        <f t="shared" si="255"/>
        <v/>
      </c>
      <c r="AU369" s="133" t="str">
        <f t="shared" si="259"/>
        <v/>
      </c>
      <c r="AV369" s="133" t="str">
        <f t="shared" si="259"/>
        <v/>
      </c>
      <c r="AW369" s="133" t="str">
        <f t="shared" si="259"/>
        <v/>
      </c>
      <c r="AX369" s="133" t="str">
        <f t="shared" si="259"/>
        <v/>
      </c>
      <c r="AY369" s="133" t="str">
        <f t="shared" si="259"/>
        <v/>
      </c>
      <c r="AZ369" s="133" t="str">
        <f t="shared" si="259"/>
        <v/>
      </c>
      <c r="BA369" s="124">
        <f t="shared" si="256"/>
        <v>0</v>
      </c>
      <c r="BB369" s="124">
        <f t="shared" si="257"/>
        <v>0</v>
      </c>
      <c r="BC369" s="124" t="str">
        <f>IF(BA369=1,VLOOKUP($AP369,Usinas!$B$3:$H$244,7,0),"")</f>
        <v/>
      </c>
    </row>
    <row r="370" spans="24:55" x14ac:dyDescent="0.3">
      <c r="X370" s="42" t="e">
        <v>#N/A</v>
      </c>
      <c r="Z370" s="124">
        <v>907</v>
      </c>
      <c r="AA370" s="124">
        <v>1</v>
      </c>
      <c r="AB370" s="101">
        <v>1.0244</v>
      </c>
      <c r="AP370" s="124">
        <v>907</v>
      </c>
      <c r="AQ370" s="124" t="str">
        <f>IF(BA370=1,VLOOKUP($AP370,Usinas!$B$3:$F$244,2,0),"")</f>
        <v>CAPIVARA</v>
      </c>
      <c r="AR370" s="124" t="str">
        <f>IF(BA370=1,VLOOKUP($AP370,Usinas!$B$3:$F$241,3,0),"")</f>
        <v>BAIXO PARANÁ</v>
      </c>
      <c r="AS370" s="124" t="str">
        <f>IF(BA370,VLOOKUP($AP370,Usinas!$B$3:$F$244,4,0),"")</f>
        <v>SUDESTE</v>
      </c>
      <c r="AT370" s="124">
        <f t="shared" si="255"/>
        <v>1.0244</v>
      </c>
      <c r="AU370" s="133">
        <f t="shared" si="259"/>
        <v>1286.6464000000001</v>
      </c>
      <c r="AV370" s="133">
        <f t="shared" si="259"/>
        <v>1470.0139999999999</v>
      </c>
      <c r="AW370" s="133">
        <f t="shared" si="259"/>
        <v>1912.5547999999999</v>
      </c>
      <c r="AX370" s="133">
        <f t="shared" si="259"/>
        <v>1967.8724</v>
      </c>
      <c r="AY370" s="133">
        <f t="shared" si="259"/>
        <v>1985.2872</v>
      </c>
      <c r="AZ370" s="133">
        <f t="shared" si="259"/>
        <v>2020.1168</v>
      </c>
      <c r="BA370" s="124">
        <f t="shared" si="256"/>
        <v>1</v>
      </c>
      <c r="BB370" s="124">
        <f t="shared" si="257"/>
        <v>0</v>
      </c>
      <c r="BC370" s="124" t="str">
        <f>IF(BA370=1,VLOOKUP($AP370,Usinas!$B$3:$H$244,7,0),"")</f>
        <v>PRNPANEMA</v>
      </c>
    </row>
    <row r="371" spans="24:55" x14ac:dyDescent="0.3">
      <c r="X371" s="42" t="e">
        <v>#N/A</v>
      </c>
      <c r="Z371" s="124">
        <v>908</v>
      </c>
      <c r="AA371" s="124">
        <v>1</v>
      </c>
      <c r="AB371" s="101">
        <v>1.0244</v>
      </c>
      <c r="AP371" s="124">
        <v>908</v>
      </c>
      <c r="AQ371" s="124" t="str">
        <f>IF(BA371=1,VLOOKUP($AP371,Usinas!$B$3:$F$244,2,0),"")</f>
        <v>T.IRM. + ILHA S. - BILLINGS</v>
      </c>
      <c r="AR371" s="124" t="str">
        <f>IF(BA371=1,VLOOKUP($AP371,Usinas!$B$3:$F$241,3,0),"")</f>
        <v>BAIXO PARANÁ</v>
      </c>
      <c r="AS371" s="124" t="str">
        <f>IF(BA371,VLOOKUP($AP371,Usinas!$B$3:$F$244,4,0),"")</f>
        <v>SUDESTE</v>
      </c>
      <c r="AT371" s="124">
        <f t="shared" si="255"/>
        <v>1.0244</v>
      </c>
      <c r="AU371" s="133">
        <f t="shared" si="259"/>
        <v>8076.2671599999994</v>
      </c>
      <c r="AV371" s="133">
        <f t="shared" si="259"/>
        <v>9909.9431599999989</v>
      </c>
      <c r="AW371" s="133">
        <f t="shared" si="259"/>
        <v>11315.82972</v>
      </c>
      <c r="AX371" s="133">
        <f t="shared" si="259"/>
        <v>11964.992</v>
      </c>
      <c r="AY371" s="133">
        <f t="shared" si="259"/>
        <v>11942.250319999999</v>
      </c>
      <c r="AZ371" s="133">
        <f t="shared" si="259"/>
        <v>12236.253119999999</v>
      </c>
      <c r="BA371" s="124">
        <f t="shared" si="256"/>
        <v>1</v>
      </c>
      <c r="BB371" s="124">
        <f t="shared" si="257"/>
        <v>0</v>
      </c>
      <c r="BC371" s="124" t="str">
        <f>IF(BA371=1,VLOOKUP($AP371,Usinas!$B$3:$H$244,7,0),"")</f>
        <v>PARANA</v>
      </c>
    </row>
    <row r="372" spans="24:55" x14ac:dyDescent="0.3">
      <c r="X372" s="42" t="e">
        <v>#N/A</v>
      </c>
      <c r="Z372" s="124">
        <v>909</v>
      </c>
      <c r="AA372" s="124">
        <v>1</v>
      </c>
      <c r="AB372" s="101">
        <v>1.0244</v>
      </c>
      <c r="AP372" s="124">
        <v>909</v>
      </c>
      <c r="AQ372" s="124" t="str">
        <f>IF(BA372=1,VLOOKUP($AP372,Usinas!$B$3:$F$252,2,0),"")</f>
        <v>INCREMENTAL ITAIPU</v>
      </c>
      <c r="AR372" s="124" t="str">
        <f>IF(BA372=1,VLOOKUP($AP372,Usinas!$B$3:$F$241,3,0),"")</f>
        <v>BAIXO PARANÁ</v>
      </c>
      <c r="AS372" s="124" t="str">
        <f>IF(BA372,VLOOKUP($AP372,Usinas!$B$3:$F$244,4,0),"")</f>
        <v>SUDESTE</v>
      </c>
      <c r="AT372" s="124">
        <f t="shared" si="255"/>
        <v>1.0244</v>
      </c>
      <c r="AU372" s="133">
        <f t="shared" si="259"/>
        <v>4128.3320000000003</v>
      </c>
      <c r="AV372" s="133">
        <f t="shared" si="259"/>
        <v>3054.7608</v>
      </c>
      <c r="AW372" s="133">
        <f t="shared" si="259"/>
        <v>3740.0843999999997</v>
      </c>
      <c r="AX372" s="133">
        <f t="shared" si="259"/>
        <v>4691.7519999999995</v>
      </c>
      <c r="AY372" s="133">
        <f t="shared" si="259"/>
        <v>4590.3364000000001</v>
      </c>
      <c r="AZ372" s="133">
        <f t="shared" si="259"/>
        <v>4784.9723999999997</v>
      </c>
      <c r="BA372" s="124">
        <f t="shared" si="256"/>
        <v>1</v>
      </c>
      <c r="BB372" s="124">
        <f t="shared" si="257"/>
        <v>0</v>
      </c>
      <c r="BC372" s="124" t="str">
        <f>IF(BA372=1,VLOOKUP($AP372,Usinas!$B$3:$H$244,7,0),"")</f>
        <v>ITAIPU</v>
      </c>
    </row>
    <row r="375" spans="24:55" x14ac:dyDescent="0.3">
      <c r="AR375" s="42"/>
    </row>
    <row r="376" spans="24:55" x14ac:dyDescent="0.3">
      <c r="AR376" s="42"/>
    </row>
    <row r="377" spans="24:55" x14ac:dyDescent="0.3">
      <c r="AR377" s="42"/>
    </row>
    <row r="378" spans="24:55" x14ac:dyDescent="0.3">
      <c r="AR378" s="42"/>
    </row>
    <row r="379" spans="24:55" x14ac:dyDescent="0.3">
      <c r="AR379" s="42"/>
    </row>
    <row r="380" spans="24:55" x14ac:dyDescent="0.3">
      <c r="AR380" s="42"/>
    </row>
    <row r="381" spans="24:55" x14ac:dyDescent="0.3">
      <c r="AR381" s="42"/>
    </row>
    <row r="382" spans="24:55" x14ac:dyDescent="0.3">
      <c r="AR382" s="42"/>
    </row>
    <row r="383" spans="24:55" x14ac:dyDescent="0.3">
      <c r="AR383" s="42"/>
    </row>
    <row r="384" spans="24:55" x14ac:dyDescent="0.3">
      <c r="AR384" s="42"/>
    </row>
    <row r="385" spans="44:44" x14ac:dyDescent="0.3">
      <c r="AR385" s="42"/>
    </row>
    <row r="386" spans="44:44" x14ac:dyDescent="0.3">
      <c r="AR386" s="42"/>
    </row>
    <row r="387" spans="44:44" x14ac:dyDescent="0.3">
      <c r="AR387" s="42"/>
    </row>
    <row r="388" spans="44:44" x14ac:dyDescent="0.3">
      <c r="AR388" s="42"/>
    </row>
    <row r="389" spans="44:44" x14ac:dyDescent="0.3">
      <c r="AR389" s="42"/>
    </row>
    <row r="390" spans="44:44" x14ac:dyDescent="0.3">
      <c r="AR390" s="42"/>
    </row>
    <row r="391" spans="44:44" x14ac:dyDescent="0.3">
      <c r="AR391" s="42"/>
    </row>
    <row r="392" spans="44:44" x14ac:dyDescent="0.3">
      <c r="AR392" s="42"/>
    </row>
    <row r="393" spans="44:44" x14ac:dyDescent="0.3">
      <c r="AR393" s="42"/>
    </row>
    <row r="394" spans="44:44" x14ac:dyDescent="0.3">
      <c r="AR394" s="42"/>
    </row>
    <row r="395" spans="44:44" x14ac:dyDescent="0.3">
      <c r="AR395" s="42"/>
    </row>
    <row r="396" spans="44:44" x14ac:dyDescent="0.3">
      <c r="AR396" s="42"/>
    </row>
    <row r="397" spans="44:44" x14ac:dyDescent="0.3">
      <c r="AR397" s="42"/>
    </row>
    <row r="398" spans="44:44" x14ac:dyDescent="0.3">
      <c r="AR398" s="42"/>
    </row>
    <row r="399" spans="44:44" x14ac:dyDescent="0.3">
      <c r="AR399" s="42"/>
    </row>
    <row r="400" spans="44:44" x14ac:dyDescent="0.3">
      <c r="AR400" s="42"/>
    </row>
    <row r="401" spans="44:44" x14ac:dyDescent="0.3">
      <c r="AR401" s="42"/>
    </row>
    <row r="402" spans="44:44" x14ac:dyDescent="0.3">
      <c r="AR402" s="42"/>
    </row>
    <row r="403" spans="44:44" x14ac:dyDescent="0.3">
      <c r="AR403" s="42"/>
    </row>
    <row r="404" spans="44:44" x14ac:dyDescent="0.3">
      <c r="AR404" s="42"/>
    </row>
    <row r="405" spans="44:44" x14ac:dyDescent="0.3">
      <c r="AR405" s="42"/>
    </row>
    <row r="406" spans="44:44" x14ac:dyDescent="0.3">
      <c r="AR406" s="42"/>
    </row>
    <row r="407" spans="44:44" x14ac:dyDescent="0.3">
      <c r="AR407" s="42"/>
    </row>
    <row r="408" spans="44:44" x14ac:dyDescent="0.3">
      <c r="AR408" s="42"/>
    </row>
    <row r="409" spans="44:44" x14ac:dyDescent="0.3">
      <c r="AR409" s="42"/>
    </row>
    <row r="410" spans="44:44" x14ac:dyDescent="0.3">
      <c r="AR410" s="42"/>
    </row>
    <row r="411" spans="44:44" x14ac:dyDescent="0.3">
      <c r="AR411" s="42"/>
    </row>
    <row r="412" spans="44:44" x14ac:dyDescent="0.3">
      <c r="AR412" s="42"/>
    </row>
    <row r="413" spans="44:44" x14ac:dyDescent="0.3">
      <c r="AR413" s="42"/>
    </row>
    <row r="414" spans="44:44" x14ac:dyDescent="0.3">
      <c r="AR414" s="42"/>
    </row>
    <row r="415" spans="44:44" x14ac:dyDescent="0.3">
      <c r="AR415" s="42"/>
    </row>
    <row r="416" spans="44:44" x14ac:dyDescent="0.3">
      <c r="AR416" s="42"/>
    </row>
    <row r="417" spans="44:44" x14ac:dyDescent="0.3">
      <c r="AR417" s="42"/>
    </row>
    <row r="418" spans="44:44" x14ac:dyDescent="0.3">
      <c r="AR418" s="42"/>
    </row>
    <row r="419" spans="44:44" x14ac:dyDescent="0.3">
      <c r="AR419" s="42"/>
    </row>
    <row r="420" spans="44:44" x14ac:dyDescent="0.3">
      <c r="AR420" s="42"/>
    </row>
    <row r="421" spans="44:44" x14ac:dyDescent="0.3">
      <c r="AR421" s="42"/>
    </row>
    <row r="422" spans="44:44" x14ac:dyDescent="0.3">
      <c r="AR422" s="42"/>
    </row>
    <row r="423" spans="44:44" x14ac:dyDescent="0.3">
      <c r="AR423" s="42"/>
    </row>
    <row r="424" spans="44:44" x14ac:dyDescent="0.3">
      <c r="AR424" s="42"/>
    </row>
    <row r="425" spans="44:44" x14ac:dyDescent="0.3">
      <c r="AR425" s="42"/>
    </row>
    <row r="426" spans="44:44" x14ac:dyDescent="0.3">
      <c r="AR426" s="42"/>
    </row>
    <row r="427" spans="44:44" x14ac:dyDescent="0.3">
      <c r="AR427" s="42"/>
    </row>
    <row r="428" spans="44:44" x14ac:dyDescent="0.3">
      <c r="AR428" s="42"/>
    </row>
    <row r="429" spans="44:44" x14ac:dyDescent="0.3">
      <c r="AR429" s="42"/>
    </row>
    <row r="430" spans="44:44" x14ac:dyDescent="0.3">
      <c r="AR430" s="42"/>
    </row>
    <row r="431" spans="44:44" x14ac:dyDescent="0.3">
      <c r="AR431" s="42"/>
    </row>
    <row r="432" spans="44:44" x14ac:dyDescent="0.3">
      <c r="AR432" s="42"/>
    </row>
    <row r="433" spans="44:44" x14ac:dyDescent="0.3">
      <c r="AR433" s="42"/>
    </row>
    <row r="434" spans="44:44" x14ac:dyDescent="0.3">
      <c r="AR434" s="42"/>
    </row>
    <row r="435" spans="44:44" x14ac:dyDescent="0.3">
      <c r="AR435" s="42"/>
    </row>
    <row r="436" spans="44:44" x14ac:dyDescent="0.3">
      <c r="AR436" s="42"/>
    </row>
    <row r="437" spans="44:44" x14ac:dyDescent="0.3">
      <c r="AR437" s="42"/>
    </row>
    <row r="438" spans="44:44" x14ac:dyDescent="0.3">
      <c r="AR438" s="42"/>
    </row>
    <row r="439" spans="44:44" x14ac:dyDescent="0.3">
      <c r="AR439" s="42"/>
    </row>
    <row r="440" spans="44:44" x14ac:dyDescent="0.3">
      <c r="AR440" s="42"/>
    </row>
    <row r="441" spans="44:44" x14ac:dyDescent="0.3">
      <c r="AR441" s="42"/>
    </row>
    <row r="442" spans="44:44" x14ac:dyDescent="0.3">
      <c r="AR442" s="42"/>
    </row>
    <row r="443" spans="44:44" x14ac:dyDescent="0.3">
      <c r="AR443" s="42"/>
    </row>
    <row r="444" spans="44:44" x14ac:dyDescent="0.3">
      <c r="AR444" s="42"/>
    </row>
    <row r="445" spans="44:44" x14ac:dyDescent="0.3">
      <c r="AR445" s="42"/>
    </row>
    <row r="446" spans="44:44" x14ac:dyDescent="0.3">
      <c r="AR446" s="42"/>
    </row>
    <row r="447" spans="44:44" x14ac:dyDescent="0.3">
      <c r="AR447" s="42"/>
    </row>
    <row r="448" spans="44:44" x14ac:dyDescent="0.3">
      <c r="AR448" s="42"/>
    </row>
    <row r="449" spans="44:44" x14ac:dyDescent="0.3">
      <c r="AR449" s="42"/>
    </row>
    <row r="450" spans="44:44" x14ac:dyDescent="0.3">
      <c r="AR450" s="42"/>
    </row>
    <row r="451" spans="44:44" x14ac:dyDescent="0.3">
      <c r="AR451" s="42"/>
    </row>
    <row r="452" spans="44:44" x14ac:dyDescent="0.3">
      <c r="AR452" s="42"/>
    </row>
    <row r="453" spans="44:44" x14ac:dyDescent="0.3">
      <c r="AR453" s="42"/>
    </row>
    <row r="454" spans="44:44" x14ac:dyDescent="0.3">
      <c r="AR454" s="42"/>
    </row>
    <row r="455" spans="44:44" x14ac:dyDescent="0.3">
      <c r="AR455" s="42"/>
    </row>
    <row r="456" spans="44:44" x14ac:dyDescent="0.3">
      <c r="AR456" s="42"/>
    </row>
    <row r="457" spans="44:44" x14ac:dyDescent="0.3">
      <c r="AR457" s="42"/>
    </row>
    <row r="458" spans="44:44" x14ac:dyDescent="0.3">
      <c r="AR458" s="42"/>
    </row>
    <row r="459" spans="44:44" x14ac:dyDescent="0.3">
      <c r="AR459" s="42"/>
    </row>
    <row r="460" spans="44:44" x14ac:dyDescent="0.3">
      <c r="AR460" s="42"/>
    </row>
    <row r="461" spans="44:44" x14ac:dyDescent="0.3">
      <c r="AR461" s="42"/>
    </row>
    <row r="462" spans="44:44" x14ac:dyDescent="0.3">
      <c r="AR462" s="42"/>
    </row>
    <row r="463" spans="44:44" x14ac:dyDescent="0.3">
      <c r="AR463" s="42"/>
    </row>
    <row r="464" spans="44:44" x14ac:dyDescent="0.3">
      <c r="AR464" s="42"/>
    </row>
    <row r="465" spans="44:44" x14ac:dyDescent="0.3">
      <c r="AR465" s="42"/>
    </row>
    <row r="466" spans="44:44" x14ac:dyDescent="0.3">
      <c r="AR466" s="42"/>
    </row>
    <row r="467" spans="44:44" x14ac:dyDescent="0.3">
      <c r="AR467" s="42"/>
    </row>
    <row r="468" spans="44:44" x14ac:dyDescent="0.3">
      <c r="AR468" s="42"/>
    </row>
    <row r="469" spans="44:44" x14ac:dyDescent="0.3">
      <c r="AR469" s="42"/>
    </row>
    <row r="470" spans="44:44" x14ac:dyDescent="0.3">
      <c r="AR470" s="42"/>
    </row>
    <row r="471" spans="44:44" x14ac:dyDescent="0.3">
      <c r="AR471" s="42"/>
    </row>
    <row r="472" spans="44:44" x14ac:dyDescent="0.3">
      <c r="AR472" s="42"/>
    </row>
    <row r="473" spans="44:44" x14ac:dyDescent="0.3">
      <c r="AR473" s="42"/>
    </row>
    <row r="474" spans="44:44" x14ac:dyDescent="0.3">
      <c r="AR474" s="42"/>
    </row>
    <row r="475" spans="44:44" x14ac:dyDescent="0.3">
      <c r="AR475" s="42"/>
    </row>
    <row r="476" spans="44:44" x14ac:dyDescent="0.3">
      <c r="AR476" s="42"/>
    </row>
    <row r="477" spans="44:44" x14ac:dyDescent="0.3">
      <c r="AR477" s="42"/>
    </row>
    <row r="478" spans="44:44" x14ac:dyDescent="0.3">
      <c r="AR478" s="42"/>
    </row>
    <row r="479" spans="44:44" x14ac:dyDescent="0.3">
      <c r="AR479" s="42"/>
    </row>
    <row r="480" spans="44:44" x14ac:dyDescent="0.3">
      <c r="AR480" s="42"/>
    </row>
    <row r="481" spans="44:44" x14ac:dyDescent="0.3">
      <c r="AR481" s="42"/>
    </row>
    <row r="482" spans="44:44" x14ac:dyDescent="0.3">
      <c r="AR482" s="42"/>
    </row>
    <row r="483" spans="44:44" x14ac:dyDescent="0.3">
      <c r="AR483" s="42"/>
    </row>
    <row r="484" spans="44:44" x14ac:dyDescent="0.3">
      <c r="AR484" s="42"/>
    </row>
    <row r="485" spans="44:44" x14ac:dyDescent="0.3">
      <c r="AR485" s="42"/>
    </row>
    <row r="486" spans="44:44" x14ac:dyDescent="0.3">
      <c r="AR486" s="42"/>
    </row>
    <row r="487" spans="44:44" x14ac:dyDescent="0.3">
      <c r="AR487" s="42"/>
    </row>
    <row r="488" spans="44:44" x14ac:dyDescent="0.3">
      <c r="AR488" s="42"/>
    </row>
    <row r="489" spans="44:44" x14ac:dyDescent="0.3">
      <c r="AR489" s="42"/>
    </row>
    <row r="490" spans="44:44" x14ac:dyDescent="0.3">
      <c r="AR490" s="42"/>
    </row>
    <row r="491" spans="44:44" x14ac:dyDescent="0.3">
      <c r="AR491" s="42"/>
    </row>
    <row r="492" spans="44:44" x14ac:dyDescent="0.3">
      <c r="AR492" s="42"/>
    </row>
    <row r="493" spans="44:44" x14ac:dyDescent="0.3">
      <c r="AR493" s="42"/>
    </row>
    <row r="494" spans="44:44" x14ac:dyDescent="0.3">
      <c r="AR494" s="42"/>
    </row>
    <row r="495" spans="44:44" x14ac:dyDescent="0.3">
      <c r="AR495" s="42"/>
    </row>
    <row r="496" spans="44:44" x14ac:dyDescent="0.3">
      <c r="AR496" s="42"/>
    </row>
    <row r="497" spans="44:44" x14ac:dyDescent="0.3">
      <c r="AR497" s="42"/>
    </row>
    <row r="498" spans="44:44" x14ac:dyDescent="0.3">
      <c r="AR498" s="42"/>
    </row>
    <row r="499" spans="44:44" x14ac:dyDescent="0.3">
      <c r="AR499" s="42"/>
    </row>
    <row r="500" spans="44:44" x14ac:dyDescent="0.3">
      <c r="AR500" s="42"/>
    </row>
    <row r="501" spans="44:44" x14ac:dyDescent="0.3">
      <c r="AR501" s="42"/>
    </row>
    <row r="502" spans="44:44" x14ac:dyDescent="0.3">
      <c r="AR502" s="42"/>
    </row>
    <row r="503" spans="44:44" x14ac:dyDescent="0.3">
      <c r="AR503" s="42"/>
    </row>
    <row r="504" spans="44:44" x14ac:dyDescent="0.3">
      <c r="AR504" s="42"/>
    </row>
    <row r="505" spans="44:44" x14ac:dyDescent="0.3">
      <c r="AR505" s="42"/>
    </row>
    <row r="506" spans="44:44" x14ac:dyDescent="0.3">
      <c r="AR506" s="42"/>
    </row>
    <row r="507" spans="44:44" x14ac:dyDescent="0.3">
      <c r="AR507" s="42"/>
    </row>
    <row r="508" spans="44:44" x14ac:dyDescent="0.3">
      <c r="AR508" s="42"/>
    </row>
    <row r="509" spans="44:44" x14ac:dyDescent="0.3">
      <c r="AR509" s="42"/>
    </row>
    <row r="510" spans="44:44" x14ac:dyDescent="0.3">
      <c r="AR510" s="42"/>
    </row>
    <row r="511" spans="44:44" x14ac:dyDescent="0.3">
      <c r="AR511" s="42"/>
    </row>
    <row r="512" spans="44:44" x14ac:dyDescent="0.3">
      <c r="AR512" s="42"/>
    </row>
    <row r="513" spans="44:44" x14ac:dyDescent="0.3">
      <c r="AR513" s="42"/>
    </row>
    <row r="514" spans="44:44" x14ac:dyDescent="0.3">
      <c r="AR514" s="42"/>
    </row>
    <row r="515" spans="44:44" x14ac:dyDescent="0.3">
      <c r="AR515" s="42"/>
    </row>
    <row r="516" spans="44:44" x14ac:dyDescent="0.3">
      <c r="AR516" s="42"/>
    </row>
    <row r="517" spans="44:44" x14ac:dyDescent="0.3">
      <c r="AR517" s="42"/>
    </row>
    <row r="518" spans="44:44" x14ac:dyDescent="0.3">
      <c r="AR518" s="42"/>
    </row>
    <row r="519" spans="44:44" x14ac:dyDescent="0.3">
      <c r="AR519" s="42"/>
    </row>
    <row r="520" spans="44:44" x14ac:dyDescent="0.3">
      <c r="AR520" s="42"/>
    </row>
    <row r="521" spans="44:44" x14ac:dyDescent="0.3">
      <c r="AR521" s="42"/>
    </row>
    <row r="522" spans="44:44" x14ac:dyDescent="0.3">
      <c r="AR522" s="42"/>
    </row>
    <row r="523" spans="44:44" x14ac:dyDescent="0.3">
      <c r="AR523" s="42"/>
    </row>
    <row r="524" spans="44:44" x14ac:dyDescent="0.3">
      <c r="AR524" s="42"/>
    </row>
    <row r="525" spans="44:44" x14ac:dyDescent="0.3">
      <c r="AR525" s="42"/>
    </row>
    <row r="526" spans="44:44" x14ac:dyDescent="0.3">
      <c r="AR526" s="42"/>
    </row>
    <row r="527" spans="44:44" x14ac:dyDescent="0.3">
      <c r="AR527" s="42"/>
    </row>
    <row r="528" spans="44:44" x14ac:dyDescent="0.3">
      <c r="AR528" s="42"/>
    </row>
    <row r="529" spans="44:44" x14ac:dyDescent="0.3">
      <c r="AR529" s="42"/>
    </row>
    <row r="530" spans="44:44" x14ac:dyDescent="0.3">
      <c r="AR530" s="42"/>
    </row>
    <row r="531" spans="44:44" x14ac:dyDescent="0.3">
      <c r="AR531" s="42"/>
    </row>
    <row r="532" spans="44:44" x14ac:dyDescent="0.3">
      <c r="AR532" s="42"/>
    </row>
    <row r="533" spans="44:44" x14ac:dyDescent="0.3">
      <c r="AR533" s="42"/>
    </row>
    <row r="534" spans="44:44" x14ac:dyDescent="0.3">
      <c r="AR534" s="42"/>
    </row>
    <row r="535" spans="44:44" x14ac:dyDescent="0.3">
      <c r="AR535" s="42"/>
    </row>
    <row r="536" spans="44:44" x14ac:dyDescent="0.3">
      <c r="AR536" s="42"/>
    </row>
    <row r="537" spans="44:44" x14ac:dyDescent="0.3">
      <c r="AR537" s="42"/>
    </row>
    <row r="538" spans="44:44" x14ac:dyDescent="0.3">
      <c r="AR538" s="42"/>
    </row>
    <row r="539" spans="44:44" x14ac:dyDescent="0.3">
      <c r="AR539" s="42"/>
    </row>
    <row r="540" spans="44:44" x14ac:dyDescent="0.3">
      <c r="AR540" s="42"/>
    </row>
    <row r="541" spans="44:44" x14ac:dyDescent="0.3">
      <c r="AR541" s="42"/>
    </row>
    <row r="542" spans="44:44" x14ac:dyDescent="0.3">
      <c r="AR542" s="42"/>
    </row>
    <row r="543" spans="44:44" x14ac:dyDescent="0.3">
      <c r="AR543" s="42"/>
    </row>
    <row r="544" spans="44:44" x14ac:dyDescent="0.3">
      <c r="AR544" s="42"/>
    </row>
    <row r="545" spans="44:44" x14ac:dyDescent="0.3">
      <c r="AR545" s="42"/>
    </row>
    <row r="546" spans="44:44" x14ac:dyDescent="0.3">
      <c r="AR546" s="42"/>
    </row>
    <row r="547" spans="44:44" x14ac:dyDescent="0.3">
      <c r="AR547" s="42"/>
    </row>
    <row r="548" spans="44:44" x14ac:dyDescent="0.3">
      <c r="AR548" s="42"/>
    </row>
    <row r="549" spans="44:44" x14ac:dyDescent="0.3">
      <c r="AR549" s="42"/>
    </row>
    <row r="550" spans="44:44" x14ac:dyDescent="0.3">
      <c r="AR550" s="42"/>
    </row>
    <row r="551" spans="44:44" x14ac:dyDescent="0.3">
      <c r="AR551" s="42"/>
    </row>
    <row r="552" spans="44:44" x14ac:dyDescent="0.3">
      <c r="AR552" s="42"/>
    </row>
    <row r="553" spans="44:44" x14ac:dyDescent="0.3">
      <c r="AR553" s="42"/>
    </row>
    <row r="554" spans="44:44" x14ac:dyDescent="0.3">
      <c r="AR554" s="42"/>
    </row>
    <row r="555" spans="44:44" x14ac:dyDescent="0.3">
      <c r="AR555" s="42"/>
    </row>
    <row r="556" spans="44:44" x14ac:dyDescent="0.3">
      <c r="AR556" s="42"/>
    </row>
    <row r="557" spans="44:44" x14ac:dyDescent="0.3">
      <c r="AR557" s="42"/>
    </row>
    <row r="558" spans="44:44" x14ac:dyDescent="0.3">
      <c r="AR558" s="42"/>
    </row>
    <row r="559" spans="44:44" x14ac:dyDescent="0.3">
      <c r="AR559" s="42"/>
    </row>
    <row r="560" spans="44:44" x14ac:dyDescent="0.3">
      <c r="AR560" s="42"/>
    </row>
    <row r="561" spans="44:44" x14ac:dyDescent="0.3">
      <c r="AR561" s="42"/>
    </row>
    <row r="562" spans="44:44" x14ac:dyDescent="0.3">
      <c r="AR562" s="42"/>
    </row>
    <row r="563" spans="44:44" x14ac:dyDescent="0.3">
      <c r="AR563" s="42"/>
    </row>
    <row r="564" spans="44:44" x14ac:dyDescent="0.3">
      <c r="AR564" s="42"/>
    </row>
    <row r="565" spans="44:44" x14ac:dyDescent="0.3">
      <c r="AR565" s="42"/>
    </row>
    <row r="566" spans="44:44" x14ac:dyDescent="0.3">
      <c r="AR566" s="42"/>
    </row>
    <row r="567" spans="44:44" x14ac:dyDescent="0.3">
      <c r="AR567" s="42"/>
    </row>
    <row r="568" spans="44:44" x14ac:dyDescent="0.3">
      <c r="AR568" s="42"/>
    </row>
    <row r="569" spans="44:44" x14ac:dyDescent="0.3">
      <c r="AR569" s="42"/>
    </row>
    <row r="570" spans="44:44" x14ac:dyDescent="0.3">
      <c r="AR570" s="42"/>
    </row>
    <row r="571" spans="44:44" x14ac:dyDescent="0.3">
      <c r="AR571" s="42"/>
    </row>
    <row r="572" spans="44:44" x14ac:dyDescent="0.3">
      <c r="AR572" s="42"/>
    </row>
    <row r="573" spans="44:44" x14ac:dyDescent="0.3">
      <c r="AR573" s="42"/>
    </row>
    <row r="574" spans="44:44" x14ac:dyDescent="0.3">
      <c r="AR574" s="42"/>
    </row>
    <row r="575" spans="44:44" x14ac:dyDescent="0.3">
      <c r="AR575" s="42"/>
    </row>
    <row r="576" spans="44:44" x14ac:dyDescent="0.3">
      <c r="AR576" s="42"/>
    </row>
    <row r="577" spans="44:44" x14ac:dyDescent="0.3">
      <c r="AR577" s="42"/>
    </row>
    <row r="578" spans="44:44" x14ac:dyDescent="0.3">
      <c r="AR578" s="42"/>
    </row>
    <row r="579" spans="44:44" x14ac:dyDescent="0.3">
      <c r="AR579" s="42"/>
    </row>
    <row r="580" spans="44:44" x14ac:dyDescent="0.3">
      <c r="AR580" s="42"/>
    </row>
    <row r="581" spans="44:44" x14ac:dyDescent="0.3">
      <c r="AR581" s="42"/>
    </row>
    <row r="582" spans="44:44" x14ac:dyDescent="0.3">
      <c r="AR582" s="42"/>
    </row>
    <row r="583" spans="44:44" x14ac:dyDescent="0.3">
      <c r="AR583" s="42"/>
    </row>
    <row r="584" spans="44:44" x14ac:dyDescent="0.3">
      <c r="AR584" s="42"/>
    </row>
    <row r="585" spans="44:44" x14ac:dyDescent="0.3">
      <c r="AR585" s="42"/>
    </row>
    <row r="586" spans="44:44" x14ac:dyDescent="0.3">
      <c r="AR586" s="42"/>
    </row>
    <row r="587" spans="44:44" x14ac:dyDescent="0.3">
      <c r="AR587" s="42"/>
    </row>
    <row r="588" spans="44:44" x14ac:dyDescent="0.3">
      <c r="AR588" s="42"/>
    </row>
    <row r="589" spans="44:44" x14ac:dyDescent="0.3">
      <c r="AR589" s="42"/>
    </row>
    <row r="590" spans="44:44" x14ac:dyDescent="0.3">
      <c r="AR590" s="42"/>
    </row>
    <row r="591" spans="44:44" x14ac:dyDescent="0.3">
      <c r="AR591" s="42"/>
    </row>
    <row r="592" spans="44:44" x14ac:dyDescent="0.3">
      <c r="AR592" s="42"/>
    </row>
    <row r="593" spans="44:44" x14ac:dyDescent="0.3">
      <c r="AR593" s="42"/>
    </row>
    <row r="594" spans="44:44" x14ac:dyDescent="0.3">
      <c r="AR594" s="42"/>
    </row>
    <row r="595" spans="44:44" x14ac:dyDescent="0.3">
      <c r="AR595" s="42"/>
    </row>
    <row r="596" spans="44:44" x14ac:dyDescent="0.3">
      <c r="AR596" s="42"/>
    </row>
    <row r="597" spans="44:44" x14ac:dyDescent="0.3">
      <c r="AR597" s="42"/>
    </row>
    <row r="598" spans="44:44" x14ac:dyDescent="0.3">
      <c r="AR598" s="42"/>
    </row>
    <row r="599" spans="44:44" x14ac:dyDescent="0.3">
      <c r="AR599" s="42"/>
    </row>
    <row r="600" spans="44:44" x14ac:dyDescent="0.3">
      <c r="AR600" s="42"/>
    </row>
    <row r="601" spans="44:44" x14ac:dyDescent="0.3">
      <c r="AR601" s="42"/>
    </row>
    <row r="602" spans="44:44" x14ac:dyDescent="0.3">
      <c r="AR602" s="42"/>
    </row>
    <row r="603" spans="44:44" x14ac:dyDescent="0.3">
      <c r="AR603" s="42"/>
    </row>
    <row r="604" spans="44:44" x14ac:dyDescent="0.3">
      <c r="AR604" s="42"/>
    </row>
    <row r="605" spans="44:44" x14ac:dyDescent="0.3">
      <c r="AR605" s="42"/>
    </row>
    <row r="606" spans="44:44" x14ac:dyDescent="0.3">
      <c r="AR606" s="42"/>
    </row>
    <row r="607" spans="44:44" x14ac:dyDescent="0.3">
      <c r="AR607" s="42"/>
    </row>
    <row r="608" spans="44:44" x14ac:dyDescent="0.3">
      <c r="AR608" s="42"/>
    </row>
    <row r="609" spans="44:44" x14ac:dyDescent="0.3">
      <c r="AR609" s="42"/>
    </row>
    <row r="610" spans="44:44" x14ac:dyDescent="0.3">
      <c r="AR610" s="42"/>
    </row>
    <row r="611" spans="44:44" x14ac:dyDescent="0.3">
      <c r="AR611" s="42"/>
    </row>
    <row r="612" spans="44:44" x14ac:dyDescent="0.3">
      <c r="AR612" s="42"/>
    </row>
    <row r="613" spans="44:44" x14ac:dyDescent="0.3">
      <c r="AR613" s="42"/>
    </row>
    <row r="614" spans="44:44" x14ac:dyDescent="0.3">
      <c r="AR614" s="42"/>
    </row>
    <row r="615" spans="44:44" x14ac:dyDescent="0.3">
      <c r="AR615" s="42"/>
    </row>
    <row r="616" spans="44:44" x14ac:dyDescent="0.3">
      <c r="AR616" s="42"/>
    </row>
    <row r="617" spans="44:44" x14ac:dyDescent="0.3">
      <c r="AR617" s="42"/>
    </row>
    <row r="618" spans="44:44" x14ac:dyDescent="0.3">
      <c r="AR618" s="42"/>
    </row>
    <row r="619" spans="44:44" x14ac:dyDescent="0.3">
      <c r="AR619" s="42"/>
    </row>
    <row r="620" spans="44:44" x14ac:dyDescent="0.3">
      <c r="AR620" s="42"/>
    </row>
    <row r="621" spans="44:44" x14ac:dyDescent="0.3">
      <c r="AR621" s="42"/>
    </row>
    <row r="622" spans="44:44" x14ac:dyDescent="0.3">
      <c r="AR622" s="42"/>
    </row>
    <row r="623" spans="44:44" x14ac:dyDescent="0.3">
      <c r="AR623" s="42"/>
    </row>
    <row r="624" spans="44:44" x14ac:dyDescent="0.3">
      <c r="AR624" s="42"/>
    </row>
    <row r="625" spans="44:44" x14ac:dyDescent="0.3">
      <c r="AR625" s="42"/>
    </row>
    <row r="626" spans="44:44" x14ac:dyDescent="0.3">
      <c r="AR626" s="42"/>
    </row>
    <row r="627" spans="44:44" x14ac:dyDescent="0.3">
      <c r="AR627" s="42"/>
    </row>
    <row r="628" spans="44:44" x14ac:dyDescent="0.3">
      <c r="AR628" s="42"/>
    </row>
    <row r="629" spans="44:44" x14ac:dyDescent="0.3">
      <c r="AR629" s="42"/>
    </row>
    <row r="630" spans="44:44" x14ac:dyDescent="0.3">
      <c r="AR630" s="42"/>
    </row>
    <row r="631" spans="44:44" x14ac:dyDescent="0.3">
      <c r="AR631" s="42"/>
    </row>
    <row r="632" spans="44:44" x14ac:dyDescent="0.3">
      <c r="AR632" s="42"/>
    </row>
    <row r="633" spans="44:44" x14ac:dyDescent="0.3">
      <c r="AR633" s="42"/>
    </row>
    <row r="634" spans="44:44" x14ac:dyDescent="0.3">
      <c r="AR634" s="42"/>
    </row>
    <row r="635" spans="44:44" x14ac:dyDescent="0.3">
      <c r="AR635" s="42"/>
    </row>
    <row r="636" spans="44:44" x14ac:dyDescent="0.3">
      <c r="AR636" s="42"/>
    </row>
    <row r="637" spans="44:44" x14ac:dyDescent="0.3">
      <c r="AR637" s="42"/>
    </row>
    <row r="638" spans="44:44" x14ac:dyDescent="0.3">
      <c r="AR638" s="42"/>
    </row>
    <row r="639" spans="44:44" x14ac:dyDescent="0.3">
      <c r="AR639" s="42"/>
    </row>
    <row r="640" spans="44:44" x14ac:dyDescent="0.3">
      <c r="AR640" s="42"/>
    </row>
    <row r="641" spans="44:44" x14ac:dyDescent="0.3">
      <c r="AR641" s="42"/>
    </row>
    <row r="642" spans="44:44" x14ac:dyDescent="0.3">
      <c r="AR642" s="42"/>
    </row>
    <row r="643" spans="44:44" x14ac:dyDescent="0.3">
      <c r="AR643" s="42"/>
    </row>
    <row r="644" spans="44:44" x14ac:dyDescent="0.3">
      <c r="AR644" s="42"/>
    </row>
    <row r="645" spans="44:44" x14ac:dyDescent="0.3">
      <c r="AR645" s="42"/>
    </row>
    <row r="646" spans="44:44" x14ac:dyDescent="0.3">
      <c r="AR646" s="42"/>
    </row>
    <row r="647" spans="44:44" x14ac:dyDescent="0.3">
      <c r="AR647" s="42"/>
    </row>
    <row r="648" spans="44:44" x14ac:dyDescent="0.3">
      <c r="AR648" s="42"/>
    </row>
    <row r="649" spans="44:44" x14ac:dyDescent="0.3">
      <c r="AR649" s="42"/>
    </row>
    <row r="650" spans="44:44" x14ac:dyDescent="0.3">
      <c r="AR650" s="42"/>
    </row>
    <row r="651" spans="44:44" x14ac:dyDescent="0.3">
      <c r="AR651" s="42"/>
    </row>
    <row r="652" spans="44:44" x14ac:dyDescent="0.3">
      <c r="AR652" s="42"/>
    </row>
    <row r="653" spans="44:44" x14ac:dyDescent="0.3">
      <c r="AR653" s="42"/>
    </row>
    <row r="654" spans="44:44" x14ac:dyDescent="0.3">
      <c r="AR654" s="42"/>
    </row>
    <row r="655" spans="44:44" x14ac:dyDescent="0.3">
      <c r="AR655" s="42"/>
    </row>
    <row r="656" spans="44:44" x14ac:dyDescent="0.3">
      <c r="AR656" s="42"/>
    </row>
    <row r="657" spans="44:44" x14ac:dyDescent="0.3">
      <c r="AR657" s="42"/>
    </row>
    <row r="658" spans="44:44" x14ac:dyDescent="0.3">
      <c r="AR658" s="42"/>
    </row>
    <row r="659" spans="44:44" x14ac:dyDescent="0.3">
      <c r="AR659" s="42"/>
    </row>
    <row r="660" spans="44:44" x14ac:dyDescent="0.3">
      <c r="AR660" s="42"/>
    </row>
    <row r="661" spans="44:44" x14ac:dyDescent="0.3">
      <c r="AR661" s="42"/>
    </row>
    <row r="662" spans="44:44" x14ac:dyDescent="0.3">
      <c r="AR662" s="42"/>
    </row>
    <row r="663" spans="44:44" x14ac:dyDescent="0.3">
      <c r="AR663" s="42"/>
    </row>
    <row r="664" spans="44:44" x14ac:dyDescent="0.3">
      <c r="AR664" s="42"/>
    </row>
    <row r="665" spans="44:44" x14ac:dyDescent="0.3">
      <c r="AR665" s="42"/>
    </row>
    <row r="666" spans="44:44" x14ac:dyDescent="0.3">
      <c r="AR666" s="42"/>
    </row>
    <row r="667" spans="44:44" x14ac:dyDescent="0.3">
      <c r="AR667" s="42"/>
    </row>
    <row r="668" spans="44:44" x14ac:dyDescent="0.3">
      <c r="AR668" s="42"/>
    </row>
    <row r="669" spans="44:44" x14ac:dyDescent="0.3">
      <c r="AR669" s="42"/>
    </row>
    <row r="670" spans="44:44" x14ac:dyDescent="0.3">
      <c r="AR670" s="42"/>
    </row>
    <row r="671" spans="44:44" x14ac:dyDescent="0.3">
      <c r="AR671" s="42"/>
    </row>
    <row r="672" spans="44:44" x14ac:dyDescent="0.3">
      <c r="AR672" s="42"/>
    </row>
    <row r="673" spans="44:44" x14ac:dyDescent="0.3">
      <c r="AR673" s="42"/>
    </row>
    <row r="674" spans="44:44" x14ac:dyDescent="0.3">
      <c r="AR674" s="42"/>
    </row>
    <row r="675" spans="44:44" x14ac:dyDescent="0.3">
      <c r="AR675" s="42"/>
    </row>
    <row r="676" spans="44:44" x14ac:dyDescent="0.3">
      <c r="AR676" s="42"/>
    </row>
    <row r="677" spans="44:44" x14ac:dyDescent="0.3">
      <c r="AR677" s="42"/>
    </row>
    <row r="678" spans="44:44" x14ac:dyDescent="0.3">
      <c r="AR678" s="42"/>
    </row>
    <row r="679" spans="44:44" x14ac:dyDescent="0.3">
      <c r="AR679" s="42"/>
    </row>
    <row r="680" spans="44:44" x14ac:dyDescent="0.3">
      <c r="AR680" s="42"/>
    </row>
    <row r="681" spans="44:44" x14ac:dyDescent="0.3">
      <c r="AR681" s="42"/>
    </row>
    <row r="682" spans="44:44" x14ac:dyDescent="0.3">
      <c r="AR682" s="42"/>
    </row>
    <row r="683" spans="44:44" x14ac:dyDescent="0.3">
      <c r="AR683" s="42"/>
    </row>
    <row r="684" spans="44:44" x14ac:dyDescent="0.3">
      <c r="AR684" s="42"/>
    </row>
    <row r="685" spans="44:44" x14ac:dyDescent="0.3">
      <c r="AR685" s="42"/>
    </row>
    <row r="686" spans="44:44" x14ac:dyDescent="0.3">
      <c r="AR686" s="42"/>
    </row>
    <row r="687" spans="44:44" x14ac:dyDescent="0.3">
      <c r="AR687" s="42"/>
    </row>
    <row r="688" spans="44:44" x14ac:dyDescent="0.3">
      <c r="AR688" s="42"/>
    </row>
    <row r="689" spans="44:44" x14ac:dyDescent="0.3">
      <c r="AR689" s="42"/>
    </row>
    <row r="690" spans="44:44" x14ac:dyDescent="0.3">
      <c r="AR690" s="42"/>
    </row>
    <row r="691" spans="44:44" x14ac:dyDescent="0.3">
      <c r="AR691" s="42"/>
    </row>
    <row r="692" spans="44:44" x14ac:dyDescent="0.3">
      <c r="AR692" s="42"/>
    </row>
    <row r="693" spans="44:44" x14ac:dyDescent="0.3">
      <c r="AR693" s="42"/>
    </row>
    <row r="694" spans="44:44" x14ac:dyDescent="0.3">
      <c r="AR694" s="42"/>
    </row>
    <row r="695" spans="44:44" x14ac:dyDescent="0.3">
      <c r="AR695" s="42"/>
    </row>
    <row r="696" spans="44:44" x14ac:dyDescent="0.3">
      <c r="AR696" s="42"/>
    </row>
    <row r="697" spans="44:44" x14ac:dyDescent="0.3">
      <c r="AR697" s="42"/>
    </row>
    <row r="698" spans="44:44" x14ac:dyDescent="0.3">
      <c r="AR698" s="42"/>
    </row>
    <row r="699" spans="44:44" x14ac:dyDescent="0.3">
      <c r="AR699" s="42"/>
    </row>
    <row r="700" spans="44:44" x14ac:dyDescent="0.3">
      <c r="AR700" s="42"/>
    </row>
    <row r="701" spans="44:44" x14ac:dyDescent="0.3">
      <c r="AR701" s="42"/>
    </row>
    <row r="702" spans="44:44" x14ac:dyDescent="0.3">
      <c r="AR702" s="42"/>
    </row>
    <row r="703" spans="44:44" x14ac:dyDescent="0.3">
      <c r="AR703" s="42"/>
    </row>
    <row r="704" spans="44:44" x14ac:dyDescent="0.3">
      <c r="AR704" s="42"/>
    </row>
    <row r="705" spans="44:44" x14ac:dyDescent="0.3">
      <c r="AR705" s="42"/>
    </row>
    <row r="706" spans="44:44" x14ac:dyDescent="0.3">
      <c r="AR706" s="42"/>
    </row>
    <row r="707" spans="44:44" x14ac:dyDescent="0.3">
      <c r="AR707" s="42"/>
    </row>
    <row r="708" spans="44:44" x14ac:dyDescent="0.3">
      <c r="AR708" s="42"/>
    </row>
    <row r="709" spans="44:44" x14ac:dyDescent="0.3">
      <c r="AR709" s="42"/>
    </row>
    <row r="710" spans="44:44" x14ac:dyDescent="0.3">
      <c r="AR710" s="42"/>
    </row>
    <row r="711" spans="44:44" x14ac:dyDescent="0.3">
      <c r="AR711" s="42"/>
    </row>
    <row r="712" spans="44:44" x14ac:dyDescent="0.3">
      <c r="AR712" s="42"/>
    </row>
    <row r="713" spans="44:44" x14ac:dyDescent="0.3">
      <c r="AR713" s="42"/>
    </row>
    <row r="714" spans="44:44" x14ac:dyDescent="0.3">
      <c r="AR714" s="42"/>
    </row>
    <row r="715" spans="44:44" x14ac:dyDescent="0.3">
      <c r="AR715" s="42"/>
    </row>
    <row r="716" spans="44:44" x14ac:dyDescent="0.3">
      <c r="AR716" s="42"/>
    </row>
    <row r="717" spans="44:44" x14ac:dyDescent="0.3">
      <c r="AR717" s="42"/>
    </row>
    <row r="718" spans="44:44" x14ac:dyDescent="0.3">
      <c r="AR718" s="42"/>
    </row>
    <row r="719" spans="44:44" x14ac:dyDescent="0.3">
      <c r="AR719" s="42"/>
    </row>
    <row r="720" spans="44:44" x14ac:dyDescent="0.3">
      <c r="AR720" s="42"/>
    </row>
    <row r="721" spans="44:44" x14ac:dyDescent="0.3">
      <c r="AR721" s="42"/>
    </row>
    <row r="722" spans="44:44" x14ac:dyDescent="0.3">
      <c r="AR722" s="42"/>
    </row>
    <row r="723" spans="44:44" x14ac:dyDescent="0.3">
      <c r="AR723" s="42"/>
    </row>
    <row r="724" spans="44:44" x14ac:dyDescent="0.3">
      <c r="AR724" s="42"/>
    </row>
    <row r="725" spans="44:44" x14ac:dyDescent="0.3">
      <c r="AR725" s="42"/>
    </row>
    <row r="726" spans="44:44" x14ac:dyDescent="0.3">
      <c r="AR726" s="42"/>
    </row>
  </sheetData>
  <autoFilter ref="AP20:BC20" xr:uid="{00000000-0001-0000-0100-000000000000}"/>
  <sortState xmlns:xlrd2="http://schemas.microsoft.com/office/spreadsheetml/2017/richdata2" ref="T33:T66">
    <sortCondition ref="T33"/>
  </sortState>
  <mergeCells count="16">
    <mergeCell ref="BE67:BK67"/>
    <mergeCell ref="B29:H29"/>
    <mergeCell ref="BE19:BK19"/>
    <mergeCell ref="BM20:BT20"/>
    <mergeCell ref="W19:X19"/>
    <mergeCell ref="V3:V8"/>
    <mergeCell ref="AR8:AW8"/>
    <mergeCell ref="AR3:AW3"/>
    <mergeCell ref="AD18:AN18"/>
    <mergeCell ref="BM15:BO15"/>
    <mergeCell ref="AR1:AW1"/>
    <mergeCell ref="AR13:AW13"/>
    <mergeCell ref="AJ8:AO8"/>
    <mergeCell ref="AJ13:AO13"/>
    <mergeCell ref="AJ3:AO3"/>
    <mergeCell ref="AJ1:AO1"/>
  </mergeCells>
  <conditionalFormatting sqref="M3:M8 M11:M16 M35:M66 M19:M32">
    <cfRule type="expression" dxfId="23" priority="93">
      <formula>OR($J$12="RV0",$J$12="RV1")</formula>
    </cfRule>
  </conditionalFormatting>
  <conditionalFormatting sqref="N11:N16 N35:N66 N3:N8 N19:N32">
    <cfRule type="expression" dxfId="22" priority="92">
      <formula>OR($J$12="RV1",$J$12="RV2")</formula>
    </cfRule>
  </conditionalFormatting>
  <conditionalFormatting sqref="O3:O8 O11:O16 O35:O66 O19:O32">
    <cfRule type="expression" dxfId="21" priority="91">
      <formula>OR($J$12="RV2",$J$12="RV3")</formula>
    </cfRule>
  </conditionalFormatting>
  <conditionalFormatting sqref="P3:P8 P11:P16 P35:P66 P19:P32">
    <cfRule type="expression" dxfId="20" priority="88">
      <formula>OR($J$12="RV3",$J$12="RV4")</formula>
    </cfRule>
  </conditionalFormatting>
  <conditionalFormatting sqref="Q3:Q8 Q11:Q16 Q35:Q66 Q19:Q32">
    <cfRule type="expression" dxfId="19" priority="87">
      <formula>OR($J$12="RV4",$J$12="RV5")</formula>
    </cfRule>
  </conditionalFormatting>
  <conditionalFormatting sqref="R3:R8 R34:R66 R10:R32">
    <cfRule type="expression" dxfId="18" priority="85">
      <formula>$J$12="RV5"</formula>
    </cfRule>
  </conditionalFormatting>
  <conditionalFormatting sqref="AR2">
    <cfRule type="expression" dxfId="17" priority="66">
      <formula>OR($J$12="RV0",$J$12="RV1")</formula>
    </cfRule>
  </conditionalFormatting>
  <conditionalFormatting sqref="AS2">
    <cfRule type="expression" dxfId="16" priority="65">
      <formula>OR($J$12="RV1",$J$12="RV2")</formula>
    </cfRule>
  </conditionalFormatting>
  <conditionalFormatting sqref="AT2">
    <cfRule type="expression" dxfId="15" priority="64">
      <formula>OR($J$12="RV2",$J$12="RV3")</formula>
    </cfRule>
  </conditionalFormatting>
  <conditionalFormatting sqref="AU2">
    <cfRule type="expression" dxfId="14" priority="63">
      <formula>OR($J$12="RV3",$J$12="RV4")</formula>
    </cfRule>
  </conditionalFormatting>
  <conditionalFormatting sqref="AV2">
    <cfRule type="expression" dxfId="13" priority="62">
      <formula>OR($J$12="RV4",$J$12="RV5")</formula>
    </cfRule>
  </conditionalFormatting>
  <conditionalFormatting sqref="AW2">
    <cfRule type="expression" dxfId="12" priority="61">
      <formula>$J$12="RV5"</formula>
    </cfRule>
  </conditionalFormatting>
  <conditionalFormatting sqref="BR11:BR15">
    <cfRule type="expression" dxfId="11" priority="60">
      <formula>OR($J$12="RV0",$J$12="RV1")</formula>
    </cfRule>
  </conditionalFormatting>
  <conditionalFormatting sqref="AJ2">
    <cfRule type="expression" dxfId="10" priority="53">
      <formula>OR($J$12="RV0",$J$12="RV1")</formula>
    </cfRule>
  </conditionalFormatting>
  <conditionalFormatting sqref="AK2">
    <cfRule type="expression" dxfId="9" priority="52">
      <formula>OR($J$12="RV1",$J$12="RV2")</formula>
    </cfRule>
  </conditionalFormatting>
  <conditionalFormatting sqref="AL2">
    <cfRule type="expression" dxfId="8" priority="51">
      <formula>OR($J$12="RV2",$J$12="RV3")</formula>
    </cfRule>
  </conditionalFormatting>
  <conditionalFormatting sqref="AM2">
    <cfRule type="expression" dxfId="7" priority="50">
      <formula>OR($J$12="RV3",$J$12="RV4")</formula>
    </cfRule>
  </conditionalFormatting>
  <conditionalFormatting sqref="AN2">
    <cfRule type="expression" dxfId="6" priority="49">
      <formula>OR($J$12="RV4",$J$12="RV5")</formula>
    </cfRule>
  </conditionalFormatting>
  <conditionalFormatting sqref="AO2">
    <cfRule type="expression" dxfId="5" priority="48">
      <formula>$J$12="RV5"</formula>
    </cfRule>
  </conditionalFormatting>
  <conditionalFormatting sqref="AJ9:AO12">
    <cfRule type="expression" dxfId="4" priority="45">
      <formula>OR($J$12="RV3",$J$12="RV4")</formula>
    </cfRule>
  </conditionalFormatting>
  <conditionalFormatting sqref="AJ4:AO7">
    <cfRule type="expression" dxfId="3" priority="20">
      <formula>OR($J$12="RV3",$J$12="RV4")</formula>
    </cfRule>
  </conditionalFormatting>
  <conditionalFormatting sqref="AR9:AW12">
    <cfRule type="expression" dxfId="2" priority="15">
      <formula>OR($J$12="RV3",$J$12="RV4")</formula>
    </cfRule>
  </conditionalFormatting>
  <conditionalFormatting sqref="AR14:AW17">
    <cfRule type="expression" dxfId="1" priority="7">
      <formula>OR($J$12="RV3",$J$12="RV4")</formula>
    </cfRule>
  </conditionalFormatting>
  <conditionalFormatting sqref="AJ14:AO17">
    <cfRule type="expression" dxfId="0" priority="1">
      <formula>OR($J$12="RV3",$J$12="RV4")</formula>
    </cfRule>
  </conditionalFormatting>
  <dataValidations count="7">
    <dataValidation type="list" allowBlank="1" showInputMessage="1" showErrorMessage="1" sqref="J11" xr:uid="{00000000-0002-0000-0100-000000000000}">
      <formula1>"Janeiro,Fevereiro,Março,Abril,Maio,Junho,Julho,Agosto,Setembro,Outubro,Novembro,Dezembro"</formula1>
    </dataValidation>
    <dataValidation type="list" allowBlank="1" showInputMessage="1" showErrorMessage="1" sqref="J12" xr:uid="{00000000-0002-0000-0100-000001000000}">
      <formula1>"RV0,RV1,RV2,RV3,RV4"</formula1>
    </dataValidation>
    <dataValidation type="list" allowBlank="1" showInputMessage="1" showErrorMessage="1" sqref="AB10" xr:uid="{1CA07455-85B5-4E3B-9CBD-DAC38A1D44DB}">
      <formula1>$Z$2:$Z$4</formula1>
    </dataValidation>
    <dataValidation type="list" allowBlank="1" showInputMessage="1" showErrorMessage="1" sqref="B24" xr:uid="{BA79486B-4C65-4F5A-99F3-C990357E0D9A}">
      <formula1>$BX$20:$BX$30</formula1>
    </dataValidation>
    <dataValidation type="list" allowBlank="1" showInputMessage="1" showErrorMessage="1" sqref="B11:B23" xr:uid="{B93975E0-90BE-49F4-8FDD-099428267241}">
      <formula1>$BX$20:$BX$31</formula1>
    </dataValidation>
    <dataValidation type="list" allowBlank="1" showInputMessage="1" showErrorMessage="1" sqref="J13" xr:uid="{140AC836-AFBB-4260-ABD8-8FEF13AED81B}">
      <formula1>$U$152:$V$152</formula1>
    </dataValidation>
    <dataValidation type="list" allowBlank="1" showInputMessage="1" showErrorMessage="1" sqref="J14" xr:uid="{555B5C9A-E8E2-49FA-B32B-3A7C3054A4E9}">
      <formula1>$BJ$82:$BJ$83</formula1>
    </dataValidation>
  </dataValidations>
  <pageMargins left="0.511811024" right="0.511811024" top="0.78740157499999996" bottom="0.78740157499999996" header="0.31496062000000002" footer="0.31496062000000002"/>
  <pageSetup paperSize="9" orientation="portrait" r:id="rId1"/>
  <ignoredErrors>
    <ignoredError sqref="T8 T32 BO18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Historico_Prevs">
                <anchor moveWithCells="1" sizeWithCells="1">
                  <from>
                    <xdr:col>9</xdr:col>
                    <xdr:colOff>1821180</xdr:colOff>
                    <xdr:row>1</xdr:row>
                    <xdr:rowOff>76200</xdr:rowOff>
                  </from>
                  <to>
                    <xdr:col>9</xdr:col>
                    <xdr:colOff>2636520</xdr:colOff>
                    <xdr:row>5</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prevs_zera_enas">
                <anchor moveWithCells="1" sizeWithCells="1">
                  <from>
                    <xdr:col>1</xdr:col>
                    <xdr:colOff>7620</xdr:colOff>
                    <xdr:row>6</xdr:row>
                    <xdr:rowOff>30480</xdr:rowOff>
                  </from>
                  <to>
                    <xdr:col>8</xdr:col>
                    <xdr:colOff>0</xdr:colOff>
                    <xdr:row>6</xdr:row>
                    <xdr:rowOff>190500</xdr:rowOff>
                  </to>
                </anchor>
              </controlPr>
            </control>
          </mc:Choice>
        </mc:AlternateContent>
        <mc:AlternateContent xmlns:mc="http://schemas.openxmlformats.org/markup-compatibility/2006">
          <mc:Choice Requires="x14">
            <control shapeId="1030" r:id="rId6" name="Button 6">
              <controlPr defaultSize="0" print="0" autoFill="0" autoPict="0" macro="[0]!Clear_Prevs">
                <anchor moveWithCells="1" sizeWithCells="1">
                  <from>
                    <xdr:col>6</xdr:col>
                    <xdr:colOff>190500</xdr:colOff>
                    <xdr:row>28</xdr:row>
                    <xdr:rowOff>30480</xdr:rowOff>
                  </from>
                  <to>
                    <xdr:col>7</xdr:col>
                    <xdr:colOff>426720</xdr:colOff>
                    <xdr:row>28</xdr:row>
                    <xdr:rowOff>182880</xdr:rowOff>
                  </to>
                </anchor>
              </controlPr>
            </control>
          </mc:Choice>
        </mc:AlternateContent>
        <mc:AlternateContent xmlns:mc="http://schemas.openxmlformats.org/markup-compatibility/2006">
          <mc:Choice Requires="x14">
            <control shapeId="1031" r:id="rId7" name="Button 7">
              <controlPr defaultSize="0" print="0" autoFill="0" autoPict="0" macro="[0]!Cpy_Prevs">
                <anchor moveWithCells="1" sizeWithCells="1">
                  <from>
                    <xdr:col>9</xdr:col>
                    <xdr:colOff>2979420</xdr:colOff>
                    <xdr:row>28</xdr:row>
                    <xdr:rowOff>30480</xdr:rowOff>
                  </from>
                  <to>
                    <xdr:col>10</xdr:col>
                    <xdr:colOff>0</xdr:colOff>
                    <xdr:row>28</xdr:row>
                    <xdr:rowOff>182880</xdr:rowOff>
                  </to>
                </anchor>
              </controlPr>
            </control>
          </mc:Choice>
        </mc:AlternateContent>
        <mc:AlternateContent xmlns:mc="http://schemas.openxmlformats.org/markup-compatibility/2006">
          <mc:Choice Requires="x14">
            <control shapeId="1032" r:id="rId8" name="Button 8">
              <controlPr defaultSize="0" print="0" autoFill="0" autoPict="0" macro="[0]!Calc_1">
                <anchor moveWithCells="1" sizeWithCells="1">
                  <from>
                    <xdr:col>23</xdr:col>
                    <xdr:colOff>0</xdr:colOff>
                    <xdr:row>7</xdr:row>
                    <xdr:rowOff>7620</xdr:rowOff>
                  </from>
                  <to>
                    <xdr:col>23</xdr:col>
                    <xdr:colOff>541020</xdr:colOff>
                    <xdr:row>8</xdr:row>
                    <xdr:rowOff>7620</xdr:rowOff>
                  </to>
                </anchor>
              </controlPr>
            </control>
          </mc:Choice>
        </mc:AlternateContent>
        <mc:AlternateContent xmlns:mc="http://schemas.openxmlformats.org/markup-compatibility/2006">
          <mc:Choice Requires="x14">
            <control shapeId="1033" r:id="rId9" name="Button 9">
              <controlPr defaultSize="0" print="0" autoFill="0" autoPict="0" macro="[0]!Calc_2">
                <anchor moveWithCells="1" sizeWithCells="1">
                  <from>
                    <xdr:col>20</xdr:col>
                    <xdr:colOff>0</xdr:colOff>
                    <xdr:row>15</xdr:row>
                    <xdr:rowOff>30480</xdr:rowOff>
                  </from>
                  <to>
                    <xdr:col>26</xdr:col>
                    <xdr:colOff>30480</xdr:colOff>
                    <xdr:row>15</xdr:row>
                    <xdr:rowOff>182880</xdr:rowOff>
                  </to>
                </anchor>
              </controlPr>
            </control>
          </mc:Choice>
        </mc:AlternateContent>
        <mc:AlternateContent xmlns:mc="http://schemas.openxmlformats.org/markup-compatibility/2006">
          <mc:Choice Requires="x14">
            <control shapeId="1034" r:id="rId10" name="Button 10">
              <controlPr defaultSize="0" print="0" autoFill="0" autoPict="0" macro="[0]!Prevs_Exp_Enas">
                <anchor moveWithCells="1" sizeWithCells="1">
                  <from>
                    <xdr:col>19</xdr:col>
                    <xdr:colOff>609600</xdr:colOff>
                    <xdr:row>8</xdr:row>
                    <xdr:rowOff>30480</xdr:rowOff>
                  </from>
                  <to>
                    <xdr:col>22</xdr:col>
                    <xdr:colOff>0</xdr:colOff>
                    <xdr:row>9</xdr:row>
                    <xdr:rowOff>45720</xdr:rowOff>
                  </to>
                </anchor>
              </controlPr>
            </control>
          </mc:Choice>
        </mc:AlternateContent>
        <mc:AlternateContent xmlns:mc="http://schemas.openxmlformats.org/markup-compatibility/2006">
          <mc:Choice Requires="x14">
            <control shapeId="1037" r:id="rId11" name="Button 13">
              <controlPr defaultSize="0" print="0" autoFill="0" autoPict="0" macro="[0]!prevs_increase_ena">
                <anchor moveWithCells="1" sizeWithCells="1">
                  <from>
                    <xdr:col>9</xdr:col>
                    <xdr:colOff>30480</xdr:colOff>
                    <xdr:row>1</xdr:row>
                    <xdr:rowOff>76200</xdr:rowOff>
                  </from>
                  <to>
                    <xdr:col>9</xdr:col>
                    <xdr:colOff>487680</xdr:colOff>
                    <xdr:row>3</xdr:row>
                    <xdr:rowOff>45720</xdr:rowOff>
                  </to>
                </anchor>
              </controlPr>
            </control>
          </mc:Choice>
        </mc:AlternateContent>
        <mc:AlternateContent xmlns:mc="http://schemas.openxmlformats.org/markup-compatibility/2006">
          <mc:Choice Requires="x14">
            <control shapeId="1045" r:id="rId12" name="Button 21">
              <controlPr defaultSize="0" print="0" autoFill="0" autoPict="0" macro="[0]!prevs_decrease_ena">
                <anchor moveWithCells="1" sizeWithCells="1">
                  <from>
                    <xdr:col>9</xdr:col>
                    <xdr:colOff>30480</xdr:colOff>
                    <xdr:row>3</xdr:row>
                    <xdr:rowOff>152400</xdr:rowOff>
                  </from>
                  <to>
                    <xdr:col>9</xdr:col>
                    <xdr:colOff>487680</xdr:colOff>
                    <xdr:row>5</xdr:row>
                    <xdr:rowOff>121920</xdr:rowOff>
                  </to>
                </anchor>
              </controlPr>
            </control>
          </mc:Choice>
        </mc:AlternateContent>
        <mc:AlternateContent xmlns:mc="http://schemas.openxmlformats.org/markup-compatibility/2006">
          <mc:Choice Requires="x14">
            <control shapeId="1046" r:id="rId13" name="Button 22">
              <controlPr defaultSize="0" print="0" autoFill="0" autoPict="0" macro="[0]!prevs_increase_plus_ena">
                <anchor moveWithCells="1" sizeWithCells="1">
                  <from>
                    <xdr:col>9</xdr:col>
                    <xdr:colOff>571500</xdr:colOff>
                    <xdr:row>1</xdr:row>
                    <xdr:rowOff>76200</xdr:rowOff>
                  </from>
                  <to>
                    <xdr:col>9</xdr:col>
                    <xdr:colOff>1028700</xdr:colOff>
                    <xdr:row>3</xdr:row>
                    <xdr:rowOff>45720</xdr:rowOff>
                  </to>
                </anchor>
              </controlPr>
            </control>
          </mc:Choice>
        </mc:AlternateContent>
        <mc:AlternateContent xmlns:mc="http://schemas.openxmlformats.org/markup-compatibility/2006">
          <mc:Choice Requires="x14">
            <control shapeId="1047" r:id="rId14" name="Button 23">
              <controlPr defaultSize="0" print="0" autoFill="0" autoPict="0" macro="[0]!prevs_decrease_plus_ena">
                <anchor moveWithCells="1" sizeWithCells="1">
                  <from>
                    <xdr:col>9</xdr:col>
                    <xdr:colOff>571500</xdr:colOff>
                    <xdr:row>3</xdr:row>
                    <xdr:rowOff>152400</xdr:rowOff>
                  </from>
                  <to>
                    <xdr:col>9</xdr:col>
                    <xdr:colOff>1028700</xdr:colOff>
                    <xdr:row>5</xdr:row>
                    <xdr:rowOff>114300</xdr:rowOff>
                  </to>
                </anchor>
              </controlPr>
            </control>
          </mc:Choice>
        </mc:AlternateContent>
        <mc:AlternateContent xmlns:mc="http://schemas.openxmlformats.org/markup-compatibility/2006">
          <mc:Choice Requires="x14">
            <control shapeId="1049" r:id="rId15" name="Button 25">
              <controlPr defaultSize="0" print="0" autoFill="0" autoPict="0" macro="[0]!prevs_increase_plus_plus_ena">
                <anchor moveWithCells="1" sizeWithCells="1">
                  <from>
                    <xdr:col>9</xdr:col>
                    <xdr:colOff>1135380</xdr:colOff>
                    <xdr:row>1</xdr:row>
                    <xdr:rowOff>76200</xdr:rowOff>
                  </from>
                  <to>
                    <xdr:col>9</xdr:col>
                    <xdr:colOff>1592580</xdr:colOff>
                    <xdr:row>3</xdr:row>
                    <xdr:rowOff>45720</xdr:rowOff>
                  </to>
                </anchor>
              </controlPr>
            </control>
          </mc:Choice>
        </mc:AlternateContent>
        <mc:AlternateContent xmlns:mc="http://schemas.openxmlformats.org/markup-compatibility/2006">
          <mc:Choice Requires="x14">
            <control shapeId="1050" r:id="rId16" name="Button 26">
              <controlPr defaultSize="0" print="0" autoFill="0" autoPict="0" macro="[0]!prevs_decrease_plus_plus_ena">
                <anchor moveWithCells="1" sizeWithCells="1">
                  <from>
                    <xdr:col>9</xdr:col>
                    <xdr:colOff>1112520</xdr:colOff>
                    <xdr:row>3</xdr:row>
                    <xdr:rowOff>144780</xdr:rowOff>
                  </from>
                  <to>
                    <xdr:col>9</xdr:col>
                    <xdr:colOff>1569720</xdr:colOff>
                    <xdr:row>5</xdr:row>
                    <xdr:rowOff>114300</xdr:rowOff>
                  </to>
                </anchor>
              </controlPr>
            </control>
          </mc:Choice>
        </mc:AlternateContent>
        <mc:AlternateContent xmlns:mc="http://schemas.openxmlformats.org/markup-compatibility/2006">
          <mc:Choice Requires="x14">
            <control shapeId="1054" r:id="rId17" name="Button 30">
              <controlPr defaultSize="0" print="0" autoFill="0" autoPict="0" macro="[0]!Ajuste_Média_REE">
                <anchor moveWithCells="1">
                  <from>
                    <xdr:col>21</xdr:col>
                    <xdr:colOff>0</xdr:colOff>
                    <xdr:row>30</xdr:row>
                    <xdr:rowOff>190500</xdr:rowOff>
                  </from>
                  <to>
                    <xdr:col>22</xdr:col>
                    <xdr:colOff>22860</xdr:colOff>
                    <xdr:row>32</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B1:AJ202"/>
  <sheetViews>
    <sheetView showGridLines="0" topLeftCell="A2" zoomScaleNormal="100" workbookViewId="0">
      <selection activeCell="E14" sqref="E14"/>
    </sheetView>
  </sheetViews>
  <sheetFormatPr defaultColWidth="9.109375" defaultRowHeight="14.4" x14ac:dyDescent="0.3"/>
  <cols>
    <col min="1" max="1" width="5.44140625" style="18" customWidth="1"/>
    <col min="2" max="2" width="37.109375" style="17" customWidth="1"/>
    <col min="3" max="3" width="4.44140625" style="18" customWidth="1"/>
    <col min="4" max="4" width="57.5546875" style="19" customWidth="1"/>
    <col min="5" max="5" width="15.109375" style="18" customWidth="1"/>
    <col min="6" max="6" width="37.5546875" style="20" customWidth="1"/>
    <col min="7" max="9" width="9.109375" style="18"/>
    <col min="10" max="11" width="6.109375" style="17" customWidth="1"/>
    <col min="12" max="12" width="6.44140625" style="17" customWidth="1"/>
    <col min="13" max="13" width="5.5546875" style="17" customWidth="1"/>
    <col min="14" max="14" width="6.5546875" style="17" customWidth="1"/>
    <col min="15" max="15" width="5.5546875" style="17" customWidth="1"/>
    <col min="16" max="16" width="4" style="18" customWidth="1"/>
    <col min="17" max="17" width="8.44140625" style="18" customWidth="1"/>
    <col min="18" max="18" width="16.88671875" style="18" customWidth="1"/>
    <col min="19" max="25" width="6.44140625" style="18" customWidth="1"/>
    <col min="26" max="26" width="3.109375" style="18" customWidth="1"/>
    <col min="27" max="27" width="3" style="17" customWidth="1"/>
    <col min="28" max="28" width="4.5546875" style="17" customWidth="1"/>
    <col min="29" max="31" width="8.44140625" style="18" customWidth="1"/>
    <col min="32" max="32" width="6.109375" style="18" customWidth="1"/>
    <col min="33" max="33" width="4.109375" style="18" customWidth="1"/>
    <col min="34" max="34" width="17" style="18" customWidth="1"/>
    <col min="35" max="35" width="9.5546875" style="18" customWidth="1"/>
    <col min="36" max="36" width="2.109375" style="18" customWidth="1"/>
    <col min="37" max="16384" width="9.109375" style="18"/>
  </cols>
  <sheetData>
    <row r="1" spans="2:36" ht="34.5" customHeight="1" x14ac:dyDescent="0.3"/>
    <row r="2" spans="2:36" ht="23.4" x14ac:dyDescent="0.3">
      <c r="D2" s="21" t="s">
        <v>63</v>
      </c>
      <c r="E2" s="21" t="s">
        <v>295</v>
      </c>
      <c r="G2" s="22" t="s">
        <v>323</v>
      </c>
      <c r="H2" s="22" t="s">
        <v>332</v>
      </c>
    </row>
    <row r="3" spans="2:36" x14ac:dyDescent="0.3">
      <c r="D3" s="23" t="s">
        <v>318</v>
      </c>
      <c r="E3" s="24">
        <v>0.25</v>
      </c>
      <c r="F3" s="142"/>
      <c r="G3" s="140">
        <v>25.8</v>
      </c>
      <c r="H3" s="143">
        <v>0.26050000000000001</v>
      </c>
      <c r="I3" s="26"/>
      <c r="J3" s="26" t="str">
        <f>SUBSTITUTE(G3,".",",")</f>
        <v>25,8</v>
      </c>
      <c r="K3" s="27">
        <f>H3*100</f>
        <v>26.05</v>
      </c>
      <c r="L3" s="27">
        <f>K3-J3</f>
        <v>0.25</v>
      </c>
      <c r="M3" s="26"/>
      <c r="N3" s="28"/>
      <c r="O3" s="29"/>
      <c r="P3" s="30"/>
    </row>
    <row r="4" spans="2:36" x14ac:dyDescent="0.3">
      <c r="D4" s="23" t="s">
        <v>319</v>
      </c>
      <c r="E4" s="24">
        <v>-1.2999999999999972</v>
      </c>
      <c r="G4" s="140">
        <v>37.299999999999997</v>
      </c>
      <c r="H4" s="25">
        <v>0.36</v>
      </c>
      <c r="I4" s="26"/>
      <c r="J4" s="26" t="str">
        <f t="shared" ref="J4:J6" si="0">SUBSTITUTE(G4,".",",")</f>
        <v>37,3</v>
      </c>
      <c r="K4" s="27">
        <f t="shared" ref="K4:K6" si="1">H4*100</f>
        <v>36</v>
      </c>
      <c r="L4" s="27">
        <f t="shared" ref="L4:L6" si="2">K4-J4</f>
        <v>-1.2999999999999972</v>
      </c>
      <c r="M4" s="26"/>
      <c r="N4" s="28"/>
      <c r="O4" s="29"/>
      <c r="P4" s="30"/>
    </row>
    <row r="5" spans="2:36" x14ac:dyDescent="0.3">
      <c r="D5" s="23" t="s">
        <v>320</v>
      </c>
      <c r="E5" s="24">
        <v>0.10000000000000142</v>
      </c>
      <c r="G5" s="140">
        <v>41.8</v>
      </c>
      <c r="H5" s="25">
        <v>0.41899999999999998</v>
      </c>
      <c r="I5" s="26"/>
      <c r="J5" s="26" t="str">
        <f t="shared" si="0"/>
        <v>41,8</v>
      </c>
      <c r="K5" s="27">
        <f t="shared" si="1"/>
        <v>41.9</v>
      </c>
      <c r="L5" s="27">
        <f t="shared" si="2"/>
        <v>0.10000000000000142</v>
      </c>
      <c r="M5" s="26"/>
      <c r="N5" s="28"/>
      <c r="O5" s="29"/>
      <c r="P5" s="30"/>
    </row>
    <row r="6" spans="2:36" x14ac:dyDescent="0.3">
      <c r="D6" s="23" t="s">
        <v>321</v>
      </c>
      <c r="E6" s="24">
        <v>5</v>
      </c>
      <c r="G6" s="140">
        <v>32.700000000000003</v>
      </c>
      <c r="H6" s="25">
        <v>0.377</v>
      </c>
      <c r="I6" s="26"/>
      <c r="J6" s="26" t="str">
        <f t="shared" si="0"/>
        <v>32,7</v>
      </c>
      <c r="K6" s="27">
        <f t="shared" si="1"/>
        <v>37.700000000000003</v>
      </c>
      <c r="L6" s="27">
        <f t="shared" si="2"/>
        <v>5</v>
      </c>
      <c r="M6" s="26"/>
      <c r="N6" s="28"/>
      <c r="O6" s="29"/>
      <c r="P6" s="30"/>
    </row>
    <row r="7" spans="2:36" x14ac:dyDescent="0.3">
      <c r="B7" s="31" t="s">
        <v>369</v>
      </c>
      <c r="D7" s="32"/>
    </row>
    <row r="8" spans="2:36" x14ac:dyDescent="0.3">
      <c r="C8" s="32"/>
      <c r="E8" s="32"/>
    </row>
    <row r="10" spans="2:36" s="34" customFormat="1" ht="23.4" x14ac:dyDescent="0.3">
      <c r="B10" s="33" t="s">
        <v>322</v>
      </c>
      <c r="D10" s="33" t="s">
        <v>323</v>
      </c>
      <c r="E10" s="18"/>
      <c r="F10" s="33" t="s">
        <v>64</v>
      </c>
      <c r="J10" s="35"/>
      <c r="K10" s="35">
        <f>COUNT(K11:K200)</f>
        <v>161</v>
      </c>
      <c r="L10" s="35">
        <f>IF($B$7="Semana 1",3,IF($B$7="Semana 2",4,IF($B$7="Semana 3",5,IF($B$7="Semana 4",6,IF($B$7="Semana 5",7,IF($B$7="Semana 6",8,IF($B$7="Semana 7",9,0)))))))</f>
        <v>4</v>
      </c>
      <c r="M10" s="35"/>
      <c r="N10" s="35"/>
      <c r="O10" s="35"/>
      <c r="Z10" s="18"/>
      <c r="AA10" s="17"/>
      <c r="AB10" s="17"/>
      <c r="AC10" s="18"/>
      <c r="AD10" s="18"/>
      <c r="AE10" s="18"/>
      <c r="AF10" s="18"/>
      <c r="AG10" s="18"/>
      <c r="AH10" s="18"/>
      <c r="AI10" s="18"/>
      <c r="AJ10" s="18"/>
    </row>
    <row r="11" spans="2:36" x14ac:dyDescent="0.3">
      <c r="B11" s="144" t="s">
        <v>528</v>
      </c>
      <c r="D11" s="37" t="s">
        <v>592</v>
      </c>
      <c r="F11" s="38" t="str">
        <f>IF(B11&lt;&gt;0,LEFT(B11,11)&amp;RIGHT("             "&amp;O11,13)&amp;RIGHT(B11,LEN(B11)-24),"")</f>
        <v>UH    1  10        34.85               1</v>
      </c>
      <c r="J11" s="39">
        <f>IFERROR(VALUE(RIGHT(LEFT($B11,7),3)),"")</f>
        <v>1</v>
      </c>
      <c r="K11" s="39">
        <f>IFERROR(VLOOKUP(VALUE(RIGHT(LEFT($B11,11),2)),$AA$11:$AB$22,2,0),"")</f>
        <v>1</v>
      </c>
      <c r="L11" s="39" t="str">
        <f t="shared" ref="L11:L42" si="3">SUBSTITUTE(VLOOKUP(J11,$Q$11:$Y$200,L$10,0),".",",")</f>
        <v xml:space="preserve">   34,6</v>
      </c>
      <c r="M11" s="138">
        <f t="shared" ref="M11:M42" si="4">VLOOKUP(K11,$AA$27:$AB$30,2,0)</f>
        <v>0.25</v>
      </c>
      <c r="N11" s="40">
        <f>IF(NOT(ISERROR(L11)),IF(L11+M11&gt;100,100,IF(L11+M11&lt;0,0,L11+M11)),0)</f>
        <v>34.85</v>
      </c>
      <c r="O11" s="40" t="str">
        <f>IF(N11=0,"  0.0",IF(N11=100,"100.0",SUBSTITUTE(ROUND(N11,2),",",".")))</f>
        <v>34.85</v>
      </c>
      <c r="Q11" s="41">
        <f>VALUE(RIGHT(LEFT($D11,7),3))</f>
        <v>1</v>
      </c>
      <c r="R11" s="41" t="str">
        <f>RIGHT(LEFT($D11,21),14)</f>
        <v xml:space="preserve">  CAMARGOS    </v>
      </c>
      <c r="S11" s="41" t="str">
        <f>RIGHT(LEFT($D11,28),7)</f>
        <v xml:space="preserve">   35.8</v>
      </c>
      <c r="T11" s="41" t="str">
        <f>RIGHT(LEFT($D11,35),7)</f>
        <v xml:space="preserve">   34.6</v>
      </c>
      <c r="U11" s="41" t="str">
        <f>RIGHT(LEFT($D11,42),7)</f>
        <v xml:space="preserve">   36.9</v>
      </c>
      <c r="V11" s="41" t="str">
        <f>RIGHT(LEFT($D11,49),7)</f>
        <v xml:space="preserve">   40.5</v>
      </c>
      <c r="W11" s="41" t="str">
        <f>RIGHT(LEFT($D11,56),7)</f>
        <v xml:space="preserve">   40.5</v>
      </c>
      <c r="X11" s="41" t="str">
        <f>RIGHT(LEFT($D11,63),7)</f>
        <v xml:space="preserve">   40.5</v>
      </c>
      <c r="Y11" s="41" t="str">
        <f>RIGHT(LEFT($D11,70),7)</f>
        <v xml:space="preserve">   40.5</v>
      </c>
      <c r="AA11" s="128">
        <v>1</v>
      </c>
      <c r="AB11" s="128">
        <v>1</v>
      </c>
    </row>
    <row r="12" spans="2:36" x14ac:dyDescent="0.3">
      <c r="B12" s="36" t="s">
        <v>376</v>
      </c>
      <c r="D12" s="37" t="s">
        <v>593</v>
      </c>
      <c r="F12" s="38" t="str">
        <f t="shared" ref="F12:F75" si="5">IF(B12&lt;&gt;0,LEFT(B12,11)&amp;RIGHT("             "&amp;O12,13)&amp;RIGHT(B12,LEN(B12)-24),"")</f>
        <v>UH    2  10          0.0               1</v>
      </c>
      <c r="J12" s="39">
        <f t="shared" ref="J12:J75" si="6">IFERROR(VALUE(RIGHT(LEFT($B12,7),3)),"")</f>
        <v>2</v>
      </c>
      <c r="K12" s="39">
        <f t="shared" ref="K12:K75" si="7">IFERROR(VLOOKUP(VALUE(RIGHT(LEFT($B12,11),2)),$AA$11:$AB$22,2,0),"")</f>
        <v>1</v>
      </c>
      <c r="L12" s="39" t="e">
        <f>SUBSTITUTE(VLOOKUP(J12,$Q$11:$Y$200,L$10,0),".",",")</f>
        <v>#N/A</v>
      </c>
      <c r="M12" s="39">
        <f t="shared" si="4"/>
        <v>0.25</v>
      </c>
      <c r="N12" s="40">
        <f t="shared" ref="N12:N75" si="8">IF(NOT(ISERROR(L12)),IF(L12+M12&gt;100,100,IF(L12+M12&lt;0,0,L12+M12)),0)</f>
        <v>0</v>
      </c>
      <c r="O12" s="40" t="str">
        <f t="shared" ref="O12:O75" si="9">IF(N12=0,"  0.0",IF(N12=100,"100.0",SUBSTITUTE(ROUND(N12,2),",",".")))</f>
        <v xml:space="preserve">  0.0</v>
      </c>
      <c r="Q12" s="41">
        <f t="shared" ref="Q12:Q75" si="10">VALUE(RIGHT(LEFT($D12,7),3))</f>
        <v>6</v>
      </c>
      <c r="R12" s="41" t="str">
        <f t="shared" ref="R12:R75" si="11">RIGHT(LEFT($D12,21),14)</f>
        <v xml:space="preserve">  FURNAS      </v>
      </c>
      <c r="S12" s="41" t="str">
        <f t="shared" ref="S12:S75" si="12">RIGHT(LEFT($D12,28),7)</f>
        <v xml:space="preserve">   26.6</v>
      </c>
      <c r="T12" s="41" t="str">
        <f t="shared" ref="T12:T75" si="13">RIGHT(LEFT($D12,35),7)</f>
        <v xml:space="preserve">   24.0</v>
      </c>
      <c r="U12" s="41" t="str">
        <f t="shared" ref="U12:U75" si="14">RIGHT(LEFT($D12,42),7)</f>
        <v xml:space="preserve">   22.7</v>
      </c>
      <c r="V12" s="41" t="str">
        <f t="shared" ref="V12:V75" si="15">RIGHT(LEFT($D12,49),7)</f>
        <v xml:space="preserve">   22.5</v>
      </c>
      <c r="W12" s="41" t="str">
        <f t="shared" ref="W12:W75" si="16">RIGHT(LEFT($D12,56),7)</f>
        <v xml:space="preserve">   22.5</v>
      </c>
      <c r="X12" s="41" t="str">
        <f t="shared" ref="X12:X75" si="17">RIGHT(LEFT($D12,63),7)</f>
        <v xml:space="preserve">   22.5</v>
      </c>
      <c r="Y12" s="41" t="str">
        <f t="shared" ref="Y12:Y75" si="18">RIGHT(LEFT($D12,70),7)</f>
        <v xml:space="preserve">   22.5</v>
      </c>
      <c r="AA12" s="128">
        <v>6</v>
      </c>
      <c r="AB12" s="128">
        <v>1</v>
      </c>
    </row>
    <row r="13" spans="2:36" x14ac:dyDescent="0.3">
      <c r="B13" s="36" t="s">
        <v>377</v>
      </c>
      <c r="D13" s="37" t="s">
        <v>594</v>
      </c>
      <c r="F13" s="38" t="str">
        <f t="shared" si="5"/>
        <v>UH    4  10          0.0               1</v>
      </c>
      <c r="J13" s="39">
        <f t="shared" si="6"/>
        <v>4</v>
      </c>
      <c r="K13" s="39">
        <f t="shared" si="7"/>
        <v>1</v>
      </c>
      <c r="L13" s="39" t="e">
        <f t="shared" si="3"/>
        <v>#N/A</v>
      </c>
      <c r="M13" s="39">
        <f t="shared" si="4"/>
        <v>0.25</v>
      </c>
      <c r="N13" s="40">
        <f t="shared" si="8"/>
        <v>0</v>
      </c>
      <c r="O13" s="40" t="str">
        <f t="shared" si="9"/>
        <v xml:space="preserve">  0.0</v>
      </c>
      <c r="Q13" s="41">
        <f t="shared" si="10"/>
        <v>7</v>
      </c>
      <c r="R13" s="41" t="str">
        <f t="shared" si="11"/>
        <v xml:space="preserve">  M. DE MORAES</v>
      </c>
      <c r="S13" s="41" t="str">
        <f t="shared" si="12"/>
        <v xml:space="preserve">   22.5</v>
      </c>
      <c r="T13" s="41" t="str">
        <f t="shared" si="13"/>
        <v xml:space="preserve">   33.4</v>
      </c>
      <c r="U13" s="41" t="str">
        <f t="shared" si="14"/>
        <v xml:space="preserve">   38.3</v>
      </c>
      <c r="V13" s="41" t="str">
        <f t="shared" si="15"/>
        <v xml:space="preserve">   39.1</v>
      </c>
      <c r="W13" s="41" t="str">
        <f t="shared" si="16"/>
        <v xml:space="preserve">   39.1</v>
      </c>
      <c r="X13" s="41" t="str">
        <f t="shared" si="17"/>
        <v xml:space="preserve">   39.1</v>
      </c>
      <c r="Y13" s="41" t="str">
        <f t="shared" si="18"/>
        <v xml:space="preserve">   39.1</v>
      </c>
      <c r="AA13" s="128">
        <v>7</v>
      </c>
      <c r="AB13" s="128">
        <v>1</v>
      </c>
    </row>
    <row r="14" spans="2:36" x14ac:dyDescent="0.3">
      <c r="B14" s="36" t="s">
        <v>529</v>
      </c>
      <c r="D14" s="37" t="s">
        <v>595</v>
      </c>
      <c r="F14" s="38" t="str">
        <f t="shared" si="5"/>
        <v>UH   24  10        25.45               1</v>
      </c>
      <c r="J14" s="39">
        <f t="shared" si="6"/>
        <v>24</v>
      </c>
      <c r="K14" s="39">
        <f t="shared" si="7"/>
        <v>1</v>
      </c>
      <c r="L14" s="39" t="str">
        <f t="shared" si="3"/>
        <v xml:space="preserve">   25,2</v>
      </c>
      <c r="M14" s="39">
        <f t="shared" si="4"/>
        <v>0.25</v>
      </c>
      <c r="N14" s="40">
        <f t="shared" si="8"/>
        <v>25.45</v>
      </c>
      <c r="O14" s="40" t="str">
        <f t="shared" si="9"/>
        <v>25.45</v>
      </c>
      <c r="Q14" s="41">
        <f t="shared" si="10"/>
        <v>14</v>
      </c>
      <c r="R14" s="41" t="str">
        <f t="shared" si="11"/>
        <v xml:space="preserve">  CACONDE     </v>
      </c>
      <c r="S14" s="41" t="str">
        <f t="shared" si="12"/>
        <v xml:space="preserve">   76.1</v>
      </c>
      <c r="T14" s="41" t="str">
        <f t="shared" si="13"/>
        <v xml:space="preserve">   70.0</v>
      </c>
      <c r="U14" s="41" t="str">
        <f t="shared" si="14"/>
        <v xml:space="preserve">   65.9</v>
      </c>
      <c r="V14" s="41" t="str">
        <f t="shared" si="15"/>
        <v xml:space="preserve">   62.9</v>
      </c>
      <c r="W14" s="41" t="str">
        <f t="shared" si="16"/>
        <v xml:space="preserve">   62.9</v>
      </c>
      <c r="X14" s="41" t="str">
        <f t="shared" si="17"/>
        <v xml:space="preserve">   62.9</v>
      </c>
      <c r="Y14" s="41" t="str">
        <f t="shared" si="18"/>
        <v xml:space="preserve">   62.9</v>
      </c>
      <c r="AA14" s="128">
        <v>5</v>
      </c>
      <c r="AB14" s="128">
        <v>1</v>
      </c>
    </row>
    <row r="15" spans="2:36" x14ac:dyDescent="0.3">
      <c r="B15" s="36" t="s">
        <v>530</v>
      </c>
      <c r="D15" s="37" t="s">
        <v>596</v>
      </c>
      <c r="F15" s="38" t="str">
        <f t="shared" si="5"/>
        <v>UH   27  10        100.0               1</v>
      </c>
      <c r="J15" s="39">
        <f t="shared" si="6"/>
        <v>27</v>
      </c>
      <c r="K15" s="39">
        <f t="shared" si="7"/>
        <v>1</v>
      </c>
      <c r="L15" s="39" t="str">
        <f t="shared" si="3"/>
        <v xml:space="preserve">  100,0</v>
      </c>
      <c r="M15" s="39">
        <f t="shared" si="4"/>
        <v>0.25</v>
      </c>
      <c r="N15" s="40">
        <f t="shared" si="8"/>
        <v>100</v>
      </c>
      <c r="O15" s="40" t="str">
        <f t="shared" si="9"/>
        <v>100.0</v>
      </c>
      <c r="Q15" s="41">
        <f t="shared" si="10"/>
        <v>17</v>
      </c>
      <c r="R15" s="41" t="str">
        <f t="shared" si="11"/>
        <v xml:space="preserve">  MARIMBONDO  </v>
      </c>
      <c r="S15" s="41" t="str">
        <f t="shared" si="12"/>
        <v xml:space="preserve">   23.0</v>
      </c>
      <c r="T15" s="41" t="str">
        <f t="shared" si="13"/>
        <v xml:space="preserve">   27.5</v>
      </c>
      <c r="U15" s="41" t="str">
        <f t="shared" si="14"/>
        <v xml:space="preserve">   31.6</v>
      </c>
      <c r="V15" s="41" t="str">
        <f t="shared" si="15"/>
        <v xml:space="preserve">   41.4</v>
      </c>
      <c r="W15" s="41" t="str">
        <f t="shared" si="16"/>
        <v xml:space="preserve">   41.4</v>
      </c>
      <c r="X15" s="41" t="str">
        <f t="shared" si="17"/>
        <v xml:space="preserve">   41.4</v>
      </c>
      <c r="Y15" s="41" t="str">
        <f t="shared" si="18"/>
        <v xml:space="preserve">   41.4</v>
      </c>
      <c r="AA15" s="128">
        <v>10</v>
      </c>
      <c r="AB15" s="128">
        <v>1</v>
      </c>
    </row>
    <row r="16" spans="2:36" x14ac:dyDescent="0.3">
      <c r="B16" s="36" t="s">
        <v>378</v>
      </c>
      <c r="D16" s="37" t="s">
        <v>597</v>
      </c>
      <c r="F16" s="38" t="str">
        <f t="shared" si="5"/>
        <v>UH   28  10          0.0               1</v>
      </c>
      <c r="J16" s="39">
        <f t="shared" si="6"/>
        <v>28</v>
      </c>
      <c r="K16" s="39">
        <f t="shared" si="7"/>
        <v>1</v>
      </c>
      <c r="L16" s="39" t="e">
        <f t="shared" si="3"/>
        <v>#N/A</v>
      </c>
      <c r="M16" s="39">
        <f t="shared" si="4"/>
        <v>0.25</v>
      </c>
      <c r="N16" s="40">
        <f t="shared" si="8"/>
        <v>0</v>
      </c>
      <c r="O16" s="40" t="str">
        <f t="shared" si="9"/>
        <v xml:space="preserve">  0.0</v>
      </c>
      <c r="Q16" s="41">
        <f t="shared" si="10"/>
        <v>18</v>
      </c>
      <c r="R16" s="41" t="str">
        <f t="shared" si="11"/>
        <v xml:space="preserve">  A. VERMELHA </v>
      </c>
      <c r="S16" s="41" t="str">
        <f t="shared" si="12"/>
        <v xml:space="preserve">   22.2</v>
      </c>
      <c r="T16" s="41" t="str">
        <f t="shared" si="13"/>
        <v xml:space="preserve">   19.5</v>
      </c>
      <c r="U16" s="41" t="str">
        <f t="shared" si="14"/>
        <v xml:space="preserve">   20.6</v>
      </c>
      <c r="V16" s="41" t="str">
        <f t="shared" si="15"/>
        <v xml:space="preserve">   20.4</v>
      </c>
      <c r="W16" s="41" t="str">
        <f t="shared" si="16"/>
        <v xml:space="preserve">   20.4</v>
      </c>
      <c r="X16" s="41" t="str">
        <f t="shared" si="17"/>
        <v xml:space="preserve">   20.4</v>
      </c>
      <c r="Y16" s="41" t="str">
        <f t="shared" si="18"/>
        <v xml:space="preserve">   20.4</v>
      </c>
      <c r="AA16" s="128">
        <v>12</v>
      </c>
      <c r="AB16" s="128">
        <v>1</v>
      </c>
    </row>
    <row r="17" spans="2:28" x14ac:dyDescent="0.3">
      <c r="B17" s="36" t="s">
        <v>531</v>
      </c>
      <c r="D17" s="37" t="s">
        <v>598</v>
      </c>
      <c r="F17" s="38" t="str">
        <f t="shared" si="5"/>
        <v>UH   25  10        23.85               1</v>
      </c>
      <c r="J17" s="39">
        <f t="shared" si="6"/>
        <v>25</v>
      </c>
      <c r="K17" s="39">
        <f t="shared" si="7"/>
        <v>1</v>
      </c>
      <c r="L17" s="39" t="str">
        <f t="shared" si="3"/>
        <v xml:space="preserve">   23,6</v>
      </c>
      <c r="M17" s="39">
        <f t="shared" si="4"/>
        <v>0.25</v>
      </c>
      <c r="N17" s="40">
        <f t="shared" si="8"/>
        <v>23.85</v>
      </c>
      <c r="O17" s="40" t="str">
        <f t="shared" si="9"/>
        <v>23.85</v>
      </c>
      <c r="Q17" s="41">
        <f t="shared" si="10"/>
        <v>311</v>
      </c>
      <c r="R17" s="41" t="str">
        <f t="shared" si="11"/>
        <v xml:space="preserve">  CACU        </v>
      </c>
      <c r="S17" s="41" t="str">
        <f t="shared" si="12"/>
        <v xml:space="preserve">   25.0</v>
      </c>
      <c r="T17" s="41" t="str">
        <f t="shared" si="13"/>
        <v xml:space="preserve">   23.6</v>
      </c>
      <c r="U17" s="41" t="str">
        <f t="shared" si="14"/>
        <v xml:space="preserve">    0.0</v>
      </c>
      <c r="V17" s="41" t="str">
        <f t="shared" si="15"/>
        <v xml:space="preserve">   41.4</v>
      </c>
      <c r="W17" s="41" t="str">
        <f t="shared" si="16"/>
        <v xml:space="preserve">   41.4</v>
      </c>
      <c r="X17" s="41" t="str">
        <f t="shared" si="17"/>
        <v xml:space="preserve">   41.4</v>
      </c>
      <c r="Y17" s="41" t="str">
        <f t="shared" si="18"/>
        <v xml:space="preserve">   41.4</v>
      </c>
      <c r="AA17" s="128">
        <v>2</v>
      </c>
      <c r="AB17" s="128">
        <v>2</v>
      </c>
    </row>
    <row r="18" spans="2:28" x14ac:dyDescent="0.3">
      <c r="B18" s="36" t="s">
        <v>532</v>
      </c>
      <c r="D18" s="37" t="s">
        <v>599</v>
      </c>
      <c r="F18" s="38" t="str">
        <f t="shared" si="5"/>
        <v>UH  156   1        58.45               1</v>
      </c>
      <c r="J18" s="39">
        <f t="shared" si="6"/>
        <v>156</v>
      </c>
      <c r="K18" s="39">
        <f t="shared" si="7"/>
        <v>1</v>
      </c>
      <c r="L18" s="39" t="str">
        <f t="shared" si="3"/>
        <v xml:space="preserve">   58,2</v>
      </c>
      <c r="M18" s="39">
        <f t="shared" si="4"/>
        <v>0.25</v>
      </c>
      <c r="N18" s="40">
        <f t="shared" si="8"/>
        <v>58.45</v>
      </c>
      <c r="O18" s="40" t="str">
        <f t="shared" si="9"/>
        <v>58.45</v>
      </c>
      <c r="Q18" s="41">
        <f t="shared" si="10"/>
        <v>290</v>
      </c>
      <c r="R18" s="41" t="str">
        <f t="shared" si="11"/>
        <v xml:space="preserve">  ESPORA      </v>
      </c>
      <c r="S18" s="41" t="str">
        <f t="shared" si="12"/>
        <v xml:space="preserve">   73.0</v>
      </c>
      <c r="T18" s="41" t="str">
        <f t="shared" si="13"/>
        <v xml:space="preserve">   76.9</v>
      </c>
      <c r="U18" s="41" t="str">
        <f t="shared" si="14"/>
        <v xml:space="preserve">   84.3</v>
      </c>
      <c r="V18" s="41" t="str">
        <f t="shared" si="15"/>
        <v xml:space="preserve">   90.0</v>
      </c>
      <c r="W18" s="41" t="str">
        <f t="shared" si="16"/>
        <v xml:space="preserve">   90.0</v>
      </c>
      <c r="X18" s="41" t="str">
        <f t="shared" si="17"/>
        <v xml:space="preserve">   90.0</v>
      </c>
      <c r="Y18" s="41" t="str">
        <f t="shared" si="18"/>
        <v xml:space="preserve">   90.0</v>
      </c>
      <c r="AA18" s="128">
        <v>11</v>
      </c>
      <c r="AB18" s="128">
        <v>2</v>
      </c>
    </row>
    <row r="19" spans="2:28" x14ac:dyDescent="0.3">
      <c r="B19" s="36" t="s">
        <v>379</v>
      </c>
      <c r="D19" s="37" t="s">
        <v>600</v>
      </c>
      <c r="F19" s="38" t="str">
        <f t="shared" si="5"/>
        <v>UH  134   1          0.0               1</v>
      </c>
      <c r="J19" s="39">
        <f t="shared" si="6"/>
        <v>134</v>
      </c>
      <c r="K19" s="39">
        <f t="shared" si="7"/>
        <v>1</v>
      </c>
      <c r="L19" s="39" t="e">
        <f t="shared" si="3"/>
        <v>#N/A</v>
      </c>
      <c r="M19" s="39">
        <f t="shared" si="4"/>
        <v>0.25</v>
      </c>
      <c r="N19" s="40">
        <f t="shared" si="8"/>
        <v>0</v>
      </c>
      <c r="O19" s="40" t="str">
        <f t="shared" si="9"/>
        <v xml:space="preserve">  0.0</v>
      </c>
      <c r="Q19" s="41">
        <f t="shared" si="10"/>
        <v>20</v>
      </c>
      <c r="R19" s="41" t="str">
        <f t="shared" si="11"/>
        <v xml:space="preserve">  BATALHA     </v>
      </c>
      <c r="S19" s="41" t="str">
        <f t="shared" si="12"/>
        <v xml:space="preserve">   50.1</v>
      </c>
      <c r="T19" s="41" t="str">
        <f t="shared" si="13"/>
        <v xml:space="preserve">   46.4</v>
      </c>
      <c r="U19" s="41" t="str">
        <f t="shared" si="14"/>
        <v xml:space="preserve">   44.4</v>
      </c>
      <c r="V19" s="41" t="str">
        <f t="shared" si="15"/>
        <v xml:space="preserve">   42.8</v>
      </c>
      <c r="W19" s="41" t="str">
        <f t="shared" si="16"/>
        <v xml:space="preserve">   42.8</v>
      </c>
      <c r="X19" s="41" t="str">
        <f t="shared" si="17"/>
        <v xml:space="preserve">   42.8</v>
      </c>
      <c r="Y19" s="41" t="str">
        <f t="shared" si="18"/>
        <v xml:space="preserve">   42.8</v>
      </c>
      <c r="AA19" s="128">
        <v>3</v>
      </c>
      <c r="AB19" s="128">
        <v>3</v>
      </c>
    </row>
    <row r="20" spans="2:28" x14ac:dyDescent="0.3">
      <c r="B20" s="36" t="s">
        <v>380</v>
      </c>
      <c r="D20" s="37" t="s">
        <v>601</v>
      </c>
      <c r="F20" s="38" t="str">
        <f t="shared" si="5"/>
        <v>UH   10  10          0.0               1</v>
      </c>
      <c r="J20" s="39">
        <f t="shared" si="6"/>
        <v>10</v>
      </c>
      <c r="K20" s="39">
        <f t="shared" si="7"/>
        <v>1</v>
      </c>
      <c r="L20" s="39" t="e">
        <f t="shared" si="3"/>
        <v>#N/A</v>
      </c>
      <c r="M20" s="39">
        <f t="shared" si="4"/>
        <v>0.25</v>
      </c>
      <c r="N20" s="40">
        <f t="shared" si="8"/>
        <v>0</v>
      </c>
      <c r="O20" s="40" t="str">
        <f t="shared" si="9"/>
        <v xml:space="preserve">  0.0</v>
      </c>
      <c r="Q20" s="41">
        <f t="shared" si="10"/>
        <v>21</v>
      </c>
      <c r="R20" s="41" t="str">
        <f t="shared" si="11"/>
        <v xml:space="preserve">  SERRA FACAO </v>
      </c>
      <c r="S20" s="41" t="str">
        <f t="shared" si="12"/>
        <v xml:space="preserve">   31.5</v>
      </c>
      <c r="T20" s="41" t="str">
        <f t="shared" si="13"/>
        <v xml:space="preserve">   32.1</v>
      </c>
      <c r="U20" s="41" t="str">
        <f t="shared" si="14"/>
        <v xml:space="preserve">   32.7</v>
      </c>
      <c r="V20" s="41" t="str">
        <f t="shared" si="15"/>
        <v xml:space="preserve">   33.0</v>
      </c>
      <c r="W20" s="41" t="str">
        <f t="shared" si="16"/>
        <v xml:space="preserve">   33.0</v>
      </c>
      <c r="X20" s="41" t="str">
        <f t="shared" si="17"/>
        <v xml:space="preserve">   33.0</v>
      </c>
      <c r="Y20" s="41" t="str">
        <f t="shared" si="18"/>
        <v xml:space="preserve">   33.0</v>
      </c>
      <c r="AA20" s="128">
        <v>4</v>
      </c>
      <c r="AB20" s="128">
        <v>4</v>
      </c>
    </row>
    <row r="21" spans="2:28" x14ac:dyDescent="0.3">
      <c r="B21" s="36" t="s">
        <v>381</v>
      </c>
      <c r="D21" s="37" t="s">
        <v>602</v>
      </c>
      <c r="F21" s="38" t="str">
        <f t="shared" si="5"/>
        <v>UH  143   1          0.0               1</v>
      </c>
      <c r="J21" s="39">
        <f t="shared" si="6"/>
        <v>143</v>
      </c>
      <c r="K21" s="39">
        <f t="shared" si="7"/>
        <v>1</v>
      </c>
      <c r="L21" s="39" t="e">
        <f t="shared" si="3"/>
        <v>#N/A</v>
      </c>
      <c r="M21" s="39">
        <f t="shared" si="4"/>
        <v>0.25</v>
      </c>
      <c r="N21" s="40">
        <f t="shared" si="8"/>
        <v>0</v>
      </c>
      <c r="O21" s="40" t="str">
        <f t="shared" si="9"/>
        <v xml:space="preserve">  0.0</v>
      </c>
      <c r="Q21" s="41">
        <f t="shared" si="10"/>
        <v>24</v>
      </c>
      <c r="R21" s="41" t="str">
        <f t="shared" si="11"/>
        <v xml:space="preserve">  EMBORCACAO  </v>
      </c>
      <c r="S21" s="41" t="str">
        <f t="shared" si="12"/>
        <v xml:space="preserve">   25.8</v>
      </c>
      <c r="T21" s="41" t="str">
        <f t="shared" si="13"/>
        <v xml:space="preserve">   25.2</v>
      </c>
      <c r="U21" s="41" t="str">
        <f t="shared" si="14"/>
        <v xml:space="preserve">   24.9</v>
      </c>
      <c r="V21" s="41" t="str">
        <f t="shared" si="15"/>
        <v xml:space="preserve">   24.5</v>
      </c>
      <c r="W21" s="41" t="str">
        <f t="shared" si="16"/>
        <v xml:space="preserve">   24.5</v>
      </c>
      <c r="X21" s="41" t="str">
        <f t="shared" si="17"/>
        <v xml:space="preserve">   24.5</v>
      </c>
      <c r="Y21" s="41" t="str">
        <f t="shared" si="18"/>
        <v xml:space="preserve">   24.5</v>
      </c>
      <c r="AA21" s="128">
        <v>8</v>
      </c>
      <c r="AB21" s="128">
        <v>4</v>
      </c>
    </row>
    <row r="22" spans="2:28" x14ac:dyDescent="0.3">
      <c r="B22" s="36" t="s">
        <v>533</v>
      </c>
      <c r="D22" s="37" t="s">
        <v>603</v>
      </c>
      <c r="F22" s="38" t="str">
        <f t="shared" si="5"/>
        <v>UH  162   1        33.85               1</v>
      </c>
      <c r="J22" s="39">
        <f t="shared" si="6"/>
        <v>162</v>
      </c>
      <c r="K22" s="39">
        <f t="shared" si="7"/>
        <v>1</v>
      </c>
      <c r="L22" s="39" t="str">
        <f t="shared" si="3"/>
        <v xml:space="preserve">   33,6</v>
      </c>
      <c r="M22" s="39">
        <f t="shared" si="4"/>
        <v>0.25</v>
      </c>
      <c r="N22" s="40">
        <f t="shared" si="8"/>
        <v>33.85</v>
      </c>
      <c r="O22" s="40" t="str">
        <f t="shared" si="9"/>
        <v>33.85</v>
      </c>
      <c r="Q22" s="41">
        <f t="shared" si="10"/>
        <v>25</v>
      </c>
      <c r="R22" s="41" t="str">
        <f t="shared" si="11"/>
        <v xml:space="preserve">  NOVA PONTE  </v>
      </c>
      <c r="S22" s="41" t="str">
        <f t="shared" si="12"/>
        <v xml:space="preserve">   23.9</v>
      </c>
      <c r="T22" s="41" t="str">
        <f t="shared" si="13"/>
        <v xml:space="preserve">   23.6</v>
      </c>
      <c r="U22" s="41" t="str">
        <f t="shared" si="14"/>
        <v xml:space="preserve">   23.7</v>
      </c>
      <c r="V22" s="41" t="str">
        <f t="shared" si="15"/>
        <v xml:space="preserve">   23.8</v>
      </c>
      <c r="W22" s="41" t="str">
        <f t="shared" si="16"/>
        <v xml:space="preserve">   23.8</v>
      </c>
      <c r="X22" s="41" t="str">
        <f t="shared" si="17"/>
        <v xml:space="preserve">   23.8</v>
      </c>
      <c r="Y22" s="41" t="str">
        <f t="shared" si="18"/>
        <v xml:space="preserve">   23.8</v>
      </c>
      <c r="AA22" s="128">
        <v>9</v>
      </c>
      <c r="AB22" s="128">
        <v>4</v>
      </c>
    </row>
    <row r="23" spans="2:28" x14ac:dyDescent="0.3">
      <c r="B23" s="36" t="s">
        <v>534</v>
      </c>
      <c r="D23" s="37" t="s">
        <v>604</v>
      </c>
      <c r="F23" s="38" t="str">
        <f t="shared" si="5"/>
        <v>UH  148   1        28.85               1</v>
      </c>
      <c r="J23" s="39">
        <f t="shared" si="6"/>
        <v>148</v>
      </c>
      <c r="K23" s="39">
        <f t="shared" si="7"/>
        <v>1</v>
      </c>
      <c r="L23" s="39" t="str">
        <f t="shared" si="3"/>
        <v xml:space="preserve">   28,6</v>
      </c>
      <c r="M23" s="39">
        <f t="shared" si="4"/>
        <v>0.25</v>
      </c>
      <c r="N23" s="40">
        <f t="shared" si="8"/>
        <v>28.85</v>
      </c>
      <c r="O23" s="40" t="str">
        <f t="shared" si="9"/>
        <v>28.85</v>
      </c>
      <c r="Q23" s="41">
        <f t="shared" si="10"/>
        <v>26</v>
      </c>
      <c r="R23" s="41" t="str">
        <f t="shared" si="11"/>
        <v xml:space="preserve">  MIRANDA     </v>
      </c>
      <c r="S23" s="41" t="str">
        <f t="shared" si="12"/>
        <v xml:space="preserve">   63.2</v>
      </c>
      <c r="T23" s="41" t="str">
        <f t="shared" si="13"/>
        <v xml:space="preserve">   72.5</v>
      </c>
      <c r="U23" s="41" t="str">
        <f t="shared" si="14"/>
        <v xml:space="preserve">   73.3</v>
      </c>
      <c r="V23" s="41" t="str">
        <f t="shared" si="15"/>
        <v xml:space="preserve">   87.0</v>
      </c>
      <c r="W23" s="41" t="str">
        <f t="shared" si="16"/>
        <v xml:space="preserve">   87.0</v>
      </c>
      <c r="X23" s="41" t="str">
        <f t="shared" si="17"/>
        <v xml:space="preserve">   87.0</v>
      </c>
      <c r="Y23" s="41" t="str">
        <f t="shared" si="18"/>
        <v xml:space="preserve">   87.0</v>
      </c>
    </row>
    <row r="24" spans="2:28" x14ac:dyDescent="0.3">
      <c r="B24" s="36" t="s">
        <v>382</v>
      </c>
      <c r="D24" s="37" t="s">
        <v>605</v>
      </c>
      <c r="F24" s="38" t="str">
        <f t="shared" si="5"/>
        <v>UH  217   1          0.0               1</v>
      </c>
      <c r="J24" s="39">
        <f t="shared" si="6"/>
        <v>217</v>
      </c>
      <c r="K24" s="39">
        <f t="shared" si="7"/>
        <v>1</v>
      </c>
      <c r="L24" s="39" t="e">
        <f t="shared" si="3"/>
        <v>#N/A</v>
      </c>
      <c r="M24" s="39">
        <f t="shared" si="4"/>
        <v>0.25</v>
      </c>
      <c r="N24" s="40">
        <f t="shared" si="8"/>
        <v>0</v>
      </c>
      <c r="O24" s="40" t="str">
        <f t="shared" si="9"/>
        <v xml:space="preserve">  0.0</v>
      </c>
      <c r="Q24" s="41">
        <f t="shared" si="10"/>
        <v>27</v>
      </c>
      <c r="R24" s="41" t="str">
        <f t="shared" si="11"/>
        <v xml:space="preserve">  CAPIM BRANC1</v>
      </c>
      <c r="S24" s="41" t="str">
        <f t="shared" si="12"/>
        <v xml:space="preserve">   22.9</v>
      </c>
      <c r="T24" s="41" t="str">
        <f t="shared" si="13"/>
        <v xml:space="preserve">  100.0</v>
      </c>
      <c r="U24" s="41" t="str">
        <f t="shared" si="14"/>
        <v xml:space="preserve">  100.0</v>
      </c>
      <c r="V24" s="41" t="str">
        <f t="shared" si="15"/>
        <v xml:space="preserve">  100.0</v>
      </c>
      <c r="W24" s="41" t="str">
        <f t="shared" si="16"/>
        <v xml:space="preserve">  100.0</v>
      </c>
      <c r="X24" s="41" t="str">
        <f t="shared" si="17"/>
        <v xml:space="preserve">  100.0</v>
      </c>
      <c r="Y24" s="41" t="str">
        <f t="shared" si="18"/>
        <v xml:space="preserve">  100.0</v>
      </c>
    </row>
    <row r="25" spans="2:28" x14ac:dyDescent="0.3">
      <c r="B25" s="36" t="s">
        <v>383</v>
      </c>
      <c r="D25" s="37" t="s">
        <v>606</v>
      </c>
      <c r="F25" s="38" t="str">
        <f t="shared" si="5"/>
        <v>UH  193   1          0.0               1</v>
      </c>
      <c r="J25" s="39">
        <f t="shared" si="6"/>
        <v>193</v>
      </c>
      <c r="K25" s="39">
        <f t="shared" si="7"/>
        <v>1</v>
      </c>
      <c r="L25" s="39" t="e">
        <f t="shared" si="3"/>
        <v>#N/A</v>
      </c>
      <c r="M25" s="39">
        <f t="shared" si="4"/>
        <v>0.25</v>
      </c>
      <c r="N25" s="40">
        <f t="shared" si="8"/>
        <v>0</v>
      </c>
      <c r="O25" s="40" t="str">
        <f t="shared" si="9"/>
        <v xml:space="preserve">  0.0</v>
      </c>
      <c r="Q25" s="41">
        <f t="shared" si="10"/>
        <v>29</v>
      </c>
      <c r="R25" s="41" t="e">
        <f ca="1">RIGHT(Q20LEFT($D25,21),14)</f>
        <v>#NAME?</v>
      </c>
      <c r="S25" s="41" t="str">
        <f t="shared" si="12"/>
        <v xml:space="preserve">   28.3</v>
      </c>
      <c r="T25" s="41" t="str">
        <f t="shared" si="13"/>
        <v xml:space="preserve">   16.4</v>
      </c>
      <c r="U25" s="41" t="str">
        <f t="shared" si="14"/>
        <v xml:space="preserve">    7.5</v>
      </c>
      <c r="V25" s="41" t="str">
        <f t="shared" si="15"/>
        <v xml:space="preserve">    8.6</v>
      </c>
      <c r="W25" s="41" t="str">
        <f t="shared" si="16"/>
        <v xml:space="preserve">    8.6</v>
      </c>
      <c r="X25" s="41" t="str">
        <f t="shared" si="17"/>
        <v xml:space="preserve">    8.6</v>
      </c>
      <c r="Y25" s="41" t="str">
        <f t="shared" si="18"/>
        <v xml:space="preserve">    8.6</v>
      </c>
    </row>
    <row r="26" spans="2:28" x14ac:dyDescent="0.3">
      <c r="B26" s="36" t="s">
        <v>384</v>
      </c>
      <c r="D26" s="37" t="s">
        <v>607</v>
      </c>
      <c r="F26" s="38" t="str">
        <f t="shared" si="5"/>
        <v>UH  141   1          0.0               1</v>
      </c>
      <c r="J26" s="39">
        <f t="shared" si="6"/>
        <v>141</v>
      </c>
      <c r="K26" s="39">
        <f t="shared" si="7"/>
        <v>1</v>
      </c>
      <c r="L26" s="39" t="e">
        <f t="shared" si="3"/>
        <v>#N/A</v>
      </c>
      <c r="M26" s="39">
        <f t="shared" si="4"/>
        <v>0.25</v>
      </c>
      <c r="N26" s="40">
        <f t="shared" si="8"/>
        <v>0</v>
      </c>
      <c r="O26" s="40" t="str">
        <f t="shared" si="9"/>
        <v xml:space="preserve">  0.0</v>
      </c>
      <c r="Q26" s="41">
        <f t="shared" si="10"/>
        <v>203</v>
      </c>
      <c r="R26" s="41" t="str">
        <f t="shared" si="11"/>
        <v xml:space="preserve">  CORUMBA III </v>
      </c>
      <c r="S26" s="41" t="str">
        <f t="shared" si="12"/>
        <v xml:space="preserve">   23.7</v>
      </c>
      <c r="T26" s="41" t="str">
        <f t="shared" si="13"/>
        <v xml:space="preserve">   28.6</v>
      </c>
      <c r="U26" s="41" t="str">
        <f t="shared" si="14"/>
        <v xml:space="preserve">   20.3</v>
      </c>
      <c r="V26" s="41" t="str">
        <f t="shared" si="15"/>
        <v xml:space="preserve">    0.0</v>
      </c>
      <c r="W26" s="41" t="str">
        <f t="shared" si="16"/>
        <v xml:space="preserve">    0.0</v>
      </c>
      <c r="X26" s="41" t="str">
        <f t="shared" si="17"/>
        <v xml:space="preserve">    0.0</v>
      </c>
      <c r="Y26" s="41" t="str">
        <f t="shared" si="18"/>
        <v xml:space="preserve">    0.0</v>
      </c>
    </row>
    <row r="27" spans="2:28" x14ac:dyDescent="0.3">
      <c r="B27" s="36" t="s">
        <v>535</v>
      </c>
      <c r="D27" s="37" t="s">
        <v>608</v>
      </c>
      <c r="F27" s="38" t="str">
        <f t="shared" si="5"/>
        <v>UH   14  10        70.25               1</v>
      </c>
      <c r="J27" s="39">
        <f t="shared" si="6"/>
        <v>14</v>
      </c>
      <c r="K27" s="39">
        <f t="shared" si="7"/>
        <v>1</v>
      </c>
      <c r="L27" s="39" t="str">
        <f t="shared" si="3"/>
        <v xml:space="preserve">   70,0</v>
      </c>
      <c r="M27" s="39">
        <f t="shared" si="4"/>
        <v>0.25</v>
      </c>
      <c r="N27" s="40">
        <f t="shared" si="8"/>
        <v>70.25</v>
      </c>
      <c r="O27" s="40" t="str">
        <f t="shared" si="9"/>
        <v>70.25</v>
      </c>
      <c r="Q27" s="41">
        <f t="shared" si="10"/>
        <v>30</v>
      </c>
      <c r="R27" s="41" t="str">
        <f t="shared" si="11"/>
        <v xml:space="preserve">  CORUMBA I   </v>
      </c>
      <c r="S27" s="41" t="str">
        <f t="shared" si="12"/>
        <v xml:space="preserve">   37.1</v>
      </c>
      <c r="T27" s="41" t="str">
        <f t="shared" si="13"/>
        <v xml:space="preserve">   44.4</v>
      </c>
      <c r="U27" s="41" t="str">
        <f t="shared" si="14"/>
        <v xml:space="preserve">   52.3</v>
      </c>
      <c r="V27" s="41" t="str">
        <f t="shared" si="15"/>
        <v xml:space="preserve">   56.8</v>
      </c>
      <c r="W27" s="41" t="str">
        <f t="shared" si="16"/>
        <v xml:space="preserve">   56.8</v>
      </c>
      <c r="X27" s="41" t="str">
        <f t="shared" si="17"/>
        <v xml:space="preserve">   56.8</v>
      </c>
      <c r="Y27" s="41" t="str">
        <f t="shared" si="18"/>
        <v xml:space="preserve">   56.8</v>
      </c>
      <c r="AA27" s="39">
        <v>1</v>
      </c>
      <c r="AB27" s="40">
        <f>E3</f>
        <v>0.25</v>
      </c>
    </row>
    <row r="28" spans="2:28" x14ac:dyDescent="0.3">
      <c r="B28" s="36" t="s">
        <v>536</v>
      </c>
      <c r="D28" s="37" t="s">
        <v>609</v>
      </c>
      <c r="F28" s="38" t="str">
        <f t="shared" si="5"/>
        <v>UH   18  10        19.75               1</v>
      </c>
      <c r="J28" s="39">
        <f t="shared" si="6"/>
        <v>18</v>
      </c>
      <c r="K28" s="39">
        <f t="shared" si="7"/>
        <v>1</v>
      </c>
      <c r="L28" s="39" t="str">
        <f t="shared" si="3"/>
        <v xml:space="preserve">   19,5</v>
      </c>
      <c r="M28" s="39">
        <f t="shared" si="4"/>
        <v>0.25</v>
      </c>
      <c r="N28" s="40">
        <f t="shared" si="8"/>
        <v>19.75</v>
      </c>
      <c r="O28" s="40" t="str">
        <f t="shared" si="9"/>
        <v>19.75</v>
      </c>
      <c r="Q28" s="41">
        <f t="shared" si="10"/>
        <v>31</v>
      </c>
      <c r="R28" s="41" t="str">
        <f t="shared" si="11"/>
        <v xml:space="preserve">  ITUMBIARA   </v>
      </c>
      <c r="S28" s="41" t="str">
        <f t="shared" si="12"/>
        <v xml:space="preserve">   22.6</v>
      </c>
      <c r="T28" s="41" t="str">
        <f t="shared" si="13"/>
        <v xml:space="preserve">   21.8</v>
      </c>
      <c r="U28" s="41" t="str">
        <f t="shared" si="14"/>
        <v xml:space="preserve">   22.3</v>
      </c>
      <c r="V28" s="41" t="str">
        <f t="shared" si="15"/>
        <v xml:space="preserve">   22.9</v>
      </c>
      <c r="W28" s="41" t="str">
        <f t="shared" si="16"/>
        <v xml:space="preserve">   22.9</v>
      </c>
      <c r="X28" s="41" t="str">
        <f t="shared" si="17"/>
        <v xml:space="preserve">   22.9</v>
      </c>
      <c r="Y28" s="41" t="str">
        <f t="shared" si="18"/>
        <v xml:space="preserve">   22.9</v>
      </c>
      <c r="AA28" s="39">
        <v>2</v>
      </c>
      <c r="AB28" s="40">
        <f>E4</f>
        <v>-1.2999999999999972</v>
      </c>
    </row>
    <row r="29" spans="2:28" x14ac:dyDescent="0.3">
      <c r="B29" s="36" t="s">
        <v>537</v>
      </c>
      <c r="D29" s="37" t="s">
        <v>610</v>
      </c>
      <c r="F29" s="38" t="str">
        <f t="shared" si="5"/>
        <v>UH   37  10        51.85               1</v>
      </c>
      <c r="J29" s="39">
        <f t="shared" si="6"/>
        <v>37</v>
      </c>
      <c r="K29" s="39">
        <f t="shared" si="7"/>
        <v>1</v>
      </c>
      <c r="L29" s="39" t="str">
        <f t="shared" si="3"/>
        <v xml:space="preserve">   51,6</v>
      </c>
      <c r="M29" s="39">
        <f t="shared" si="4"/>
        <v>0.25</v>
      </c>
      <c r="N29" s="40">
        <f t="shared" si="8"/>
        <v>51.85</v>
      </c>
      <c r="O29" s="40" t="str">
        <f t="shared" si="9"/>
        <v>51.85</v>
      </c>
      <c r="Q29" s="41">
        <f t="shared" si="10"/>
        <v>33</v>
      </c>
      <c r="R29" s="41" t="str">
        <f t="shared" si="11"/>
        <v xml:space="preserve">  SAO SIMAO   </v>
      </c>
      <c r="S29" s="41" t="str">
        <f t="shared" si="12"/>
        <v xml:space="preserve">   48.0</v>
      </c>
      <c r="T29" s="41" t="str">
        <f t="shared" si="13"/>
        <v xml:space="preserve">   52.9</v>
      </c>
      <c r="U29" s="41" t="str">
        <f t="shared" si="14"/>
        <v xml:space="preserve">   59.5</v>
      </c>
      <c r="V29" s="41" t="str">
        <f t="shared" si="15"/>
        <v xml:space="preserve">   68.8</v>
      </c>
      <c r="W29" s="41" t="str">
        <f t="shared" si="16"/>
        <v xml:space="preserve">   68.8</v>
      </c>
      <c r="X29" s="41" t="str">
        <f t="shared" si="17"/>
        <v xml:space="preserve">   68.8</v>
      </c>
      <c r="Y29" s="41" t="str">
        <f t="shared" si="18"/>
        <v xml:space="preserve">   68.8</v>
      </c>
      <c r="AA29" s="39">
        <v>3</v>
      </c>
      <c r="AB29" s="40">
        <f>E5</f>
        <v>0.10000000000000142</v>
      </c>
    </row>
    <row r="30" spans="2:28" x14ac:dyDescent="0.3">
      <c r="B30" s="36" t="s">
        <v>538</v>
      </c>
      <c r="D30" s="37" t="s">
        <v>611</v>
      </c>
      <c r="F30" s="38" t="str">
        <f t="shared" si="5"/>
        <v>UH   40  10        29.25               1</v>
      </c>
      <c r="J30" s="39">
        <f t="shared" si="6"/>
        <v>40</v>
      </c>
      <c r="K30" s="39">
        <f t="shared" si="7"/>
        <v>1</v>
      </c>
      <c r="L30" s="39" t="str">
        <f t="shared" si="3"/>
        <v xml:space="preserve">   29,0</v>
      </c>
      <c r="M30" s="39">
        <f t="shared" si="4"/>
        <v>0.25</v>
      </c>
      <c r="N30" s="40">
        <f t="shared" si="8"/>
        <v>29.25</v>
      </c>
      <c r="O30" s="40" t="str">
        <f t="shared" si="9"/>
        <v>29.25</v>
      </c>
      <c r="Q30" s="41">
        <f t="shared" si="10"/>
        <v>34</v>
      </c>
      <c r="R30" s="41" t="str">
        <f t="shared" si="11"/>
        <v xml:space="preserve">  I. SOLTEIRA </v>
      </c>
      <c r="S30" s="41" t="str">
        <f t="shared" si="12"/>
        <v xml:space="preserve">   55.5</v>
      </c>
      <c r="T30" s="41" t="str">
        <f t="shared" si="13"/>
        <v xml:space="preserve">   48.8</v>
      </c>
      <c r="U30" s="41" t="str">
        <f t="shared" si="14"/>
        <v xml:space="preserve">   50.1</v>
      </c>
      <c r="V30" s="41" t="str">
        <f t="shared" si="15"/>
        <v xml:space="preserve">   56.0</v>
      </c>
      <c r="W30" s="41" t="str">
        <f t="shared" si="16"/>
        <v xml:space="preserve">   56.0</v>
      </c>
      <c r="X30" s="41" t="str">
        <f t="shared" si="17"/>
        <v xml:space="preserve">   56.0</v>
      </c>
      <c r="Y30" s="41" t="str">
        <f t="shared" si="18"/>
        <v xml:space="preserve">   56.0</v>
      </c>
      <c r="AA30" s="39">
        <v>4</v>
      </c>
      <c r="AB30" s="40">
        <f>E6</f>
        <v>5</v>
      </c>
    </row>
    <row r="31" spans="2:28" x14ac:dyDescent="0.3">
      <c r="B31" s="36" t="s">
        <v>385</v>
      </c>
      <c r="D31" s="37" t="s">
        <v>612</v>
      </c>
      <c r="F31" s="38" t="str">
        <f t="shared" si="5"/>
        <v>UH   42  10          0.0               1</v>
      </c>
      <c r="J31" s="39">
        <f t="shared" si="6"/>
        <v>42</v>
      </c>
      <c r="K31" s="39">
        <f t="shared" si="7"/>
        <v>1</v>
      </c>
      <c r="L31" s="39" t="e">
        <f t="shared" si="3"/>
        <v>#N/A</v>
      </c>
      <c r="M31" s="39">
        <f t="shared" si="4"/>
        <v>0.25</v>
      </c>
      <c r="N31" s="40">
        <f t="shared" si="8"/>
        <v>0</v>
      </c>
      <c r="O31" s="40" t="str">
        <f t="shared" si="9"/>
        <v xml:space="preserve">  0.0</v>
      </c>
      <c r="Q31" s="41">
        <f t="shared" si="10"/>
        <v>118</v>
      </c>
      <c r="R31" s="41" t="str">
        <f t="shared" si="11"/>
        <v xml:space="preserve">  BILLINGS    </v>
      </c>
      <c r="S31" s="41" t="str">
        <f t="shared" si="12"/>
        <v xml:space="preserve">   84.8</v>
      </c>
      <c r="T31" s="41" t="str">
        <f t="shared" si="13"/>
        <v xml:space="preserve">   87.0</v>
      </c>
      <c r="U31" s="41" t="str">
        <f t="shared" si="14"/>
        <v xml:space="preserve">   87.7</v>
      </c>
      <c r="V31" s="41" t="str">
        <f t="shared" si="15"/>
        <v xml:space="preserve">   88.4</v>
      </c>
      <c r="W31" s="41" t="str">
        <f t="shared" si="16"/>
        <v xml:space="preserve">   88.4</v>
      </c>
      <c r="X31" s="41" t="str">
        <f t="shared" si="17"/>
        <v xml:space="preserve">   88.4</v>
      </c>
      <c r="Y31" s="41" t="str">
        <f t="shared" si="18"/>
        <v xml:space="preserve">   88.4</v>
      </c>
    </row>
    <row r="32" spans="2:28" x14ac:dyDescent="0.3">
      <c r="B32" s="36" t="s">
        <v>386</v>
      </c>
      <c r="D32" s="37" t="s">
        <v>613</v>
      </c>
      <c r="F32" s="38" t="str">
        <f t="shared" si="5"/>
        <v>UH   15  10          0.0               1</v>
      </c>
      <c r="J32" s="39">
        <f t="shared" si="6"/>
        <v>15</v>
      </c>
      <c r="K32" s="39">
        <f t="shared" si="7"/>
        <v>1</v>
      </c>
      <c r="L32" s="39" t="e">
        <f t="shared" si="3"/>
        <v>#N/A</v>
      </c>
      <c r="M32" s="39">
        <f t="shared" si="4"/>
        <v>0.25</v>
      </c>
      <c r="N32" s="40">
        <f t="shared" si="8"/>
        <v>0</v>
      </c>
      <c r="O32" s="40" t="str">
        <f t="shared" si="9"/>
        <v xml:space="preserve">  0.0</v>
      </c>
      <c r="Q32" s="41">
        <f t="shared" si="10"/>
        <v>117</v>
      </c>
      <c r="R32" s="41" t="str">
        <f t="shared" si="11"/>
        <v xml:space="preserve">  GUARAPIRANGA</v>
      </c>
      <c r="S32" s="41" t="str">
        <f t="shared" si="12"/>
        <v xml:space="preserve">   78.5</v>
      </c>
      <c r="T32" s="41" t="str">
        <f t="shared" si="13"/>
        <v xml:space="preserve">   81.1</v>
      </c>
      <c r="U32" s="41" t="str">
        <f t="shared" si="14"/>
        <v xml:space="preserve">   85.4</v>
      </c>
      <c r="V32" s="41" t="str">
        <f t="shared" si="15"/>
        <v xml:space="preserve">   89.4</v>
      </c>
      <c r="W32" s="41" t="str">
        <f t="shared" si="16"/>
        <v xml:space="preserve">   89.4</v>
      </c>
      <c r="X32" s="41" t="str">
        <f t="shared" si="17"/>
        <v xml:space="preserve">   89.4</v>
      </c>
      <c r="Y32" s="41" t="str">
        <f t="shared" si="18"/>
        <v xml:space="preserve">   89.4</v>
      </c>
    </row>
    <row r="33" spans="2:25" x14ac:dyDescent="0.3">
      <c r="B33" s="36" t="s">
        <v>387</v>
      </c>
      <c r="D33" s="37" t="s">
        <v>614</v>
      </c>
      <c r="F33" s="38" t="str">
        <f t="shared" si="5"/>
        <v>UH   16  10          0.0               1</v>
      </c>
      <c r="J33" s="39">
        <f t="shared" si="6"/>
        <v>16</v>
      </c>
      <c r="K33" s="39">
        <f t="shared" si="7"/>
        <v>1</v>
      </c>
      <c r="L33" s="39" t="e">
        <f t="shared" si="3"/>
        <v>#N/A</v>
      </c>
      <c r="M33" s="39">
        <f t="shared" si="4"/>
        <v>0.25</v>
      </c>
      <c r="N33" s="40">
        <f t="shared" si="8"/>
        <v>0</v>
      </c>
      <c r="O33" s="40" t="str">
        <f t="shared" si="9"/>
        <v xml:space="preserve">  0.0</v>
      </c>
      <c r="Q33" s="41">
        <f t="shared" si="10"/>
        <v>37</v>
      </c>
      <c r="R33" s="41" t="str">
        <f t="shared" si="11"/>
        <v xml:space="preserve">  BARRA BONITA</v>
      </c>
      <c r="S33" s="41" t="str">
        <f t="shared" si="12"/>
        <v xml:space="preserve">   52.7</v>
      </c>
      <c r="T33" s="41" t="str">
        <f t="shared" si="13"/>
        <v xml:space="preserve">   51.6</v>
      </c>
      <c r="U33" s="41" t="str">
        <f t="shared" si="14"/>
        <v xml:space="preserve">   57.4</v>
      </c>
      <c r="V33" s="41" t="str">
        <f t="shared" si="15"/>
        <v xml:space="preserve">   63.8</v>
      </c>
      <c r="W33" s="41" t="str">
        <f t="shared" si="16"/>
        <v xml:space="preserve">   63.8</v>
      </c>
      <c r="X33" s="41" t="str">
        <f t="shared" si="17"/>
        <v xml:space="preserve">   63.8</v>
      </c>
      <c r="Y33" s="41" t="str">
        <f t="shared" si="18"/>
        <v xml:space="preserve">   63.8</v>
      </c>
    </row>
    <row r="34" spans="2:25" x14ac:dyDescent="0.3">
      <c r="B34" s="36" t="s">
        <v>388</v>
      </c>
      <c r="D34" s="37" t="s">
        <v>615</v>
      </c>
      <c r="F34" s="38" t="str">
        <f t="shared" si="5"/>
        <v>UH   38  10          0.0               1</v>
      </c>
      <c r="J34" s="39">
        <f t="shared" si="6"/>
        <v>38</v>
      </c>
      <c r="K34" s="39">
        <f t="shared" si="7"/>
        <v>1</v>
      </c>
      <c r="L34" s="39" t="e">
        <f t="shared" si="3"/>
        <v>#N/A</v>
      </c>
      <c r="M34" s="39">
        <f t="shared" si="4"/>
        <v>0.25</v>
      </c>
      <c r="N34" s="40">
        <f t="shared" si="8"/>
        <v>0</v>
      </c>
      <c r="O34" s="40" t="str">
        <f t="shared" si="9"/>
        <v xml:space="preserve">  0.0</v>
      </c>
      <c r="Q34" s="41">
        <f t="shared" si="10"/>
        <v>40</v>
      </c>
      <c r="R34" s="41" t="str">
        <f t="shared" si="11"/>
        <v xml:space="preserve">  PROMISSAO   </v>
      </c>
      <c r="S34" s="41" t="str">
        <f t="shared" si="12"/>
        <v xml:space="preserve">   32.8</v>
      </c>
      <c r="T34" s="41" t="str">
        <f t="shared" si="13"/>
        <v xml:space="preserve">   29.0</v>
      </c>
      <c r="U34" s="41" t="str">
        <f t="shared" si="14"/>
        <v xml:space="preserve">   29.0</v>
      </c>
      <c r="V34" s="41" t="str">
        <f t="shared" si="15"/>
        <v xml:space="preserve">   29.0</v>
      </c>
      <c r="W34" s="41" t="str">
        <f t="shared" si="16"/>
        <v xml:space="preserve">   29.0</v>
      </c>
      <c r="X34" s="41" t="str">
        <f t="shared" si="17"/>
        <v xml:space="preserve">   29.0</v>
      </c>
      <c r="Y34" s="41" t="str">
        <f t="shared" si="18"/>
        <v xml:space="preserve">   29.0</v>
      </c>
    </row>
    <row r="35" spans="2:25" x14ac:dyDescent="0.3">
      <c r="B35" s="36" t="s">
        <v>389</v>
      </c>
      <c r="D35" s="37" t="s">
        <v>616</v>
      </c>
      <c r="F35" s="38" t="str">
        <f t="shared" si="5"/>
        <v>UH   39  10          0.0               1</v>
      </c>
      <c r="J35" s="39">
        <f t="shared" si="6"/>
        <v>39</v>
      </c>
      <c r="K35" s="39">
        <f t="shared" si="7"/>
        <v>1</v>
      </c>
      <c r="L35" s="39" t="e">
        <f t="shared" si="3"/>
        <v>#N/A</v>
      </c>
      <c r="M35" s="39">
        <f t="shared" si="4"/>
        <v>0.25</v>
      </c>
      <c r="N35" s="40">
        <f t="shared" si="8"/>
        <v>0</v>
      </c>
      <c r="O35" s="40" t="str">
        <f t="shared" si="9"/>
        <v xml:space="preserve">  0.0</v>
      </c>
      <c r="Q35" s="41">
        <f t="shared" si="10"/>
        <v>43</v>
      </c>
      <c r="R35" s="41" t="str">
        <f t="shared" si="11"/>
        <v xml:space="preserve">  TRES IRMAOS </v>
      </c>
      <c r="S35" s="41" t="str">
        <f t="shared" si="12"/>
        <v xml:space="preserve">   50.4</v>
      </c>
      <c r="T35" s="41" t="str">
        <f t="shared" si="13"/>
        <v xml:space="preserve">   48.7</v>
      </c>
      <c r="U35" s="41" t="str">
        <f t="shared" si="14"/>
        <v xml:space="preserve">   50.1</v>
      </c>
      <c r="V35" s="41" t="str">
        <f t="shared" si="15"/>
        <v xml:space="preserve">   55.9</v>
      </c>
      <c r="W35" s="41" t="str">
        <f t="shared" si="16"/>
        <v xml:space="preserve">   55.9</v>
      </c>
      <c r="X35" s="41" t="str">
        <f t="shared" si="17"/>
        <v xml:space="preserve">   55.9</v>
      </c>
      <c r="Y35" s="41" t="str">
        <f t="shared" si="18"/>
        <v xml:space="preserve">   55.9</v>
      </c>
    </row>
    <row r="36" spans="2:25" x14ac:dyDescent="0.3">
      <c r="B36" s="36" t="s">
        <v>390</v>
      </c>
      <c r="D36" s="37" t="s">
        <v>617</v>
      </c>
      <c r="F36" s="38" t="str">
        <f t="shared" si="5"/>
        <v>UH   62  12          0.0               1</v>
      </c>
      <c r="J36" s="39">
        <f t="shared" si="6"/>
        <v>62</v>
      </c>
      <c r="K36" s="39">
        <f t="shared" si="7"/>
        <v>1</v>
      </c>
      <c r="L36" s="39" t="e">
        <f t="shared" si="3"/>
        <v>#N/A</v>
      </c>
      <c r="M36" s="39">
        <f t="shared" si="4"/>
        <v>0.25</v>
      </c>
      <c r="N36" s="40">
        <f t="shared" si="8"/>
        <v>0</v>
      </c>
      <c r="O36" s="40" t="str">
        <f t="shared" si="9"/>
        <v xml:space="preserve">  0.0</v>
      </c>
      <c r="Q36" s="41">
        <f t="shared" si="10"/>
        <v>47</v>
      </c>
      <c r="R36" s="41" t="str">
        <f t="shared" si="11"/>
        <v xml:space="preserve">  A.A. LAYDNER</v>
      </c>
      <c r="S36" s="41" t="str">
        <f t="shared" si="12"/>
        <v xml:space="preserve">   13.1</v>
      </c>
      <c r="T36" s="41" t="str">
        <f t="shared" si="13"/>
        <v xml:space="preserve">   11.5</v>
      </c>
      <c r="U36" s="41" t="str">
        <f t="shared" si="14"/>
        <v xml:space="preserve">   10.4</v>
      </c>
      <c r="V36" s="41" t="str">
        <f t="shared" si="15"/>
        <v xml:space="preserve">   10.1</v>
      </c>
      <c r="W36" s="41" t="str">
        <f t="shared" si="16"/>
        <v xml:space="preserve">   10.1</v>
      </c>
      <c r="X36" s="41" t="str">
        <f t="shared" si="17"/>
        <v xml:space="preserve">   10.1</v>
      </c>
      <c r="Y36" s="41" t="str">
        <f t="shared" si="18"/>
        <v xml:space="preserve">   10.1</v>
      </c>
    </row>
    <row r="37" spans="2:25" x14ac:dyDescent="0.3">
      <c r="B37" s="36" t="s">
        <v>391</v>
      </c>
      <c r="D37" s="37" t="s">
        <v>618</v>
      </c>
      <c r="F37" s="38" t="str">
        <f t="shared" si="5"/>
        <v>UH   63  12          0.0               1</v>
      </c>
      <c r="J37" s="39">
        <f t="shared" si="6"/>
        <v>63</v>
      </c>
      <c r="K37" s="39">
        <f t="shared" si="7"/>
        <v>1</v>
      </c>
      <c r="L37" s="39" t="e">
        <f t="shared" si="3"/>
        <v>#N/A</v>
      </c>
      <c r="M37" s="39">
        <f t="shared" si="4"/>
        <v>0.25</v>
      </c>
      <c r="N37" s="40">
        <f t="shared" si="8"/>
        <v>0</v>
      </c>
      <c r="O37" s="40" t="str">
        <f t="shared" si="9"/>
        <v xml:space="preserve">  0.0</v>
      </c>
      <c r="Q37" s="41">
        <f t="shared" si="10"/>
        <v>49</v>
      </c>
      <c r="R37" s="41" t="str">
        <f t="shared" si="11"/>
        <v xml:space="preserve">  CHAVANTES   </v>
      </c>
      <c r="S37" s="41" t="str">
        <f t="shared" si="12"/>
        <v xml:space="preserve">   15.6</v>
      </c>
      <c r="T37" s="41" t="str">
        <f t="shared" si="13"/>
        <v xml:space="preserve">   16.2</v>
      </c>
      <c r="U37" s="41" t="str">
        <f t="shared" si="14"/>
        <v xml:space="preserve">   17.1</v>
      </c>
      <c r="V37" s="41" t="str">
        <f t="shared" si="15"/>
        <v xml:space="preserve">   18.3</v>
      </c>
      <c r="W37" s="41" t="str">
        <f t="shared" si="16"/>
        <v xml:space="preserve">   18.3</v>
      </c>
      <c r="X37" s="41" t="str">
        <f t="shared" si="17"/>
        <v xml:space="preserve">   18.3</v>
      </c>
      <c r="Y37" s="41" t="str">
        <f t="shared" si="18"/>
        <v xml:space="preserve">   18.3</v>
      </c>
    </row>
    <row r="38" spans="2:25" x14ac:dyDescent="0.3">
      <c r="B38" s="36" t="s">
        <v>392</v>
      </c>
      <c r="D38" s="37" t="s">
        <v>619</v>
      </c>
      <c r="F38" s="38" t="str">
        <f t="shared" si="5"/>
        <v>UH   52  12          0.0               1</v>
      </c>
      <c r="J38" s="39">
        <f t="shared" si="6"/>
        <v>52</v>
      </c>
      <c r="K38" s="39">
        <f t="shared" si="7"/>
        <v>1</v>
      </c>
      <c r="L38" s="39" t="e">
        <f t="shared" si="3"/>
        <v>#N/A</v>
      </c>
      <c r="M38" s="39">
        <f t="shared" si="4"/>
        <v>0.25</v>
      </c>
      <c r="N38" s="40">
        <f t="shared" si="8"/>
        <v>0</v>
      </c>
      <c r="O38" s="40" t="str">
        <f t="shared" si="9"/>
        <v xml:space="preserve">  0.0</v>
      </c>
      <c r="Q38" s="41">
        <f t="shared" si="10"/>
        <v>57</v>
      </c>
      <c r="R38" s="41" t="str">
        <f t="shared" si="11"/>
        <v xml:space="preserve">  MAUA        </v>
      </c>
      <c r="S38" s="41" t="str">
        <f t="shared" si="12"/>
        <v xml:space="preserve">   10.2</v>
      </c>
      <c r="T38" s="41" t="str">
        <f t="shared" si="13"/>
        <v xml:space="preserve">    7.3</v>
      </c>
      <c r="U38" s="41" t="str">
        <f t="shared" si="14"/>
        <v xml:space="preserve">    4.6</v>
      </c>
      <c r="V38" s="41" t="str">
        <f t="shared" si="15"/>
        <v xml:space="preserve">    5.5</v>
      </c>
      <c r="W38" s="41" t="str">
        <f t="shared" si="16"/>
        <v xml:space="preserve">    5.5</v>
      </c>
      <c r="X38" s="41" t="str">
        <f t="shared" si="17"/>
        <v xml:space="preserve">    5.5</v>
      </c>
      <c r="Y38" s="41" t="str">
        <f t="shared" si="18"/>
        <v xml:space="preserve">    5.5</v>
      </c>
    </row>
    <row r="39" spans="2:25" x14ac:dyDescent="0.3">
      <c r="B39" s="36" t="s">
        <v>393</v>
      </c>
      <c r="D39" s="37" t="s">
        <v>620</v>
      </c>
      <c r="F39" s="38" t="str">
        <f t="shared" si="5"/>
        <v>UH   51  12          0.0               1</v>
      </c>
      <c r="J39" s="39">
        <f t="shared" si="6"/>
        <v>51</v>
      </c>
      <c r="K39" s="39">
        <f t="shared" si="7"/>
        <v>1</v>
      </c>
      <c r="L39" s="39" t="e">
        <f t="shared" si="3"/>
        <v>#N/A</v>
      </c>
      <c r="M39" s="39">
        <f t="shared" si="4"/>
        <v>0.25</v>
      </c>
      <c r="N39" s="40">
        <f t="shared" si="8"/>
        <v>0</v>
      </c>
      <c r="O39" s="40" t="str">
        <f t="shared" si="9"/>
        <v xml:space="preserve">  0.0</v>
      </c>
      <c r="Q39" s="41">
        <f t="shared" si="10"/>
        <v>61</v>
      </c>
      <c r="R39" s="41" t="str">
        <f t="shared" si="11"/>
        <v xml:space="preserve">  CAPIVARA    </v>
      </c>
      <c r="S39" s="41" t="str">
        <f t="shared" si="12"/>
        <v xml:space="preserve">   24.3</v>
      </c>
      <c r="T39" s="41" t="str">
        <f t="shared" si="13"/>
        <v xml:space="preserve">   25.2</v>
      </c>
      <c r="U39" s="41" t="str">
        <f t="shared" si="14"/>
        <v xml:space="preserve">   27.3</v>
      </c>
      <c r="V39" s="41" t="str">
        <f t="shared" si="15"/>
        <v xml:space="preserve">   30.8</v>
      </c>
      <c r="W39" s="41" t="str">
        <f t="shared" si="16"/>
        <v xml:space="preserve">   30.8</v>
      </c>
      <c r="X39" s="41" t="str">
        <f t="shared" si="17"/>
        <v xml:space="preserve">   30.8</v>
      </c>
      <c r="Y39" s="41" t="str">
        <f t="shared" si="18"/>
        <v xml:space="preserve">   30.8</v>
      </c>
    </row>
    <row r="40" spans="2:25" x14ac:dyDescent="0.3">
      <c r="B40" s="36" t="s">
        <v>539</v>
      </c>
      <c r="D40" s="37" t="s">
        <v>621</v>
      </c>
      <c r="F40" s="38" t="str">
        <f t="shared" si="5"/>
        <v>UH   47  12        11.75               1</v>
      </c>
      <c r="J40" s="39">
        <f t="shared" si="6"/>
        <v>47</v>
      </c>
      <c r="K40" s="39">
        <f t="shared" si="7"/>
        <v>1</v>
      </c>
      <c r="L40" s="39" t="str">
        <f t="shared" si="3"/>
        <v xml:space="preserve">   11,5</v>
      </c>
      <c r="M40" s="39">
        <f t="shared" si="4"/>
        <v>0.25</v>
      </c>
      <c r="N40" s="40">
        <f t="shared" si="8"/>
        <v>11.75</v>
      </c>
      <c r="O40" s="40" t="str">
        <f t="shared" si="9"/>
        <v>11.75</v>
      </c>
      <c r="Q40" s="41">
        <f t="shared" si="10"/>
        <v>66</v>
      </c>
      <c r="R40" s="41" t="str">
        <f t="shared" si="11"/>
        <v xml:space="preserve">  ITAIPU      </v>
      </c>
      <c r="S40" s="41" t="str">
        <f t="shared" si="12"/>
        <v xml:space="preserve">    0.0</v>
      </c>
      <c r="T40" s="41" t="str">
        <f t="shared" si="13"/>
        <v xml:space="preserve">   78.2</v>
      </c>
      <c r="U40" s="41" t="str">
        <f t="shared" si="14"/>
        <v xml:space="preserve">  100.0</v>
      </c>
      <c r="V40" s="41" t="str">
        <f t="shared" si="15"/>
        <v xml:space="preserve">  100.0</v>
      </c>
      <c r="W40" s="41" t="str">
        <f t="shared" si="16"/>
        <v xml:space="preserve">  100.0</v>
      </c>
      <c r="X40" s="41" t="str">
        <f t="shared" si="17"/>
        <v xml:space="preserve">  100.0</v>
      </c>
      <c r="Y40" s="41" t="str">
        <f t="shared" si="18"/>
        <v xml:space="preserve">  100.0</v>
      </c>
    </row>
    <row r="41" spans="2:25" x14ac:dyDescent="0.3">
      <c r="B41" s="36" t="s">
        <v>540</v>
      </c>
      <c r="D41" s="37" t="s">
        <v>622</v>
      </c>
      <c r="F41" s="38" t="str">
        <f t="shared" si="5"/>
        <v>UH   49  12        16.45               1</v>
      </c>
      <c r="J41" s="39">
        <f t="shared" si="6"/>
        <v>49</v>
      </c>
      <c r="K41" s="39">
        <f t="shared" si="7"/>
        <v>1</v>
      </c>
      <c r="L41" s="39" t="str">
        <f t="shared" si="3"/>
        <v xml:space="preserve">   16,2</v>
      </c>
      <c r="M41" s="39">
        <f t="shared" si="4"/>
        <v>0.25</v>
      </c>
      <c r="N41" s="40">
        <f t="shared" si="8"/>
        <v>16.45</v>
      </c>
      <c r="O41" s="40" t="str">
        <f t="shared" si="9"/>
        <v>16.45</v>
      </c>
      <c r="Q41" s="41">
        <f t="shared" si="10"/>
        <v>135</v>
      </c>
      <c r="R41" s="41" t="str">
        <f t="shared" si="11"/>
        <v xml:space="preserve">  P. ESTRELA  </v>
      </c>
      <c r="S41" s="41" t="str">
        <f t="shared" si="12"/>
        <v xml:space="preserve">   67.0</v>
      </c>
      <c r="T41" s="41" t="str">
        <f t="shared" si="13"/>
        <v xml:space="preserve">   69.8</v>
      </c>
      <c r="U41" s="41" t="str">
        <f t="shared" si="14"/>
        <v xml:space="preserve">   58.1</v>
      </c>
      <c r="V41" s="41" t="str">
        <f t="shared" si="15"/>
        <v xml:space="preserve">  100.0</v>
      </c>
      <c r="W41" s="41" t="str">
        <f t="shared" si="16"/>
        <v xml:space="preserve">  100.0</v>
      </c>
      <c r="X41" s="41" t="str">
        <f t="shared" si="17"/>
        <v xml:space="preserve">  100.0</v>
      </c>
      <c r="Y41" s="41" t="str">
        <f t="shared" si="18"/>
        <v xml:space="preserve">  100.0</v>
      </c>
    </row>
    <row r="42" spans="2:25" x14ac:dyDescent="0.3">
      <c r="B42" s="36" t="s">
        <v>541</v>
      </c>
      <c r="D42" s="37" t="s">
        <v>623</v>
      </c>
      <c r="F42" s="38" t="str">
        <f t="shared" si="5"/>
        <v>UH   61  12        25.45               1</v>
      </c>
      <c r="J42" s="39">
        <f t="shared" si="6"/>
        <v>61</v>
      </c>
      <c r="K42" s="39">
        <f t="shared" si="7"/>
        <v>1</v>
      </c>
      <c r="L42" s="39" t="str">
        <f t="shared" si="3"/>
        <v xml:space="preserve">   25,2</v>
      </c>
      <c r="M42" s="39">
        <f t="shared" si="4"/>
        <v>0.25</v>
      </c>
      <c r="N42" s="40">
        <f t="shared" si="8"/>
        <v>25.45</v>
      </c>
      <c r="O42" s="40" t="str">
        <f t="shared" si="9"/>
        <v>25.45</v>
      </c>
      <c r="Q42" s="41">
        <f t="shared" si="10"/>
        <v>120</v>
      </c>
      <c r="R42" s="41" t="str">
        <f t="shared" si="11"/>
        <v xml:space="preserve">  JAGUARI     </v>
      </c>
      <c r="S42" s="41" t="str">
        <f t="shared" si="12"/>
        <v xml:space="preserve">   48.3</v>
      </c>
      <c r="T42" s="41" t="str">
        <f t="shared" si="13"/>
        <v xml:space="preserve">   50.1</v>
      </c>
      <c r="U42" s="41" t="str">
        <f t="shared" si="14"/>
        <v xml:space="preserve">   51.9</v>
      </c>
      <c r="V42" s="41" t="str">
        <f t="shared" si="15"/>
        <v xml:space="preserve">   54.3</v>
      </c>
      <c r="W42" s="41" t="str">
        <f t="shared" si="16"/>
        <v xml:space="preserve">   54.3</v>
      </c>
      <c r="X42" s="41" t="str">
        <f t="shared" si="17"/>
        <v xml:space="preserve">   54.3</v>
      </c>
      <c r="Y42" s="41" t="str">
        <f t="shared" si="18"/>
        <v xml:space="preserve">   54.3</v>
      </c>
    </row>
    <row r="43" spans="2:25" x14ac:dyDescent="0.3">
      <c r="B43" s="36" t="s">
        <v>394</v>
      </c>
      <c r="D43" s="37" t="s">
        <v>624</v>
      </c>
      <c r="F43" s="38" t="str">
        <f t="shared" si="5"/>
        <v>UH   50  12          0.0               1</v>
      </c>
      <c r="J43" s="39">
        <f t="shared" si="6"/>
        <v>50</v>
      </c>
      <c r="K43" s="39">
        <f t="shared" si="7"/>
        <v>1</v>
      </c>
      <c r="L43" s="39" t="e">
        <f t="shared" ref="L43:L74" si="19">SUBSTITUTE(VLOOKUP(J43,$Q$11:$Y$200,L$10,0),".",",")</f>
        <v>#N/A</v>
      </c>
      <c r="M43" s="39">
        <f t="shared" ref="M43:M74" si="20">VLOOKUP(K43,$AA$27:$AB$30,2,0)</f>
        <v>0.25</v>
      </c>
      <c r="N43" s="40">
        <f t="shared" si="8"/>
        <v>0</v>
      </c>
      <c r="O43" s="40" t="str">
        <f t="shared" si="9"/>
        <v xml:space="preserve">  0.0</v>
      </c>
      <c r="Q43" s="41">
        <f t="shared" si="10"/>
        <v>121</v>
      </c>
      <c r="R43" s="41" t="str">
        <f t="shared" si="11"/>
        <v xml:space="preserve">  PARAIBUNA   </v>
      </c>
      <c r="S43" s="41" t="str">
        <f t="shared" si="12"/>
        <v xml:space="preserve">   36.3</v>
      </c>
      <c r="T43" s="41" t="str">
        <f t="shared" si="13"/>
        <v xml:space="preserve">   36.2</v>
      </c>
      <c r="U43" s="41" t="str">
        <f t="shared" si="14"/>
        <v xml:space="preserve">   36.1</v>
      </c>
      <c r="V43" s="41" t="str">
        <f t="shared" si="15"/>
        <v xml:space="preserve">   36.3</v>
      </c>
      <c r="W43" s="41" t="str">
        <f t="shared" si="16"/>
        <v xml:space="preserve">   36.3</v>
      </c>
      <c r="X43" s="41" t="str">
        <f t="shared" si="17"/>
        <v xml:space="preserve">   36.3</v>
      </c>
      <c r="Y43" s="41" t="str">
        <f t="shared" si="18"/>
        <v xml:space="preserve">   36.3</v>
      </c>
    </row>
    <row r="44" spans="2:25" x14ac:dyDescent="0.3">
      <c r="B44" s="36" t="s">
        <v>395</v>
      </c>
      <c r="D44" s="37" t="s">
        <v>625</v>
      </c>
      <c r="F44" s="38" t="str">
        <f t="shared" si="5"/>
        <v>UH   46  10          0.0               1</v>
      </c>
      <c r="J44" s="39">
        <f t="shared" si="6"/>
        <v>46</v>
      </c>
      <c r="K44" s="39">
        <f t="shared" si="7"/>
        <v>1</v>
      </c>
      <c r="L44" s="39" t="e">
        <f t="shared" si="19"/>
        <v>#N/A</v>
      </c>
      <c r="M44" s="39">
        <f t="shared" si="20"/>
        <v>0.25</v>
      </c>
      <c r="N44" s="40">
        <f t="shared" si="8"/>
        <v>0</v>
      </c>
      <c r="O44" s="40" t="str">
        <f t="shared" si="9"/>
        <v xml:space="preserve">  0.0</v>
      </c>
      <c r="Q44" s="41">
        <f t="shared" si="10"/>
        <v>122</v>
      </c>
      <c r="R44" s="41" t="str">
        <f t="shared" si="11"/>
        <v xml:space="preserve">  SANTA BRANCA</v>
      </c>
      <c r="S44" s="41" t="str">
        <f t="shared" si="12"/>
        <v xml:space="preserve">   28.5</v>
      </c>
      <c r="T44" s="41" t="str">
        <f t="shared" si="13"/>
        <v xml:space="preserve">   37.0</v>
      </c>
      <c r="U44" s="41" t="str">
        <f t="shared" si="14"/>
        <v xml:space="preserve">   45.6</v>
      </c>
      <c r="V44" s="41" t="str">
        <f t="shared" si="15"/>
        <v xml:space="preserve">   56.4</v>
      </c>
      <c r="W44" s="41" t="str">
        <f t="shared" si="16"/>
        <v xml:space="preserve">   56.4</v>
      </c>
      <c r="X44" s="41" t="str">
        <f t="shared" si="17"/>
        <v xml:space="preserve">   56.4</v>
      </c>
      <c r="Y44" s="41" t="str">
        <f t="shared" si="18"/>
        <v xml:space="preserve">   56.4</v>
      </c>
    </row>
    <row r="45" spans="2:25" x14ac:dyDescent="0.3">
      <c r="B45" s="36" t="s">
        <v>542</v>
      </c>
      <c r="D45" s="37" t="s">
        <v>626</v>
      </c>
      <c r="F45" s="38" t="str">
        <f t="shared" si="5"/>
        <v>UH  120   1        50.35               1</v>
      </c>
      <c r="J45" s="39">
        <f t="shared" si="6"/>
        <v>120</v>
      </c>
      <c r="K45" s="39">
        <f t="shared" si="7"/>
        <v>1</v>
      </c>
      <c r="L45" s="39" t="str">
        <f t="shared" si="19"/>
        <v xml:space="preserve">   50,1</v>
      </c>
      <c r="M45" s="39">
        <f t="shared" si="20"/>
        <v>0.25</v>
      </c>
      <c r="N45" s="40">
        <f t="shared" si="8"/>
        <v>50.35</v>
      </c>
      <c r="O45" s="40" t="str">
        <f t="shared" si="9"/>
        <v>50.35</v>
      </c>
      <c r="Q45" s="41">
        <f t="shared" si="10"/>
        <v>123</v>
      </c>
      <c r="R45" s="41" t="str">
        <f t="shared" si="11"/>
        <v xml:space="preserve">  FUNIL       </v>
      </c>
      <c r="S45" s="41" t="str">
        <f t="shared" si="12"/>
        <v xml:space="preserve">   42.4</v>
      </c>
      <c r="T45" s="41" t="str">
        <f t="shared" si="13"/>
        <v xml:space="preserve">   43.1</v>
      </c>
      <c r="U45" s="41" t="str">
        <f t="shared" si="14"/>
        <v xml:space="preserve">   52.1</v>
      </c>
      <c r="V45" s="41" t="str">
        <f t="shared" si="15"/>
        <v xml:space="preserve">   56.8</v>
      </c>
      <c r="W45" s="41" t="str">
        <f t="shared" si="16"/>
        <v xml:space="preserve">   56.8</v>
      </c>
      <c r="X45" s="41" t="str">
        <f t="shared" si="17"/>
        <v xml:space="preserve">   56.8</v>
      </c>
      <c r="Y45" s="41" t="str">
        <f t="shared" si="18"/>
        <v xml:space="preserve">   56.8</v>
      </c>
    </row>
    <row r="46" spans="2:25" x14ac:dyDescent="0.3">
      <c r="B46" s="36" t="s">
        <v>543</v>
      </c>
      <c r="D46" s="37" t="s">
        <v>627</v>
      </c>
      <c r="F46" s="38" t="str">
        <f t="shared" si="5"/>
        <v>UH  121   1        36.45               1</v>
      </c>
      <c r="J46" s="39">
        <f t="shared" si="6"/>
        <v>121</v>
      </c>
      <c r="K46" s="39">
        <f t="shared" si="7"/>
        <v>1</v>
      </c>
      <c r="L46" s="39" t="str">
        <f t="shared" si="19"/>
        <v xml:space="preserve">   36,2</v>
      </c>
      <c r="M46" s="39">
        <f t="shared" si="20"/>
        <v>0.25</v>
      </c>
      <c r="N46" s="40">
        <f t="shared" si="8"/>
        <v>36.450000000000003</v>
      </c>
      <c r="O46" s="40" t="str">
        <f t="shared" si="9"/>
        <v>36.45</v>
      </c>
      <c r="Q46" s="41">
        <f t="shared" si="10"/>
        <v>124</v>
      </c>
      <c r="R46" s="41" t="str">
        <f t="shared" si="11"/>
        <v xml:space="preserve">  LAJES       </v>
      </c>
      <c r="S46" s="41" t="str">
        <f t="shared" si="12"/>
        <v xml:space="preserve">   80.2</v>
      </c>
      <c r="T46" s="41" t="str">
        <f t="shared" si="13"/>
        <v xml:space="preserve">   80.4</v>
      </c>
      <c r="U46" s="41" t="str">
        <f t="shared" si="14"/>
        <v xml:space="preserve">   81.6</v>
      </c>
      <c r="V46" s="41" t="str">
        <f t="shared" si="15"/>
        <v xml:space="preserve">   82.7</v>
      </c>
      <c r="W46" s="41" t="str">
        <f t="shared" si="16"/>
        <v xml:space="preserve">   82.7</v>
      </c>
      <c r="X46" s="41" t="str">
        <f t="shared" si="17"/>
        <v xml:space="preserve">   82.7</v>
      </c>
      <c r="Y46" s="41" t="str">
        <f t="shared" si="18"/>
        <v xml:space="preserve">   82.7</v>
      </c>
    </row>
    <row r="47" spans="2:25" x14ac:dyDescent="0.3">
      <c r="B47" s="36" t="s">
        <v>544</v>
      </c>
      <c r="D47" s="37" t="s">
        <v>628</v>
      </c>
      <c r="F47" s="38" t="str">
        <f t="shared" si="5"/>
        <v>UH    6  10        24.25               1</v>
      </c>
      <c r="J47" s="39">
        <f t="shared" si="6"/>
        <v>6</v>
      </c>
      <c r="K47" s="39">
        <f t="shared" si="7"/>
        <v>1</v>
      </c>
      <c r="L47" s="39" t="str">
        <f t="shared" si="19"/>
        <v xml:space="preserve">   24,0</v>
      </c>
      <c r="M47" s="39">
        <f t="shared" si="20"/>
        <v>0.25</v>
      </c>
      <c r="N47" s="40">
        <f t="shared" si="8"/>
        <v>24.25</v>
      </c>
      <c r="O47" s="40" t="str">
        <f t="shared" si="9"/>
        <v>24.25</v>
      </c>
      <c r="Q47" s="41">
        <f t="shared" si="10"/>
        <v>278</v>
      </c>
      <c r="R47" s="41" t="str">
        <f t="shared" si="11"/>
        <v xml:space="preserve">  MANSO       </v>
      </c>
      <c r="S47" s="41" t="str">
        <f t="shared" si="12"/>
        <v xml:space="preserve">   58.8</v>
      </c>
      <c r="T47" s="41" t="str">
        <f t="shared" si="13"/>
        <v xml:space="preserve">   58.5</v>
      </c>
      <c r="U47" s="41" t="str">
        <f t="shared" si="14"/>
        <v xml:space="preserve">   58.7</v>
      </c>
      <c r="V47" s="41" t="str">
        <f t="shared" si="15"/>
        <v xml:space="preserve">   57.8</v>
      </c>
      <c r="W47" s="41" t="str">
        <f t="shared" si="16"/>
        <v xml:space="preserve">   57.8</v>
      </c>
      <c r="X47" s="41" t="str">
        <f t="shared" si="17"/>
        <v xml:space="preserve">   57.8</v>
      </c>
      <c r="Y47" s="41" t="str">
        <f t="shared" si="18"/>
        <v xml:space="preserve">   57.8</v>
      </c>
    </row>
    <row r="48" spans="2:25" x14ac:dyDescent="0.3">
      <c r="B48" s="36" t="s">
        <v>545</v>
      </c>
      <c r="D48" s="37" t="s">
        <v>629</v>
      </c>
      <c r="F48" s="38" t="str">
        <f t="shared" si="5"/>
        <v>UH    7  10        33.65               1</v>
      </c>
      <c r="J48" s="39">
        <f t="shared" si="6"/>
        <v>7</v>
      </c>
      <c r="K48" s="39">
        <f t="shared" si="7"/>
        <v>1</v>
      </c>
      <c r="L48" s="39" t="str">
        <f t="shared" si="19"/>
        <v xml:space="preserve">   33,4</v>
      </c>
      <c r="M48" s="39">
        <f t="shared" si="20"/>
        <v>0.25</v>
      </c>
      <c r="N48" s="40">
        <f t="shared" si="8"/>
        <v>33.65</v>
      </c>
      <c r="O48" s="40" t="str">
        <f t="shared" si="9"/>
        <v>33.65</v>
      </c>
      <c r="Q48" s="41">
        <f t="shared" si="10"/>
        <v>279</v>
      </c>
      <c r="R48" s="41" t="str">
        <f t="shared" si="11"/>
        <v xml:space="preserve">  SAMUEL      </v>
      </c>
      <c r="S48" s="41" t="str">
        <f t="shared" si="12"/>
        <v xml:space="preserve">   95.0</v>
      </c>
      <c r="T48" s="41" t="str">
        <f t="shared" si="13"/>
        <v xml:space="preserve">   98.4</v>
      </c>
      <c r="U48" s="41" t="str">
        <f t="shared" si="14"/>
        <v xml:space="preserve">  100.0</v>
      </c>
      <c r="V48" s="41" t="str">
        <f t="shared" si="15"/>
        <v xml:space="preserve">  100.0</v>
      </c>
      <c r="W48" s="41" t="str">
        <f t="shared" si="16"/>
        <v xml:space="preserve">  100.0</v>
      </c>
      <c r="X48" s="41" t="str">
        <f t="shared" si="17"/>
        <v xml:space="preserve">  100.0</v>
      </c>
      <c r="Y48" s="41" t="str">
        <f t="shared" si="18"/>
        <v xml:space="preserve">  100.0</v>
      </c>
    </row>
    <row r="49" spans="2:25" x14ac:dyDescent="0.3">
      <c r="B49" s="36" t="s">
        <v>396</v>
      </c>
      <c r="D49" s="37" t="s">
        <v>630</v>
      </c>
      <c r="F49" s="38" t="str">
        <f t="shared" si="5"/>
        <v>UH    8  10          0.0               1</v>
      </c>
      <c r="J49" s="39">
        <f t="shared" si="6"/>
        <v>8</v>
      </c>
      <c r="K49" s="39">
        <f t="shared" si="7"/>
        <v>1</v>
      </c>
      <c r="L49" s="39" t="e">
        <f t="shared" si="19"/>
        <v>#N/A</v>
      </c>
      <c r="M49" s="39">
        <f t="shared" si="20"/>
        <v>0.25</v>
      </c>
      <c r="N49" s="40">
        <f t="shared" si="8"/>
        <v>0</v>
      </c>
      <c r="O49" s="40" t="str">
        <f t="shared" si="9"/>
        <v xml:space="preserve">  0.0</v>
      </c>
      <c r="Q49" s="41">
        <f t="shared" si="10"/>
        <v>276</v>
      </c>
      <c r="R49" s="41" t="str">
        <f t="shared" si="11"/>
        <v xml:space="preserve">  RONDON II   </v>
      </c>
      <c r="S49" s="41" t="str">
        <f t="shared" si="12"/>
        <v xml:space="preserve">   72.2</v>
      </c>
      <c r="T49" s="41" t="str">
        <f t="shared" si="13"/>
        <v xml:space="preserve">   75.3</v>
      </c>
      <c r="U49" s="41" t="str">
        <f t="shared" si="14"/>
        <v xml:space="preserve">   77.3</v>
      </c>
      <c r="V49" s="41" t="str">
        <f t="shared" si="15"/>
        <v xml:space="preserve">   80.1</v>
      </c>
      <c r="W49" s="41" t="str">
        <f t="shared" si="16"/>
        <v xml:space="preserve">   80.1</v>
      </c>
      <c r="X49" s="41" t="str">
        <f t="shared" si="17"/>
        <v xml:space="preserve">   80.1</v>
      </c>
      <c r="Y49" s="41" t="str">
        <f t="shared" si="18"/>
        <v xml:space="preserve">   80.1</v>
      </c>
    </row>
    <row r="50" spans="2:25" x14ac:dyDescent="0.3">
      <c r="B50" s="36" t="s">
        <v>397</v>
      </c>
      <c r="D50" s="37" t="s">
        <v>631</v>
      </c>
      <c r="F50" s="38" t="str">
        <f t="shared" si="5"/>
        <v>UH   12  10          0.0               1</v>
      </c>
      <c r="J50" s="39">
        <f t="shared" si="6"/>
        <v>12</v>
      </c>
      <c r="K50" s="39">
        <f t="shared" si="7"/>
        <v>1</v>
      </c>
      <c r="L50" s="39" t="e">
        <f t="shared" si="19"/>
        <v>#N/A</v>
      </c>
      <c r="M50" s="39">
        <f t="shared" si="20"/>
        <v>0.25</v>
      </c>
      <c r="N50" s="40">
        <f t="shared" si="8"/>
        <v>0</v>
      </c>
      <c r="O50" s="40" t="str">
        <f t="shared" si="9"/>
        <v xml:space="preserve">  0.0</v>
      </c>
      <c r="Q50" s="41">
        <f t="shared" si="10"/>
        <v>156</v>
      </c>
      <c r="R50" s="41" t="str">
        <f t="shared" si="11"/>
        <v xml:space="preserve">  TRES MARIAS </v>
      </c>
      <c r="S50" s="41" t="str">
        <f t="shared" si="12"/>
        <v xml:space="preserve">   57.6</v>
      </c>
      <c r="T50" s="41" t="str">
        <f t="shared" si="13"/>
        <v xml:space="preserve">   58.2</v>
      </c>
      <c r="U50" s="41" t="str">
        <f t="shared" si="14"/>
        <v xml:space="preserve">   59.4</v>
      </c>
      <c r="V50" s="41" t="str">
        <f t="shared" si="15"/>
        <v xml:space="preserve">   60.9</v>
      </c>
      <c r="W50" s="41" t="str">
        <f t="shared" si="16"/>
        <v xml:space="preserve">   60.9</v>
      </c>
      <c r="X50" s="41" t="str">
        <f t="shared" si="17"/>
        <v xml:space="preserve">   60.9</v>
      </c>
      <c r="Y50" s="41" t="str">
        <f t="shared" si="18"/>
        <v xml:space="preserve">   60.9</v>
      </c>
    </row>
    <row r="51" spans="2:25" x14ac:dyDescent="0.3">
      <c r="B51" s="36" t="s">
        <v>546</v>
      </c>
      <c r="D51" s="37" t="s">
        <v>632</v>
      </c>
      <c r="F51" s="38" t="str">
        <f t="shared" si="5"/>
        <v>UH   17  10        27.75               1</v>
      </c>
      <c r="J51" s="39">
        <f t="shared" si="6"/>
        <v>17</v>
      </c>
      <c r="K51" s="39">
        <f t="shared" si="7"/>
        <v>1</v>
      </c>
      <c r="L51" s="39" t="str">
        <f t="shared" si="19"/>
        <v xml:space="preserve">   27,5</v>
      </c>
      <c r="M51" s="39">
        <f t="shared" si="20"/>
        <v>0.25</v>
      </c>
      <c r="N51" s="40">
        <f t="shared" si="8"/>
        <v>27.75</v>
      </c>
      <c r="O51" s="40" t="str">
        <f t="shared" si="9"/>
        <v>27.75</v>
      </c>
      <c r="Q51" s="41">
        <f t="shared" si="10"/>
        <v>162</v>
      </c>
      <c r="R51" s="41" t="str">
        <f t="shared" si="11"/>
        <v xml:space="preserve">  QUEIMADO    </v>
      </c>
      <c r="S51" s="41" t="str">
        <f t="shared" si="12"/>
        <v xml:space="preserve">   37.3</v>
      </c>
      <c r="T51" s="41" t="str">
        <f t="shared" si="13"/>
        <v xml:space="preserve">   33.6</v>
      </c>
      <c r="U51" s="41" t="str">
        <f t="shared" si="14"/>
        <v xml:space="preserve">   30.9</v>
      </c>
      <c r="V51" s="41" t="str">
        <f t="shared" si="15"/>
        <v xml:space="preserve">   26.9</v>
      </c>
      <c r="W51" s="41" t="str">
        <f t="shared" si="16"/>
        <v xml:space="preserve">   26.9</v>
      </c>
      <c r="X51" s="41" t="str">
        <f t="shared" si="17"/>
        <v xml:space="preserve">   26.9</v>
      </c>
      <c r="Y51" s="41" t="str">
        <f t="shared" si="18"/>
        <v xml:space="preserve">   26.9</v>
      </c>
    </row>
    <row r="52" spans="2:25" x14ac:dyDescent="0.3">
      <c r="B52" s="36" t="s">
        <v>547</v>
      </c>
      <c r="D52" s="37" t="s">
        <v>633</v>
      </c>
      <c r="F52" s="38" t="str">
        <f t="shared" si="5"/>
        <v>UH   31  10        22.05               1</v>
      </c>
      <c r="J52" s="39">
        <f t="shared" si="6"/>
        <v>31</v>
      </c>
      <c r="K52" s="39">
        <f t="shared" si="7"/>
        <v>1</v>
      </c>
      <c r="L52" s="39" t="str">
        <f t="shared" si="19"/>
        <v xml:space="preserve">   21,8</v>
      </c>
      <c r="M52" s="39">
        <f t="shared" si="20"/>
        <v>0.25</v>
      </c>
      <c r="N52" s="40">
        <f t="shared" si="8"/>
        <v>22.05</v>
      </c>
      <c r="O52" s="40" t="str">
        <f t="shared" si="9"/>
        <v>22.05</v>
      </c>
      <c r="Q52" s="41">
        <f t="shared" si="10"/>
        <v>148</v>
      </c>
      <c r="R52" s="41" t="str">
        <f t="shared" si="11"/>
        <v xml:space="preserve">  IRAPE       </v>
      </c>
      <c r="S52" s="41" t="str">
        <f t="shared" si="12"/>
        <v xml:space="preserve">   29.7</v>
      </c>
      <c r="T52" s="41" t="str">
        <f t="shared" si="13"/>
        <v xml:space="preserve">   28.6</v>
      </c>
      <c r="U52" s="41" t="str">
        <f t="shared" si="14"/>
        <v xml:space="preserve">   27.4</v>
      </c>
      <c r="V52" s="41" t="str">
        <f t="shared" si="15"/>
        <v xml:space="preserve">   26.8</v>
      </c>
      <c r="W52" s="41" t="str">
        <f t="shared" si="16"/>
        <v xml:space="preserve">   26.8</v>
      </c>
      <c r="X52" s="41" t="str">
        <f t="shared" si="17"/>
        <v xml:space="preserve">   26.8</v>
      </c>
      <c r="Y52" s="41" t="str">
        <f t="shared" si="18"/>
        <v xml:space="preserve">   26.8</v>
      </c>
    </row>
    <row r="53" spans="2:25" x14ac:dyDescent="0.3">
      <c r="B53" s="36" t="s">
        <v>548</v>
      </c>
      <c r="D53" s="37" t="s">
        <v>634</v>
      </c>
      <c r="F53" s="38" t="str">
        <f t="shared" si="5"/>
        <v>UH   30  10        44.65               1</v>
      </c>
      <c r="J53" s="39">
        <f t="shared" si="6"/>
        <v>30</v>
      </c>
      <c r="K53" s="39">
        <f t="shared" si="7"/>
        <v>1</v>
      </c>
      <c r="L53" s="39" t="str">
        <f t="shared" si="19"/>
        <v xml:space="preserve">   44,4</v>
      </c>
      <c r="M53" s="39">
        <f t="shared" si="20"/>
        <v>0.25</v>
      </c>
      <c r="N53" s="40">
        <f t="shared" si="8"/>
        <v>44.65</v>
      </c>
      <c r="O53" s="40" t="str">
        <f t="shared" si="9"/>
        <v>44.65</v>
      </c>
      <c r="Q53" s="41">
        <f t="shared" si="10"/>
        <v>251</v>
      </c>
      <c r="R53" s="41" t="str">
        <f t="shared" si="11"/>
        <v xml:space="preserve">  SERRA MESA  </v>
      </c>
      <c r="S53" s="41" t="str">
        <f t="shared" si="12"/>
        <v xml:space="preserve">   11.8</v>
      </c>
      <c r="T53" s="41" t="str">
        <f t="shared" si="13"/>
        <v xml:space="preserve">   12.2</v>
      </c>
      <c r="U53" s="41" t="str">
        <f t="shared" si="14"/>
        <v xml:space="preserve">   12.7</v>
      </c>
      <c r="V53" s="41" t="str">
        <f t="shared" si="15"/>
        <v xml:space="preserve">   13.4</v>
      </c>
      <c r="W53" s="41" t="str">
        <f t="shared" si="16"/>
        <v xml:space="preserve">   13.4</v>
      </c>
      <c r="X53" s="41" t="str">
        <f t="shared" si="17"/>
        <v xml:space="preserve">   13.4</v>
      </c>
      <c r="Y53" s="41" t="str">
        <f t="shared" si="18"/>
        <v xml:space="preserve">   13.4</v>
      </c>
    </row>
    <row r="54" spans="2:25" x14ac:dyDescent="0.3">
      <c r="B54" s="36" t="s">
        <v>549</v>
      </c>
      <c r="D54" s="37" t="s">
        <v>635</v>
      </c>
      <c r="F54" s="38" t="str">
        <f t="shared" si="5"/>
        <v>UH  251   1        12.45               1</v>
      </c>
      <c r="J54" s="39">
        <f t="shared" si="6"/>
        <v>251</v>
      </c>
      <c r="K54" s="39">
        <f t="shared" si="7"/>
        <v>1</v>
      </c>
      <c r="L54" s="39" t="str">
        <f t="shared" si="19"/>
        <v xml:space="preserve">   12,2</v>
      </c>
      <c r="M54" s="39">
        <f t="shared" si="20"/>
        <v>0.25</v>
      </c>
      <c r="N54" s="40">
        <f t="shared" si="8"/>
        <v>12.45</v>
      </c>
      <c r="O54" s="40" t="str">
        <f t="shared" si="9"/>
        <v>12.45</v>
      </c>
      <c r="Q54" s="41">
        <f t="shared" si="10"/>
        <v>257</v>
      </c>
      <c r="R54" s="41" t="str">
        <f t="shared" si="11"/>
        <v xml:space="preserve">  PEIXE ANGIC </v>
      </c>
      <c r="S54" s="41" t="str">
        <f t="shared" si="12"/>
        <v xml:space="preserve">   36.1</v>
      </c>
      <c r="T54" s="41" t="str">
        <f t="shared" si="13"/>
        <v xml:space="preserve">   23.8</v>
      </c>
      <c r="U54" s="41" t="str">
        <f t="shared" si="14"/>
        <v xml:space="preserve">   25.2</v>
      </c>
      <c r="V54" s="41" t="str">
        <f t="shared" si="15"/>
        <v xml:space="preserve">    0.0</v>
      </c>
      <c r="W54" s="41" t="str">
        <f t="shared" si="16"/>
        <v xml:space="preserve">    0.0</v>
      </c>
      <c r="X54" s="41" t="str">
        <f t="shared" si="17"/>
        <v xml:space="preserve">    0.0</v>
      </c>
      <c r="Y54" s="41" t="str">
        <f t="shared" si="18"/>
        <v xml:space="preserve">    0.0</v>
      </c>
    </row>
    <row r="55" spans="2:25" x14ac:dyDescent="0.3">
      <c r="B55" s="36" t="s">
        <v>550</v>
      </c>
      <c r="D55" s="37" t="s">
        <v>636</v>
      </c>
      <c r="F55" s="38" t="str">
        <f t="shared" si="5"/>
        <v>UH  278   1        58.75               1</v>
      </c>
      <c r="J55" s="39">
        <f t="shared" si="6"/>
        <v>278</v>
      </c>
      <c r="K55" s="39">
        <f t="shared" si="7"/>
        <v>1</v>
      </c>
      <c r="L55" s="39" t="str">
        <f t="shared" si="19"/>
        <v xml:space="preserve">   58,5</v>
      </c>
      <c r="M55" s="39">
        <f t="shared" si="20"/>
        <v>0.25</v>
      </c>
      <c r="N55" s="40">
        <f t="shared" si="8"/>
        <v>58.75</v>
      </c>
      <c r="O55" s="40" t="str">
        <f t="shared" si="9"/>
        <v>58.75</v>
      </c>
      <c r="Q55" s="41">
        <f t="shared" si="10"/>
        <v>89</v>
      </c>
      <c r="R55" s="41" t="str">
        <f t="shared" si="11"/>
        <v xml:space="preserve">  GARIBALDI   </v>
      </c>
      <c r="S55" s="41" t="str">
        <f t="shared" si="12"/>
        <v xml:space="preserve">   34.1</v>
      </c>
      <c r="T55" s="41" t="str">
        <f t="shared" si="13"/>
        <v xml:space="preserve">   40.6</v>
      </c>
      <c r="U55" s="41" t="str">
        <f t="shared" si="14"/>
        <v xml:space="preserve">    8.9</v>
      </c>
      <c r="V55" s="41" t="str">
        <f t="shared" si="15"/>
        <v xml:space="preserve">   93.0</v>
      </c>
      <c r="W55" s="41" t="str">
        <f t="shared" si="16"/>
        <v xml:space="preserve">   93.0</v>
      </c>
      <c r="X55" s="41" t="str">
        <f t="shared" si="17"/>
        <v xml:space="preserve">   93.0</v>
      </c>
      <c r="Y55" s="41" t="str">
        <f t="shared" si="18"/>
        <v xml:space="preserve">   93.0</v>
      </c>
    </row>
    <row r="56" spans="2:25" x14ac:dyDescent="0.3">
      <c r="B56" s="36" t="s">
        <v>551</v>
      </c>
      <c r="D56" s="37" t="s">
        <v>637</v>
      </c>
      <c r="F56" s="38" t="str">
        <f t="shared" si="5"/>
        <v>UH  123   1        43.35               1</v>
      </c>
      <c r="J56" s="39">
        <f t="shared" si="6"/>
        <v>123</v>
      </c>
      <c r="K56" s="39">
        <f t="shared" si="7"/>
        <v>1</v>
      </c>
      <c r="L56" s="39" t="str">
        <f t="shared" si="19"/>
        <v xml:space="preserve">   43,1</v>
      </c>
      <c r="M56" s="39">
        <f t="shared" si="20"/>
        <v>0.25</v>
      </c>
      <c r="N56" s="40">
        <f t="shared" si="8"/>
        <v>43.35</v>
      </c>
      <c r="O56" s="40" t="str">
        <f t="shared" si="9"/>
        <v>43.35</v>
      </c>
      <c r="Q56" s="41">
        <f t="shared" si="10"/>
        <v>110</v>
      </c>
      <c r="R56" s="41" t="str">
        <f t="shared" si="11"/>
        <v xml:space="preserve">  ERNESTINA   </v>
      </c>
      <c r="S56" s="41" t="str">
        <f t="shared" si="12"/>
        <v xml:space="preserve">  100.0</v>
      </c>
      <c r="T56" s="41" t="str">
        <f t="shared" si="13"/>
        <v xml:space="preserve">    0.0</v>
      </c>
      <c r="U56" s="41" t="str">
        <f t="shared" si="14"/>
        <v xml:space="preserve">    0.0</v>
      </c>
      <c r="V56" s="41" t="str">
        <f t="shared" si="15"/>
        <v xml:space="preserve">    0.0</v>
      </c>
      <c r="W56" s="41" t="str">
        <f t="shared" si="16"/>
        <v xml:space="preserve">    0.0</v>
      </c>
      <c r="X56" s="41" t="str">
        <f t="shared" si="17"/>
        <v xml:space="preserve">    0.0</v>
      </c>
      <c r="Y56" s="41" t="str">
        <f t="shared" si="18"/>
        <v xml:space="preserve">    0.0</v>
      </c>
    </row>
    <row r="57" spans="2:25" x14ac:dyDescent="0.3">
      <c r="B57" s="36" t="s">
        <v>398</v>
      </c>
      <c r="D57" s="37" t="s">
        <v>638</v>
      </c>
      <c r="F57" s="38" t="str">
        <f t="shared" si="5"/>
        <v>UH  129   1          0.0               1</v>
      </c>
      <c r="J57" s="39">
        <f t="shared" si="6"/>
        <v>129</v>
      </c>
      <c r="K57" s="39">
        <f t="shared" si="7"/>
        <v>1</v>
      </c>
      <c r="L57" s="39" t="e">
        <f t="shared" si="19"/>
        <v>#N/A</v>
      </c>
      <c r="M57" s="39">
        <f t="shared" si="20"/>
        <v>0.25</v>
      </c>
      <c r="N57" s="40">
        <f t="shared" si="8"/>
        <v>0</v>
      </c>
      <c r="O57" s="40" t="str">
        <f t="shared" si="9"/>
        <v xml:space="preserve">  0.0</v>
      </c>
      <c r="Q57" s="41">
        <f t="shared" si="10"/>
        <v>111</v>
      </c>
      <c r="R57" s="41" t="str">
        <f t="shared" si="11"/>
        <v xml:space="preserve">  PASSO REAL  </v>
      </c>
      <c r="S57" s="41" t="str">
        <f t="shared" si="12"/>
        <v xml:space="preserve">   82.2</v>
      </c>
      <c r="T57" s="41" t="str">
        <f t="shared" si="13"/>
        <v xml:space="preserve">   88.1</v>
      </c>
      <c r="U57" s="41" t="str">
        <f t="shared" si="14"/>
        <v xml:space="preserve">   87.7</v>
      </c>
      <c r="V57" s="41" t="str">
        <f t="shared" si="15"/>
        <v xml:space="preserve">   86.7</v>
      </c>
      <c r="W57" s="41" t="str">
        <f t="shared" si="16"/>
        <v xml:space="preserve">   86.7</v>
      </c>
      <c r="X57" s="41" t="str">
        <f t="shared" si="17"/>
        <v xml:space="preserve">   86.7</v>
      </c>
      <c r="Y57" s="41" t="str">
        <f t="shared" si="18"/>
        <v xml:space="preserve">   86.7</v>
      </c>
    </row>
    <row r="58" spans="2:25" x14ac:dyDescent="0.3">
      <c r="B58" s="36" t="s">
        <v>552</v>
      </c>
      <c r="D58" s="37" t="s">
        <v>639</v>
      </c>
      <c r="F58" s="38" t="str">
        <f t="shared" si="5"/>
        <v>UH   20  10        46.65               1</v>
      </c>
      <c r="J58" s="39">
        <f t="shared" si="6"/>
        <v>20</v>
      </c>
      <c r="K58" s="39">
        <f t="shared" si="7"/>
        <v>1</v>
      </c>
      <c r="L58" s="39" t="str">
        <f t="shared" si="19"/>
        <v xml:space="preserve">   46,4</v>
      </c>
      <c r="M58" s="39">
        <f t="shared" si="20"/>
        <v>0.25</v>
      </c>
      <c r="N58" s="40">
        <f t="shared" si="8"/>
        <v>46.65</v>
      </c>
      <c r="O58" s="40" t="str">
        <f t="shared" si="9"/>
        <v>46.65</v>
      </c>
      <c r="Q58" s="41">
        <f t="shared" si="10"/>
        <v>74</v>
      </c>
      <c r="R58" s="41" t="str">
        <f t="shared" si="11"/>
        <v xml:space="preserve">  G.B. MUNHOZ </v>
      </c>
      <c r="S58" s="41" t="str">
        <f t="shared" si="12"/>
        <v xml:space="preserve">   24.3</v>
      </c>
      <c r="T58" s="41" t="str">
        <f t="shared" si="13"/>
        <v xml:space="preserve">   19.2</v>
      </c>
      <c r="U58" s="41" t="str">
        <f t="shared" si="14"/>
        <v xml:space="preserve">   16.4</v>
      </c>
      <c r="V58" s="41" t="str">
        <f t="shared" si="15"/>
        <v xml:space="preserve">   15.5</v>
      </c>
      <c r="W58" s="41" t="str">
        <f t="shared" si="16"/>
        <v xml:space="preserve">   15.5</v>
      </c>
      <c r="X58" s="41" t="str">
        <f t="shared" si="17"/>
        <v xml:space="preserve">   15.5</v>
      </c>
      <c r="Y58" s="41" t="str">
        <f t="shared" si="18"/>
        <v xml:space="preserve">   15.5</v>
      </c>
    </row>
    <row r="59" spans="2:25" x14ac:dyDescent="0.3">
      <c r="B59" s="36" t="s">
        <v>399</v>
      </c>
      <c r="D59" s="37" t="s">
        <v>640</v>
      </c>
      <c r="F59" s="38" t="str">
        <f t="shared" si="5"/>
        <v>UH  287   6          0.0               1</v>
      </c>
      <c r="J59" s="39">
        <f t="shared" si="6"/>
        <v>287</v>
      </c>
      <c r="K59" s="39">
        <f t="shared" si="7"/>
        <v>1</v>
      </c>
      <c r="L59" s="39" t="e">
        <f t="shared" si="19"/>
        <v>#N/A</v>
      </c>
      <c r="M59" s="39">
        <f t="shared" si="20"/>
        <v>0.25</v>
      </c>
      <c r="N59" s="40">
        <f t="shared" si="8"/>
        <v>0</v>
      </c>
      <c r="O59" s="40" t="str">
        <f t="shared" si="9"/>
        <v xml:space="preserve">  0.0</v>
      </c>
      <c r="Q59" s="41">
        <f t="shared" si="10"/>
        <v>76</v>
      </c>
      <c r="R59" s="41" t="str">
        <f t="shared" si="11"/>
        <v xml:space="preserve">  SEGREDO     </v>
      </c>
      <c r="S59" s="41" t="str">
        <f t="shared" si="12"/>
        <v xml:space="preserve">   18.6</v>
      </c>
      <c r="T59" s="41" t="str">
        <f t="shared" si="13"/>
        <v xml:space="preserve">   36.7</v>
      </c>
      <c r="U59" s="41" t="str">
        <f t="shared" si="14"/>
        <v xml:space="preserve">   33.4</v>
      </c>
      <c r="V59" s="41" t="str">
        <f t="shared" si="15"/>
        <v xml:space="preserve">   25.4</v>
      </c>
      <c r="W59" s="41" t="str">
        <f t="shared" si="16"/>
        <v xml:space="preserve">   25.4</v>
      </c>
      <c r="X59" s="41" t="str">
        <f t="shared" si="17"/>
        <v xml:space="preserve">   25.4</v>
      </c>
      <c r="Y59" s="41" t="str">
        <f t="shared" si="18"/>
        <v xml:space="preserve">   25.4</v>
      </c>
    </row>
    <row r="60" spans="2:25" x14ac:dyDescent="0.3">
      <c r="B60" s="36" t="s">
        <v>553</v>
      </c>
      <c r="D60" s="37" t="s">
        <v>641</v>
      </c>
      <c r="F60" s="38" t="str">
        <f t="shared" si="5"/>
        <v>UH  257   1        24.05               1</v>
      </c>
      <c r="J60" s="39">
        <f t="shared" si="6"/>
        <v>257</v>
      </c>
      <c r="K60" s="39">
        <f t="shared" si="7"/>
        <v>1</v>
      </c>
      <c r="L60" s="39" t="str">
        <f t="shared" si="19"/>
        <v xml:space="preserve">   23,8</v>
      </c>
      <c r="M60" s="39">
        <f t="shared" si="20"/>
        <v>0.25</v>
      </c>
      <c r="N60" s="40">
        <f t="shared" si="8"/>
        <v>24.05</v>
      </c>
      <c r="O60" s="40" t="str">
        <f t="shared" si="9"/>
        <v>24.05</v>
      </c>
      <c r="Q60" s="41">
        <f t="shared" si="10"/>
        <v>115</v>
      </c>
      <c r="R60" s="41" t="str">
        <f t="shared" si="11"/>
        <v xml:space="preserve">  G.P. SOUZA  </v>
      </c>
      <c r="S60" s="41" t="str">
        <f t="shared" si="12"/>
        <v xml:space="preserve">   35.0</v>
      </c>
      <c r="T60" s="41" t="str">
        <f t="shared" si="13"/>
        <v xml:space="preserve">   29.1</v>
      </c>
      <c r="U60" s="41" t="str">
        <f t="shared" si="14"/>
        <v xml:space="preserve">   24.8</v>
      </c>
      <c r="V60" s="41" t="str">
        <f t="shared" si="15"/>
        <v xml:space="preserve">   19.4</v>
      </c>
      <c r="W60" s="41" t="str">
        <f t="shared" si="16"/>
        <v xml:space="preserve">   19.4</v>
      </c>
      <c r="X60" s="41" t="str">
        <f t="shared" si="17"/>
        <v xml:space="preserve">   19.4</v>
      </c>
      <c r="Y60" s="41" t="str">
        <f t="shared" si="18"/>
        <v xml:space="preserve">   19.4</v>
      </c>
    </row>
    <row r="61" spans="2:25" x14ac:dyDescent="0.3">
      <c r="B61" s="36" t="s">
        <v>554</v>
      </c>
      <c r="D61" s="37" t="s">
        <v>375</v>
      </c>
      <c r="F61" s="38" t="str">
        <f t="shared" si="5"/>
        <v>UH  122   1        37.25               1</v>
      </c>
      <c r="J61" s="39">
        <f t="shared" si="6"/>
        <v>122</v>
      </c>
      <c r="K61" s="39">
        <f t="shared" si="7"/>
        <v>1</v>
      </c>
      <c r="L61" s="39" t="str">
        <f t="shared" si="19"/>
        <v xml:space="preserve">   37,0</v>
      </c>
      <c r="M61" s="39">
        <f t="shared" si="20"/>
        <v>0.25</v>
      </c>
      <c r="N61" s="40">
        <f t="shared" si="8"/>
        <v>37.25</v>
      </c>
      <c r="O61" s="40" t="str">
        <f t="shared" si="9"/>
        <v>37.25</v>
      </c>
      <c r="Q61" s="41">
        <f t="shared" si="10"/>
        <v>73</v>
      </c>
      <c r="R61" s="41" t="str">
        <f t="shared" si="11"/>
        <v xml:space="preserve">  JORDAO      </v>
      </c>
      <c r="S61" s="41" t="str">
        <f t="shared" si="12"/>
        <v xml:space="preserve">  100.0</v>
      </c>
      <c r="T61" s="41" t="str">
        <f t="shared" si="13"/>
        <v xml:space="preserve">  100.0</v>
      </c>
      <c r="U61" s="41" t="str">
        <f t="shared" si="14"/>
        <v xml:space="preserve">  100.0</v>
      </c>
      <c r="V61" s="41" t="str">
        <f t="shared" si="15"/>
        <v xml:space="preserve">  100.0</v>
      </c>
      <c r="W61" s="41" t="str">
        <f t="shared" si="16"/>
        <v xml:space="preserve">  100.0</v>
      </c>
      <c r="X61" s="41" t="str">
        <f t="shared" si="17"/>
        <v xml:space="preserve">  100.0</v>
      </c>
      <c r="Y61" s="41" t="str">
        <f t="shared" si="18"/>
        <v xml:space="preserve">  100.0</v>
      </c>
    </row>
    <row r="62" spans="2:25" x14ac:dyDescent="0.3">
      <c r="B62" s="36" t="s">
        <v>555</v>
      </c>
      <c r="D62" s="37" t="s">
        <v>642</v>
      </c>
      <c r="F62" s="38" t="str">
        <f t="shared" si="5"/>
        <v>UH  124   1        80.65               1</v>
      </c>
      <c r="J62" s="39">
        <f t="shared" si="6"/>
        <v>124</v>
      </c>
      <c r="K62" s="39">
        <f t="shared" si="7"/>
        <v>1</v>
      </c>
      <c r="L62" s="39" t="str">
        <f t="shared" si="19"/>
        <v xml:space="preserve">   80,4</v>
      </c>
      <c r="M62" s="39">
        <f t="shared" si="20"/>
        <v>0.25</v>
      </c>
      <c r="N62" s="40">
        <f t="shared" si="8"/>
        <v>80.650000000000006</v>
      </c>
      <c r="O62" s="40" t="str">
        <f t="shared" si="9"/>
        <v>80.65</v>
      </c>
      <c r="Q62" s="41">
        <f t="shared" si="10"/>
        <v>71</v>
      </c>
      <c r="R62" s="41" t="str">
        <f t="shared" si="11"/>
        <v xml:space="preserve">  STA CLARA PR</v>
      </c>
      <c r="S62" s="41" t="str">
        <f t="shared" si="12"/>
        <v xml:space="preserve">   49.6</v>
      </c>
      <c r="T62" s="41" t="str">
        <f t="shared" si="13"/>
        <v xml:space="preserve">   37.8</v>
      </c>
      <c r="U62" s="41" t="str">
        <f t="shared" si="14"/>
        <v xml:space="preserve">   18.2</v>
      </c>
      <c r="V62" s="41" t="str">
        <f t="shared" si="15"/>
        <v xml:space="preserve">    2.9</v>
      </c>
      <c r="W62" s="41" t="str">
        <f t="shared" si="16"/>
        <v xml:space="preserve">    2.9</v>
      </c>
      <c r="X62" s="41" t="str">
        <f t="shared" si="17"/>
        <v xml:space="preserve">    2.9</v>
      </c>
      <c r="Y62" s="41" t="str">
        <f t="shared" si="18"/>
        <v xml:space="preserve">    2.9</v>
      </c>
    </row>
    <row r="63" spans="2:25" x14ac:dyDescent="0.3">
      <c r="B63" s="36" t="s">
        <v>400</v>
      </c>
      <c r="D63" s="37" t="s">
        <v>643</v>
      </c>
      <c r="F63" s="38" t="str">
        <f t="shared" si="5"/>
        <v>UH  130   1          0.0               1</v>
      </c>
      <c r="J63" s="39">
        <f t="shared" si="6"/>
        <v>130</v>
      </c>
      <c r="K63" s="39">
        <f t="shared" si="7"/>
        <v>1</v>
      </c>
      <c r="L63" s="39" t="e">
        <f t="shared" si="19"/>
        <v>#N/A</v>
      </c>
      <c r="M63" s="39">
        <f t="shared" si="20"/>
        <v>0.25</v>
      </c>
      <c r="N63" s="40">
        <f t="shared" si="8"/>
        <v>0</v>
      </c>
      <c r="O63" s="40" t="str">
        <f t="shared" si="9"/>
        <v xml:space="preserve">  0.0</v>
      </c>
      <c r="Q63" s="41">
        <f t="shared" si="10"/>
        <v>77</v>
      </c>
      <c r="R63" s="41" t="str">
        <f t="shared" si="11"/>
        <v xml:space="preserve">  SLT.SANTIAGO</v>
      </c>
      <c r="S63" s="41" t="str">
        <f t="shared" si="12"/>
        <v xml:space="preserve">   38.9</v>
      </c>
      <c r="T63" s="41" t="str">
        <f t="shared" si="13"/>
        <v xml:space="preserve">   37.8</v>
      </c>
      <c r="U63" s="41" t="str">
        <f t="shared" si="14"/>
        <v xml:space="preserve">   38.1</v>
      </c>
      <c r="V63" s="41" t="str">
        <f t="shared" si="15"/>
        <v xml:space="preserve">   38.6</v>
      </c>
      <c r="W63" s="41" t="str">
        <f t="shared" si="16"/>
        <v xml:space="preserve">   38.6</v>
      </c>
      <c r="X63" s="41" t="str">
        <f t="shared" si="17"/>
        <v xml:space="preserve">   38.6</v>
      </c>
      <c r="Y63" s="41" t="str">
        <f t="shared" si="18"/>
        <v xml:space="preserve">   38.6</v>
      </c>
    </row>
    <row r="64" spans="2:25" x14ac:dyDescent="0.3">
      <c r="B64" s="36" t="s">
        <v>401</v>
      </c>
      <c r="D64" s="37" t="s">
        <v>644</v>
      </c>
      <c r="F64" s="38" t="str">
        <f t="shared" si="5"/>
        <v>UH  131   1          0.0               1</v>
      </c>
      <c r="J64" s="39">
        <f t="shared" si="6"/>
        <v>131</v>
      </c>
      <c r="K64" s="39">
        <f t="shared" si="7"/>
        <v>1</v>
      </c>
      <c r="L64" s="39" t="e">
        <f t="shared" si="19"/>
        <v>#N/A</v>
      </c>
      <c r="M64" s="39">
        <f t="shared" si="20"/>
        <v>0.25</v>
      </c>
      <c r="N64" s="40">
        <f t="shared" si="8"/>
        <v>0</v>
      </c>
      <c r="O64" s="40" t="str">
        <f t="shared" si="9"/>
        <v xml:space="preserve">  0.0</v>
      </c>
      <c r="Q64" s="41">
        <f t="shared" si="10"/>
        <v>93</v>
      </c>
      <c r="R64" s="41" t="str">
        <f t="shared" si="11"/>
        <v xml:space="preserve">  PASSO FUNDO </v>
      </c>
      <c r="S64" s="41" t="str">
        <f t="shared" si="12"/>
        <v xml:space="preserve">   57.9</v>
      </c>
      <c r="T64" s="41" t="str">
        <f t="shared" si="13"/>
        <v xml:space="preserve">   55.0</v>
      </c>
      <c r="U64" s="41" t="str">
        <f t="shared" si="14"/>
        <v xml:space="preserve">   52.2</v>
      </c>
      <c r="V64" s="41" t="str">
        <f t="shared" si="15"/>
        <v xml:space="preserve">   49.2</v>
      </c>
      <c r="W64" s="41" t="str">
        <f t="shared" si="16"/>
        <v xml:space="preserve">   49.2</v>
      </c>
      <c r="X64" s="41" t="str">
        <f t="shared" si="17"/>
        <v xml:space="preserve">   49.2</v>
      </c>
      <c r="Y64" s="41" t="str">
        <f t="shared" si="18"/>
        <v xml:space="preserve">   49.2</v>
      </c>
    </row>
    <row r="65" spans="2:25" x14ac:dyDescent="0.3">
      <c r="B65" s="36" t="s">
        <v>402</v>
      </c>
      <c r="D65" s="37" t="s">
        <v>645</v>
      </c>
      <c r="F65" s="38" t="str">
        <f t="shared" si="5"/>
        <v>UH  133   1          0.0               1</v>
      </c>
      <c r="J65" s="39">
        <f t="shared" si="6"/>
        <v>133</v>
      </c>
      <c r="K65" s="39">
        <f t="shared" si="7"/>
        <v>1</v>
      </c>
      <c r="L65" s="39" t="e">
        <f t="shared" si="19"/>
        <v>#N/A</v>
      </c>
      <c r="M65" s="39">
        <f t="shared" si="20"/>
        <v>0.25</v>
      </c>
      <c r="N65" s="40">
        <f t="shared" si="8"/>
        <v>0</v>
      </c>
      <c r="O65" s="40" t="str">
        <f t="shared" si="9"/>
        <v xml:space="preserve">  0.0</v>
      </c>
      <c r="Q65" s="41">
        <f t="shared" si="10"/>
        <v>91</v>
      </c>
      <c r="R65" s="41" t="str">
        <f t="shared" si="11"/>
        <v xml:space="preserve">  MACHADINHO  </v>
      </c>
      <c r="S65" s="41" t="str">
        <f t="shared" si="12"/>
        <v xml:space="preserve">   29.0</v>
      </c>
      <c r="T65" s="41" t="str">
        <f t="shared" si="13"/>
        <v xml:space="preserve">   39.8</v>
      </c>
      <c r="U65" s="41" t="str">
        <f t="shared" si="14"/>
        <v xml:space="preserve">   45.3</v>
      </c>
      <c r="V65" s="41" t="str">
        <f t="shared" si="15"/>
        <v xml:space="preserve">   63.9</v>
      </c>
      <c r="W65" s="41" t="str">
        <f t="shared" si="16"/>
        <v xml:space="preserve">   63.9</v>
      </c>
      <c r="X65" s="41" t="str">
        <f t="shared" si="17"/>
        <v xml:space="preserve">   63.9</v>
      </c>
      <c r="Y65" s="41" t="str">
        <f t="shared" si="18"/>
        <v xml:space="preserve">   63.9</v>
      </c>
    </row>
    <row r="66" spans="2:25" x14ac:dyDescent="0.3">
      <c r="B66" s="36" t="s">
        <v>403</v>
      </c>
      <c r="D66" s="37" t="s">
        <v>646</v>
      </c>
      <c r="F66" s="38" t="str">
        <f t="shared" si="5"/>
        <v>UH  125   1          0.0               1</v>
      </c>
      <c r="J66" s="39">
        <f t="shared" si="6"/>
        <v>125</v>
      </c>
      <c r="K66" s="39">
        <f t="shared" si="7"/>
        <v>1</v>
      </c>
      <c r="L66" s="39" t="e">
        <f t="shared" si="19"/>
        <v>#N/A</v>
      </c>
      <c r="M66" s="39">
        <f t="shared" si="20"/>
        <v>0.25</v>
      </c>
      <c r="N66" s="40">
        <f t="shared" si="8"/>
        <v>0</v>
      </c>
      <c r="O66" s="40" t="str">
        <f t="shared" si="9"/>
        <v xml:space="preserve">  0.0</v>
      </c>
      <c r="Q66" s="41">
        <f t="shared" si="10"/>
        <v>86</v>
      </c>
      <c r="R66" s="41" t="str">
        <f t="shared" si="11"/>
        <v xml:space="preserve">  BARRA GRANDE</v>
      </c>
      <c r="S66" s="41" t="str">
        <f t="shared" si="12"/>
        <v xml:space="preserve">   31.2</v>
      </c>
      <c r="T66" s="41" t="str">
        <f t="shared" si="13"/>
        <v xml:space="preserve">   25.0</v>
      </c>
      <c r="U66" s="41" t="str">
        <f t="shared" si="14"/>
        <v xml:space="preserve">   20.0</v>
      </c>
      <c r="V66" s="41" t="str">
        <f t="shared" si="15"/>
        <v xml:space="preserve">   12.3</v>
      </c>
      <c r="W66" s="41" t="str">
        <f t="shared" si="16"/>
        <v xml:space="preserve">   12.3</v>
      </c>
      <c r="X66" s="41" t="str">
        <f t="shared" si="17"/>
        <v xml:space="preserve">   12.3</v>
      </c>
      <c r="Y66" s="41" t="str">
        <f t="shared" si="18"/>
        <v xml:space="preserve">   12.3</v>
      </c>
    </row>
    <row r="67" spans="2:25" x14ac:dyDescent="0.3">
      <c r="B67" s="36" t="s">
        <v>404</v>
      </c>
      <c r="D67" s="37" t="s">
        <v>647</v>
      </c>
      <c r="F67" s="38" t="str">
        <f t="shared" si="5"/>
        <v>UH  180   1          0.0               1</v>
      </c>
      <c r="J67" s="39">
        <f t="shared" si="6"/>
        <v>180</v>
      </c>
      <c r="K67" s="39">
        <f t="shared" si="7"/>
        <v>1</v>
      </c>
      <c r="L67" s="39" t="e">
        <f t="shared" si="19"/>
        <v>#N/A</v>
      </c>
      <c r="M67" s="39">
        <f t="shared" si="20"/>
        <v>0.25</v>
      </c>
      <c r="N67" s="40">
        <f t="shared" si="8"/>
        <v>0</v>
      </c>
      <c r="O67" s="40" t="str">
        <f t="shared" si="9"/>
        <v xml:space="preserve">  0.0</v>
      </c>
      <c r="Q67" s="41">
        <f t="shared" si="10"/>
        <v>90</v>
      </c>
      <c r="R67" s="41" t="str">
        <f t="shared" si="11"/>
        <v xml:space="preserve">  CAMPOS NOVOS</v>
      </c>
      <c r="S67" s="41" t="str">
        <f t="shared" si="12"/>
        <v xml:space="preserve">   29.6</v>
      </c>
      <c r="T67" s="41" t="str">
        <f t="shared" si="13"/>
        <v xml:space="preserve">   20.7</v>
      </c>
      <c r="U67" s="41" t="str">
        <f t="shared" si="14"/>
        <v xml:space="preserve">   29.0</v>
      </c>
      <c r="V67" s="41" t="str">
        <f t="shared" si="15"/>
        <v xml:space="preserve">    0.0</v>
      </c>
      <c r="W67" s="41" t="str">
        <f t="shared" si="16"/>
        <v xml:space="preserve">    0.0</v>
      </c>
      <c r="X67" s="41" t="str">
        <f t="shared" si="17"/>
        <v xml:space="preserve">    0.0</v>
      </c>
      <c r="Y67" s="41" t="str">
        <f t="shared" si="18"/>
        <v xml:space="preserve">    0.0</v>
      </c>
    </row>
    <row r="68" spans="2:25" x14ac:dyDescent="0.3">
      <c r="B68" s="36" t="s">
        <v>405</v>
      </c>
      <c r="D68" s="37" t="s">
        <v>648</v>
      </c>
      <c r="F68" s="38" t="str">
        <f t="shared" si="5"/>
        <v>UH  181   1          0.0               1</v>
      </c>
      <c r="J68" s="39">
        <f t="shared" si="6"/>
        <v>181</v>
      </c>
      <c r="K68" s="39">
        <f t="shared" si="7"/>
        <v>1</v>
      </c>
      <c r="L68" s="39" t="e">
        <f t="shared" si="19"/>
        <v>#N/A</v>
      </c>
      <c r="M68" s="39">
        <f t="shared" si="20"/>
        <v>0.25</v>
      </c>
      <c r="N68" s="40">
        <f t="shared" si="8"/>
        <v>0</v>
      </c>
      <c r="O68" s="40" t="str">
        <f t="shared" si="9"/>
        <v xml:space="preserve">  0.0</v>
      </c>
      <c r="Q68" s="41">
        <f t="shared" si="10"/>
        <v>169</v>
      </c>
      <c r="R68" s="41" t="str">
        <f t="shared" si="11"/>
        <v xml:space="preserve">  SOBRADINHO  </v>
      </c>
      <c r="S68" s="41" t="str">
        <f t="shared" si="12"/>
        <v xml:space="preserve">   36.0</v>
      </c>
      <c r="T68" s="41" t="str">
        <f t="shared" si="13"/>
        <v xml:space="preserve">   35.6</v>
      </c>
      <c r="U68" s="41" t="str">
        <f t="shared" si="14"/>
        <v xml:space="preserve">   34.9</v>
      </c>
      <c r="V68" s="41" t="str">
        <f t="shared" si="15"/>
        <v xml:space="preserve">   34.6</v>
      </c>
      <c r="W68" s="41" t="str">
        <f t="shared" si="16"/>
        <v xml:space="preserve">   34.6</v>
      </c>
      <c r="X68" s="41" t="str">
        <f t="shared" si="17"/>
        <v xml:space="preserve">   34.6</v>
      </c>
      <c r="Y68" s="41" t="str">
        <f t="shared" si="18"/>
        <v xml:space="preserve">   34.6</v>
      </c>
    </row>
    <row r="69" spans="2:25" x14ac:dyDescent="0.3">
      <c r="B69" s="36" t="s">
        <v>406</v>
      </c>
      <c r="D69" s="37" t="s">
        <v>649</v>
      </c>
      <c r="F69" s="38" t="str">
        <f t="shared" si="5"/>
        <v>UH  182   1          0.0               1</v>
      </c>
      <c r="J69" s="39">
        <f t="shared" si="6"/>
        <v>182</v>
      </c>
      <c r="K69" s="39">
        <f t="shared" si="7"/>
        <v>1</v>
      </c>
      <c r="L69" s="39" t="e">
        <f t="shared" si="19"/>
        <v>#N/A</v>
      </c>
      <c r="M69" s="39">
        <f t="shared" si="20"/>
        <v>0.25</v>
      </c>
      <c r="N69" s="40">
        <f t="shared" si="8"/>
        <v>0</v>
      </c>
      <c r="O69" s="40" t="str">
        <f t="shared" si="9"/>
        <v xml:space="preserve">  0.0</v>
      </c>
      <c r="Q69" s="41">
        <f t="shared" si="10"/>
        <v>172</v>
      </c>
      <c r="R69" s="41" t="str">
        <f t="shared" si="11"/>
        <v xml:space="preserve">  ITAPARICA   </v>
      </c>
      <c r="S69" s="41" t="str">
        <f t="shared" si="12"/>
        <v xml:space="preserve">   34.2</v>
      </c>
      <c r="T69" s="41" t="str">
        <f t="shared" si="13"/>
        <v xml:space="preserve">   32.7</v>
      </c>
      <c r="U69" s="41" t="str">
        <f t="shared" si="14"/>
        <v xml:space="preserve">   33.7</v>
      </c>
      <c r="V69" s="41" t="str">
        <f t="shared" si="15"/>
        <v xml:space="preserve">   32.2</v>
      </c>
      <c r="W69" s="41" t="str">
        <f t="shared" si="16"/>
        <v xml:space="preserve">   32.2</v>
      </c>
      <c r="X69" s="41" t="str">
        <f t="shared" si="17"/>
        <v xml:space="preserve">   32.2</v>
      </c>
      <c r="Y69" s="41" t="str">
        <f t="shared" si="18"/>
        <v xml:space="preserve">   32.2</v>
      </c>
    </row>
    <row r="70" spans="2:25" x14ac:dyDescent="0.3">
      <c r="B70" s="36" t="s">
        <v>407</v>
      </c>
      <c r="D70" s="37" t="s">
        <v>650</v>
      </c>
      <c r="F70" s="38" t="str">
        <f t="shared" si="5"/>
        <v>UH  183   1          0.0               1</v>
      </c>
      <c r="J70" s="39">
        <f t="shared" si="6"/>
        <v>183</v>
      </c>
      <c r="K70" s="39">
        <f t="shared" si="7"/>
        <v>1</v>
      </c>
      <c r="L70" s="39" t="e">
        <f t="shared" si="19"/>
        <v>#N/A</v>
      </c>
      <c r="M70" s="39">
        <f t="shared" si="20"/>
        <v>0.25</v>
      </c>
      <c r="N70" s="40">
        <f t="shared" si="8"/>
        <v>0</v>
      </c>
      <c r="O70" s="40" t="str">
        <f t="shared" si="9"/>
        <v xml:space="preserve">  0.0</v>
      </c>
      <c r="Q70" s="41">
        <f t="shared" si="10"/>
        <v>190</v>
      </c>
      <c r="R70" s="41" t="str">
        <f t="shared" si="11"/>
        <v xml:space="preserve">  B. ESPERANCA</v>
      </c>
      <c r="S70" s="41" t="str">
        <f t="shared" si="12"/>
        <v xml:space="preserve">   35.9</v>
      </c>
      <c r="T70" s="41" t="str">
        <f t="shared" si="13"/>
        <v xml:space="preserve">   36.7</v>
      </c>
      <c r="U70" s="41" t="str">
        <f t="shared" si="14"/>
        <v xml:space="preserve">   36.8</v>
      </c>
      <c r="V70" s="41" t="str">
        <f t="shared" si="15"/>
        <v xml:space="preserve">   42.2</v>
      </c>
      <c r="W70" s="41" t="str">
        <f t="shared" si="16"/>
        <v xml:space="preserve">   42.2</v>
      </c>
      <c r="X70" s="41" t="str">
        <f t="shared" si="17"/>
        <v xml:space="preserve">   42.2</v>
      </c>
      <c r="Y70" s="41" t="str">
        <f t="shared" si="18"/>
        <v xml:space="preserve">   42.2</v>
      </c>
    </row>
    <row r="71" spans="2:25" x14ac:dyDescent="0.3">
      <c r="B71" s="36" t="s">
        <v>408</v>
      </c>
      <c r="D71" s="37" t="s">
        <v>651</v>
      </c>
      <c r="F71" s="38" t="str">
        <f t="shared" si="5"/>
        <v>UH  184   1          0.0               1</v>
      </c>
      <c r="J71" s="39">
        <f t="shared" si="6"/>
        <v>184</v>
      </c>
      <c r="K71" s="39">
        <f t="shared" si="7"/>
        <v>1</v>
      </c>
      <c r="L71" s="39" t="e">
        <f t="shared" si="19"/>
        <v>#N/A</v>
      </c>
      <c r="M71" s="39">
        <f t="shared" si="20"/>
        <v>0.25</v>
      </c>
      <c r="N71" s="40">
        <f t="shared" si="8"/>
        <v>0</v>
      </c>
      <c r="O71" s="40" t="str">
        <f t="shared" si="9"/>
        <v xml:space="preserve">  0.0</v>
      </c>
      <c r="Q71" s="41">
        <f t="shared" si="10"/>
        <v>189</v>
      </c>
      <c r="R71" s="41" t="str">
        <f t="shared" si="11"/>
        <v xml:space="preserve">  P. CAVALO   </v>
      </c>
      <c r="S71" s="41" t="str">
        <f t="shared" si="12"/>
        <v xml:space="preserve">   85.3</v>
      </c>
      <c r="T71" s="41" t="str">
        <f t="shared" si="13"/>
        <v xml:space="preserve">   81.0</v>
      </c>
      <c r="U71" s="41" t="str">
        <f t="shared" si="14"/>
        <v xml:space="preserve">   80.7</v>
      </c>
      <c r="V71" s="41" t="str">
        <f t="shared" si="15"/>
        <v xml:space="preserve">   77.6</v>
      </c>
      <c r="W71" s="41" t="str">
        <f t="shared" si="16"/>
        <v xml:space="preserve">   77.6</v>
      </c>
      <c r="X71" s="41" t="str">
        <f t="shared" si="17"/>
        <v xml:space="preserve">   77.6</v>
      </c>
      <c r="Y71" s="41" t="str">
        <f t="shared" si="18"/>
        <v xml:space="preserve">   77.6</v>
      </c>
    </row>
    <row r="72" spans="2:25" x14ac:dyDescent="0.3">
      <c r="B72" s="36" t="s">
        <v>409</v>
      </c>
      <c r="D72" s="37" t="s">
        <v>652</v>
      </c>
      <c r="F72" s="38" t="str">
        <f t="shared" si="5"/>
        <v>UH  107  10          0.0               1</v>
      </c>
      <c r="J72" s="39">
        <f t="shared" si="6"/>
        <v>107</v>
      </c>
      <c r="K72" s="39">
        <f t="shared" si="7"/>
        <v>1</v>
      </c>
      <c r="L72" s="39" t="e">
        <f t="shared" si="19"/>
        <v>#N/A</v>
      </c>
      <c r="M72" s="39">
        <f t="shared" si="20"/>
        <v>0.25</v>
      </c>
      <c r="N72" s="40">
        <f t="shared" si="8"/>
        <v>0</v>
      </c>
      <c r="O72" s="40" t="str">
        <f t="shared" si="9"/>
        <v xml:space="preserve">  0.0</v>
      </c>
      <c r="Q72" s="41">
        <f t="shared" si="10"/>
        <v>275</v>
      </c>
      <c r="R72" s="41" t="str">
        <f t="shared" si="11"/>
        <v xml:space="preserve">  TUCURUI     </v>
      </c>
      <c r="S72" s="41" t="str">
        <f t="shared" si="12"/>
        <v xml:space="preserve">   45.6</v>
      </c>
      <c r="T72" s="41" t="str">
        <f t="shared" si="13"/>
        <v xml:space="preserve">   47.1</v>
      </c>
      <c r="U72" s="41" t="str">
        <f t="shared" si="14"/>
        <v xml:space="preserve">   54.2</v>
      </c>
      <c r="V72" s="41" t="str">
        <f t="shared" si="15"/>
        <v xml:space="preserve">   63.1</v>
      </c>
      <c r="W72" s="41" t="str">
        <f t="shared" si="16"/>
        <v xml:space="preserve">   63.1</v>
      </c>
      <c r="X72" s="41" t="str">
        <f t="shared" si="17"/>
        <v xml:space="preserve">   63.1</v>
      </c>
      <c r="Y72" s="41" t="str">
        <f t="shared" si="18"/>
        <v xml:space="preserve">   63.1</v>
      </c>
    </row>
    <row r="73" spans="2:25" x14ac:dyDescent="0.3">
      <c r="B73" s="36" t="s">
        <v>410</v>
      </c>
      <c r="D73" s="37" t="s">
        <v>653</v>
      </c>
      <c r="F73" s="38" t="str">
        <f t="shared" si="5"/>
        <v>UH  108   1          0.0               1</v>
      </c>
      <c r="J73" s="39">
        <f t="shared" si="6"/>
        <v>108</v>
      </c>
      <c r="K73" s="39">
        <f t="shared" si="7"/>
        <v>1</v>
      </c>
      <c r="L73" s="39" t="e">
        <f t="shared" si="19"/>
        <v>#N/A</v>
      </c>
      <c r="M73" s="39">
        <f t="shared" si="20"/>
        <v>0.25</v>
      </c>
      <c r="N73" s="40">
        <f t="shared" si="8"/>
        <v>0</v>
      </c>
      <c r="O73" s="40" t="str">
        <f t="shared" si="9"/>
        <v xml:space="preserve">  0.0</v>
      </c>
      <c r="Q73" s="41">
        <f t="shared" si="10"/>
        <v>272</v>
      </c>
      <c r="R73" s="41" t="str">
        <f t="shared" si="11"/>
        <v xml:space="preserve">  CURUA-UNA   </v>
      </c>
      <c r="S73" s="41" t="str">
        <f t="shared" si="12"/>
        <v xml:space="preserve">   95.6</v>
      </c>
      <c r="T73" s="41" t="str">
        <f t="shared" si="13"/>
        <v xml:space="preserve">  100.0</v>
      </c>
      <c r="U73" s="41" t="str">
        <f t="shared" si="14"/>
        <v xml:space="preserve">  100.0</v>
      </c>
      <c r="V73" s="41" t="str">
        <f t="shared" si="15"/>
        <v xml:space="preserve">  100.0</v>
      </c>
      <c r="W73" s="41" t="str">
        <f t="shared" si="16"/>
        <v xml:space="preserve">  100.0</v>
      </c>
      <c r="X73" s="41" t="str">
        <f t="shared" si="17"/>
        <v xml:space="preserve">  100.0</v>
      </c>
      <c r="Y73" s="41" t="str">
        <f t="shared" si="18"/>
        <v xml:space="preserve">  100.0</v>
      </c>
    </row>
    <row r="74" spans="2:25" x14ac:dyDescent="0.3">
      <c r="B74" s="36" t="s">
        <v>411</v>
      </c>
      <c r="D74" s="37" t="s">
        <v>654</v>
      </c>
      <c r="F74" s="38" t="str">
        <f t="shared" si="5"/>
        <v>UH  109   1          0.0               1</v>
      </c>
      <c r="J74" s="39">
        <f t="shared" si="6"/>
        <v>109</v>
      </c>
      <c r="K74" s="39">
        <f t="shared" si="7"/>
        <v>1</v>
      </c>
      <c r="L74" s="39" t="e">
        <f t="shared" si="19"/>
        <v>#N/A</v>
      </c>
      <c r="M74" s="39">
        <f t="shared" si="20"/>
        <v>0.25</v>
      </c>
      <c r="N74" s="40">
        <f t="shared" si="8"/>
        <v>0</v>
      </c>
      <c r="O74" s="40" t="str">
        <f t="shared" si="9"/>
        <v xml:space="preserve">  0.0</v>
      </c>
      <c r="Q74" s="41">
        <f t="shared" si="10"/>
        <v>95</v>
      </c>
      <c r="R74" s="41" t="str">
        <f t="shared" si="11"/>
        <v xml:space="preserve">  QUEBRA QUEIX</v>
      </c>
      <c r="S74" s="41" t="str">
        <f t="shared" si="12"/>
        <v xml:space="preserve">   55.0</v>
      </c>
      <c r="T74" s="41" t="str">
        <f t="shared" si="13"/>
        <v xml:space="preserve">   78.4</v>
      </c>
      <c r="U74" s="41" t="str">
        <f t="shared" si="14"/>
        <v xml:space="preserve">   71.6</v>
      </c>
      <c r="V74" s="41" t="str">
        <f t="shared" si="15"/>
        <v xml:space="preserve">  100.0</v>
      </c>
      <c r="W74" s="41" t="str">
        <f t="shared" si="16"/>
        <v xml:space="preserve">  100.0</v>
      </c>
      <c r="X74" s="41" t="str">
        <f t="shared" si="17"/>
        <v xml:space="preserve">  100.0</v>
      </c>
      <c r="Y74" s="41" t="str">
        <f t="shared" si="18"/>
        <v xml:space="preserve">  100.0</v>
      </c>
    </row>
    <row r="75" spans="2:25" x14ac:dyDescent="0.3">
      <c r="B75" s="36" t="s">
        <v>556</v>
      </c>
      <c r="D75" s="36" t="s">
        <v>655</v>
      </c>
      <c r="F75" s="38" t="str">
        <f t="shared" si="5"/>
        <v>UH  117   1        81.35               1</v>
      </c>
      <c r="J75" s="39">
        <f t="shared" si="6"/>
        <v>117</v>
      </c>
      <c r="K75" s="39">
        <f t="shared" si="7"/>
        <v>1</v>
      </c>
      <c r="L75" s="39" t="str">
        <f t="shared" ref="L75:L106" si="21">SUBSTITUTE(VLOOKUP(J75,$Q$11:$Y$200,L$10,0),".",",")</f>
        <v xml:space="preserve">   81,1</v>
      </c>
      <c r="M75" s="39">
        <f t="shared" ref="M75:M106" si="22">VLOOKUP(K75,$AA$27:$AB$30,2,0)</f>
        <v>0.25</v>
      </c>
      <c r="N75" s="40">
        <f t="shared" si="8"/>
        <v>81.349999999999994</v>
      </c>
      <c r="O75" s="40" t="str">
        <f t="shared" si="9"/>
        <v>81.35</v>
      </c>
      <c r="Q75" s="41">
        <f t="shared" si="10"/>
        <v>155</v>
      </c>
      <c r="R75" s="41" t="str">
        <f t="shared" si="11"/>
        <v xml:space="preserve">  RETIRO BAIXO</v>
      </c>
      <c r="S75" s="41" t="str">
        <f t="shared" si="12"/>
        <v xml:space="preserve">    1.0</v>
      </c>
      <c r="T75" s="41" t="str">
        <f t="shared" si="13"/>
        <v xml:space="preserve">   37.1</v>
      </c>
      <c r="U75" s="41" t="str">
        <f t="shared" si="14"/>
        <v xml:space="preserve">   95.8</v>
      </c>
      <c r="V75" s="41" t="str">
        <f t="shared" si="15"/>
        <v xml:space="preserve">  100.0</v>
      </c>
      <c r="W75" s="41" t="str">
        <f t="shared" si="16"/>
        <v xml:space="preserve">  100.0</v>
      </c>
      <c r="X75" s="41" t="str">
        <f t="shared" si="17"/>
        <v xml:space="preserve">  100.0</v>
      </c>
      <c r="Y75" s="41" t="str">
        <f t="shared" si="18"/>
        <v xml:space="preserve">  100.0</v>
      </c>
    </row>
    <row r="76" spans="2:25" x14ac:dyDescent="0.3">
      <c r="B76" s="36" t="s">
        <v>557</v>
      </c>
      <c r="D76" s="36" t="s">
        <v>656</v>
      </c>
      <c r="F76" s="38" t="str">
        <f t="shared" ref="F76:F139" si="23">IF(B76&lt;&gt;0,LEFT(B76,11)&amp;RIGHT("             "&amp;O76,13)&amp;RIGHT(B76,LEN(B76)-24),"")</f>
        <v>UH  118   1        87.25               1</v>
      </c>
      <c r="J76" s="39">
        <f t="shared" ref="J76:J139" si="24">IFERROR(VALUE(RIGHT(LEFT($B76,7),3)),"")</f>
        <v>118</v>
      </c>
      <c r="K76" s="39">
        <f t="shared" ref="K76:K139" si="25">IFERROR(VLOOKUP(VALUE(RIGHT(LEFT($B76,11),2)),$AA$11:$AB$22,2,0),"")</f>
        <v>1</v>
      </c>
      <c r="L76" s="39" t="str">
        <f t="shared" si="21"/>
        <v xml:space="preserve">   87,0</v>
      </c>
      <c r="M76" s="39">
        <f t="shared" si="22"/>
        <v>0.25</v>
      </c>
      <c r="N76" s="40">
        <f t="shared" ref="N76:N139" si="26">IF(NOT(ISERROR(L76)),IF(L76+M76&gt;100,100,IF(L76+M76&lt;0,0,L76+M76)),0)</f>
        <v>87.25</v>
      </c>
      <c r="O76" s="40" t="str">
        <f t="shared" ref="O76:O139" si="27">IF(N76=0,"  0.0",IF(N76=100,"100.0",SUBSTITUTE(ROUND(N76,2),",",".")))</f>
        <v>87.25</v>
      </c>
      <c r="Q76" s="41">
        <f t="shared" ref="Q76:Q139" si="28">VALUE(RIGHT(LEFT($D76,7),3))</f>
        <v>277</v>
      </c>
      <c r="R76" s="41" t="str">
        <f t="shared" ref="R76:R139" si="29">RIGHT(LEFT($D76,21),14)</f>
        <v xml:space="preserve">  BALBINA     </v>
      </c>
      <c r="S76" s="41" t="str">
        <f t="shared" ref="S76:S139" si="30">RIGHT(LEFT($D76,28),7)</f>
        <v xml:space="preserve">   43.7</v>
      </c>
      <c r="T76" s="41" t="str">
        <f t="shared" ref="T76:T139" si="31">RIGHT(LEFT($D76,35),7)</f>
        <v xml:space="preserve">   39.1</v>
      </c>
      <c r="U76" s="41" t="str">
        <f t="shared" ref="U76:U139" si="32">RIGHT(LEFT($D76,42),7)</f>
        <v xml:space="preserve">   35.3</v>
      </c>
      <c r="V76" s="41" t="str">
        <f t="shared" ref="V76:V139" si="33">RIGHT(LEFT($D76,49),7)</f>
        <v xml:space="preserve">   31.7</v>
      </c>
      <c r="W76" s="41" t="str">
        <f t="shared" ref="W76:W139" si="34">RIGHT(LEFT($D76,56),7)</f>
        <v xml:space="preserve">   31.7</v>
      </c>
      <c r="X76" s="41" t="str">
        <f t="shared" ref="X76:X139" si="35">RIGHT(LEFT($D76,63),7)</f>
        <v xml:space="preserve">   31.7</v>
      </c>
      <c r="Y76" s="41" t="str">
        <f t="shared" ref="Y76:Y139" si="36">RIGHT(LEFT($D76,70),7)</f>
        <v xml:space="preserve">   31.7</v>
      </c>
    </row>
    <row r="77" spans="2:25" x14ac:dyDescent="0.3">
      <c r="B77" s="36" t="s">
        <v>412</v>
      </c>
      <c r="D77" s="36"/>
      <c r="F77" s="38" t="str">
        <f t="shared" si="23"/>
        <v>UH  119   1          0.0               1</v>
      </c>
      <c r="J77" s="39">
        <f t="shared" si="24"/>
        <v>119</v>
      </c>
      <c r="K77" s="39">
        <f t="shared" si="25"/>
        <v>1</v>
      </c>
      <c r="L77" s="39" t="e">
        <f t="shared" si="21"/>
        <v>#N/A</v>
      </c>
      <c r="M77" s="39">
        <f t="shared" si="22"/>
        <v>0.25</v>
      </c>
      <c r="N77" s="40">
        <f t="shared" si="26"/>
        <v>0</v>
      </c>
      <c r="O77" s="40" t="str">
        <f t="shared" si="27"/>
        <v xml:space="preserve">  0.0</v>
      </c>
      <c r="Q77" s="41" t="e">
        <f t="shared" si="28"/>
        <v>#VALUE!</v>
      </c>
      <c r="R77" s="41" t="str">
        <f t="shared" si="29"/>
        <v/>
      </c>
      <c r="S77" s="41" t="str">
        <f t="shared" si="30"/>
        <v/>
      </c>
      <c r="T77" s="41" t="str">
        <f t="shared" si="31"/>
        <v/>
      </c>
      <c r="U77" s="41" t="str">
        <f t="shared" si="32"/>
        <v/>
      </c>
      <c r="V77" s="41" t="str">
        <f t="shared" si="33"/>
        <v/>
      </c>
      <c r="W77" s="41" t="str">
        <f t="shared" si="34"/>
        <v/>
      </c>
      <c r="X77" s="41" t="str">
        <f t="shared" si="35"/>
        <v/>
      </c>
      <c r="Y77" s="41" t="str">
        <f t="shared" si="36"/>
        <v/>
      </c>
    </row>
    <row r="78" spans="2:25" x14ac:dyDescent="0.3">
      <c r="B78" s="36" t="s">
        <v>413</v>
      </c>
      <c r="D78" s="36"/>
      <c r="F78" s="38" t="str">
        <f t="shared" si="23"/>
        <v>UH   32  10          0.0               1</v>
      </c>
      <c r="J78" s="39">
        <f t="shared" si="24"/>
        <v>32</v>
      </c>
      <c r="K78" s="39">
        <f t="shared" si="25"/>
        <v>1</v>
      </c>
      <c r="L78" s="39" t="e">
        <f t="shared" si="21"/>
        <v>#N/A</v>
      </c>
      <c r="M78" s="39">
        <f t="shared" si="22"/>
        <v>0.25</v>
      </c>
      <c r="N78" s="40">
        <f t="shared" si="26"/>
        <v>0</v>
      </c>
      <c r="O78" s="40" t="str">
        <f t="shared" si="27"/>
        <v xml:space="preserve">  0.0</v>
      </c>
      <c r="Q78" s="41" t="e">
        <f t="shared" si="28"/>
        <v>#VALUE!</v>
      </c>
      <c r="R78" s="41" t="str">
        <f t="shared" si="29"/>
        <v/>
      </c>
      <c r="S78" s="41" t="str">
        <f t="shared" si="30"/>
        <v/>
      </c>
      <c r="T78" s="41" t="str">
        <f t="shared" si="31"/>
        <v/>
      </c>
      <c r="U78" s="41" t="str">
        <f t="shared" si="32"/>
        <v/>
      </c>
      <c r="V78" s="41" t="str">
        <f t="shared" si="33"/>
        <v/>
      </c>
      <c r="W78" s="41" t="str">
        <f t="shared" si="34"/>
        <v/>
      </c>
      <c r="X78" s="41" t="str">
        <f t="shared" si="35"/>
        <v/>
      </c>
      <c r="Y78" s="41" t="str">
        <f t="shared" si="36"/>
        <v/>
      </c>
    </row>
    <row r="79" spans="2:25" x14ac:dyDescent="0.3">
      <c r="B79" s="36" t="s">
        <v>414</v>
      </c>
      <c r="D79" s="36"/>
      <c r="F79" s="38" t="str">
        <f t="shared" si="23"/>
        <v>UH   11  10          0.0               1</v>
      </c>
      <c r="J79" s="39">
        <f t="shared" si="24"/>
        <v>11</v>
      </c>
      <c r="K79" s="39">
        <f t="shared" si="25"/>
        <v>1</v>
      </c>
      <c r="L79" s="39" t="e">
        <f t="shared" si="21"/>
        <v>#N/A</v>
      </c>
      <c r="M79" s="39">
        <f t="shared" si="22"/>
        <v>0.25</v>
      </c>
      <c r="N79" s="40">
        <f t="shared" si="26"/>
        <v>0</v>
      </c>
      <c r="O79" s="40" t="str">
        <f t="shared" si="27"/>
        <v xml:space="preserve">  0.0</v>
      </c>
      <c r="Q79" s="41" t="e">
        <f t="shared" si="28"/>
        <v>#VALUE!</v>
      </c>
      <c r="R79" s="41" t="str">
        <f t="shared" si="29"/>
        <v/>
      </c>
      <c r="S79" s="41" t="str">
        <f t="shared" si="30"/>
        <v/>
      </c>
      <c r="T79" s="41" t="str">
        <f t="shared" si="31"/>
        <v/>
      </c>
      <c r="U79" s="41" t="str">
        <f t="shared" si="32"/>
        <v/>
      </c>
      <c r="V79" s="41" t="str">
        <f t="shared" si="33"/>
        <v/>
      </c>
      <c r="W79" s="41" t="str">
        <f t="shared" si="34"/>
        <v/>
      </c>
      <c r="X79" s="41" t="str">
        <f t="shared" si="35"/>
        <v/>
      </c>
      <c r="Y79" s="41" t="str">
        <f t="shared" si="36"/>
        <v/>
      </c>
    </row>
    <row r="80" spans="2:25" x14ac:dyDescent="0.3">
      <c r="B80" s="36" t="s">
        <v>558</v>
      </c>
      <c r="D80" s="36"/>
      <c r="F80" s="38" t="str">
        <f t="shared" si="23"/>
        <v>UH  135   1        70.05               1</v>
      </c>
      <c r="J80" s="39">
        <f t="shared" si="24"/>
        <v>135</v>
      </c>
      <c r="K80" s="39">
        <f t="shared" si="25"/>
        <v>1</v>
      </c>
      <c r="L80" s="39" t="str">
        <f t="shared" si="21"/>
        <v xml:space="preserve">   69,8</v>
      </c>
      <c r="M80" s="39">
        <f t="shared" si="22"/>
        <v>0.25</v>
      </c>
      <c r="N80" s="40">
        <f t="shared" si="26"/>
        <v>70.05</v>
      </c>
      <c r="O80" s="40" t="str">
        <f t="shared" si="27"/>
        <v>70.05</v>
      </c>
      <c r="Q80" s="41" t="e">
        <f t="shared" si="28"/>
        <v>#VALUE!</v>
      </c>
      <c r="R80" s="41" t="str">
        <f t="shared" si="29"/>
        <v/>
      </c>
      <c r="S80" s="41" t="str">
        <f t="shared" si="30"/>
        <v/>
      </c>
      <c r="T80" s="41" t="str">
        <f t="shared" si="31"/>
        <v/>
      </c>
      <c r="U80" s="41" t="str">
        <f t="shared" si="32"/>
        <v/>
      </c>
      <c r="V80" s="41" t="str">
        <f t="shared" si="33"/>
        <v/>
      </c>
      <c r="W80" s="41" t="str">
        <f t="shared" si="34"/>
        <v/>
      </c>
      <c r="X80" s="41" t="str">
        <f t="shared" si="35"/>
        <v/>
      </c>
      <c r="Y80" s="41" t="str">
        <f t="shared" si="36"/>
        <v/>
      </c>
    </row>
    <row r="81" spans="2:25" x14ac:dyDescent="0.3">
      <c r="B81" s="36" t="s">
        <v>415</v>
      </c>
      <c r="D81" s="36"/>
      <c r="F81" s="38" t="str">
        <f t="shared" si="23"/>
        <v>UH  139   1          0.0               1</v>
      </c>
      <c r="J81" s="39">
        <f t="shared" si="24"/>
        <v>139</v>
      </c>
      <c r="K81" s="39">
        <f t="shared" si="25"/>
        <v>1</v>
      </c>
      <c r="L81" s="39" t="e">
        <f t="shared" si="21"/>
        <v>#N/A</v>
      </c>
      <c r="M81" s="39">
        <f t="shared" si="22"/>
        <v>0.25</v>
      </c>
      <c r="N81" s="40">
        <f t="shared" si="26"/>
        <v>0</v>
      </c>
      <c r="O81" s="40" t="str">
        <f t="shared" si="27"/>
        <v xml:space="preserve">  0.0</v>
      </c>
      <c r="Q81" s="41" t="e">
        <f t="shared" si="28"/>
        <v>#VALUE!</v>
      </c>
      <c r="R81" s="41" t="str">
        <f t="shared" si="29"/>
        <v/>
      </c>
      <c r="S81" s="41" t="str">
        <f t="shared" si="30"/>
        <v/>
      </c>
      <c r="T81" s="41" t="str">
        <f t="shared" si="31"/>
        <v/>
      </c>
      <c r="U81" s="41" t="str">
        <f t="shared" si="32"/>
        <v/>
      </c>
      <c r="V81" s="41" t="str">
        <f t="shared" si="33"/>
        <v/>
      </c>
      <c r="W81" s="41" t="str">
        <f t="shared" si="34"/>
        <v/>
      </c>
      <c r="X81" s="41" t="str">
        <f t="shared" si="35"/>
        <v/>
      </c>
      <c r="Y81" s="41" t="str">
        <f t="shared" si="36"/>
        <v/>
      </c>
    </row>
    <row r="82" spans="2:25" x14ac:dyDescent="0.3">
      <c r="B82" s="36" t="s">
        <v>416</v>
      </c>
      <c r="D82" s="36"/>
      <c r="F82" s="38" t="str">
        <f t="shared" si="23"/>
        <v>UH  262  10          0.0               1</v>
      </c>
      <c r="J82" s="39">
        <f t="shared" si="24"/>
        <v>262</v>
      </c>
      <c r="K82" s="39">
        <f t="shared" si="25"/>
        <v>1</v>
      </c>
      <c r="L82" s="39" t="e">
        <f t="shared" si="21"/>
        <v>#N/A</v>
      </c>
      <c r="M82" s="39">
        <f t="shared" si="22"/>
        <v>0.25</v>
      </c>
      <c r="N82" s="40">
        <f t="shared" si="26"/>
        <v>0</v>
      </c>
      <c r="O82" s="40" t="str">
        <f t="shared" si="27"/>
        <v xml:space="preserve">  0.0</v>
      </c>
      <c r="Q82" s="41" t="e">
        <f t="shared" si="28"/>
        <v>#VALUE!</v>
      </c>
      <c r="R82" s="41" t="str">
        <f t="shared" si="29"/>
        <v/>
      </c>
      <c r="S82" s="41" t="str">
        <f t="shared" si="30"/>
        <v/>
      </c>
      <c r="T82" s="41" t="str">
        <f t="shared" si="31"/>
        <v/>
      </c>
      <c r="U82" s="41" t="str">
        <f t="shared" si="32"/>
        <v/>
      </c>
      <c r="V82" s="41" t="str">
        <f t="shared" si="33"/>
        <v/>
      </c>
      <c r="W82" s="41" t="str">
        <f t="shared" si="34"/>
        <v/>
      </c>
      <c r="X82" s="41" t="str">
        <f t="shared" si="35"/>
        <v/>
      </c>
      <c r="Y82" s="41" t="str">
        <f t="shared" si="36"/>
        <v/>
      </c>
    </row>
    <row r="83" spans="2:25" x14ac:dyDescent="0.3">
      <c r="B83" s="36" t="s">
        <v>559</v>
      </c>
      <c r="D83" s="36"/>
      <c r="F83" s="38" t="str">
        <f t="shared" si="23"/>
        <v>UH   89   2         39.3               1</v>
      </c>
      <c r="J83" s="39">
        <f t="shared" si="24"/>
        <v>89</v>
      </c>
      <c r="K83" s="39">
        <f t="shared" si="25"/>
        <v>2</v>
      </c>
      <c r="L83" s="39" t="str">
        <f t="shared" si="21"/>
        <v xml:space="preserve">   40,6</v>
      </c>
      <c r="M83" s="39">
        <f t="shared" si="22"/>
        <v>-1.2999999999999972</v>
      </c>
      <c r="N83" s="40">
        <f t="shared" si="26"/>
        <v>39.300000000000004</v>
      </c>
      <c r="O83" s="40" t="str">
        <f t="shared" si="27"/>
        <v>39.3</v>
      </c>
      <c r="Q83" s="41" t="e">
        <f t="shared" si="28"/>
        <v>#VALUE!</v>
      </c>
      <c r="R83" s="41" t="str">
        <f t="shared" si="29"/>
        <v/>
      </c>
      <c r="S83" s="41" t="str">
        <f t="shared" si="30"/>
        <v/>
      </c>
      <c r="T83" s="41" t="str">
        <f t="shared" si="31"/>
        <v/>
      </c>
      <c r="U83" s="41" t="str">
        <f t="shared" si="32"/>
        <v/>
      </c>
      <c r="V83" s="41" t="str">
        <f t="shared" si="33"/>
        <v/>
      </c>
      <c r="W83" s="41" t="str">
        <f t="shared" si="34"/>
        <v/>
      </c>
      <c r="X83" s="41" t="str">
        <f t="shared" si="35"/>
        <v/>
      </c>
      <c r="Y83" s="41" t="str">
        <f t="shared" si="36"/>
        <v/>
      </c>
    </row>
    <row r="84" spans="2:25" x14ac:dyDescent="0.3">
      <c r="B84" s="36" t="s">
        <v>417</v>
      </c>
      <c r="D84" s="36"/>
      <c r="F84" s="38" t="str">
        <f t="shared" si="23"/>
        <v>UH  144   1          0.0               1</v>
      </c>
      <c r="J84" s="39">
        <f t="shared" si="24"/>
        <v>144</v>
      </c>
      <c r="K84" s="39">
        <f t="shared" si="25"/>
        <v>1</v>
      </c>
      <c r="L84" s="39" t="e">
        <f t="shared" si="21"/>
        <v>#N/A</v>
      </c>
      <c r="M84" s="39">
        <f t="shared" si="22"/>
        <v>0.25</v>
      </c>
      <c r="N84" s="40">
        <f t="shared" si="26"/>
        <v>0</v>
      </c>
      <c r="O84" s="40" t="str">
        <f t="shared" si="27"/>
        <v xml:space="preserve">  0.0</v>
      </c>
      <c r="Q84" s="41" t="e">
        <f t="shared" si="28"/>
        <v>#VALUE!</v>
      </c>
      <c r="R84" s="41" t="str">
        <f t="shared" si="29"/>
        <v/>
      </c>
      <c r="S84" s="41" t="str">
        <f t="shared" si="30"/>
        <v/>
      </c>
      <c r="T84" s="41" t="str">
        <f t="shared" si="31"/>
        <v/>
      </c>
      <c r="U84" s="41" t="str">
        <f t="shared" si="32"/>
        <v/>
      </c>
      <c r="V84" s="41" t="str">
        <f t="shared" si="33"/>
        <v/>
      </c>
      <c r="W84" s="41" t="str">
        <f t="shared" si="34"/>
        <v/>
      </c>
      <c r="X84" s="41" t="str">
        <f t="shared" si="35"/>
        <v/>
      </c>
      <c r="Y84" s="41" t="str">
        <f t="shared" si="36"/>
        <v/>
      </c>
    </row>
    <row r="85" spans="2:25" x14ac:dyDescent="0.3">
      <c r="B85" s="36" t="s">
        <v>418</v>
      </c>
      <c r="D85" s="36"/>
      <c r="F85" s="38" t="str">
        <f t="shared" si="23"/>
        <v>UH   66   5        78.45               1</v>
      </c>
      <c r="J85" s="39">
        <f t="shared" si="24"/>
        <v>66</v>
      </c>
      <c r="K85" s="39">
        <f t="shared" si="25"/>
        <v>1</v>
      </c>
      <c r="L85" s="39" t="str">
        <f t="shared" si="21"/>
        <v xml:space="preserve">   78,2</v>
      </c>
      <c r="M85" s="39">
        <f t="shared" si="22"/>
        <v>0.25</v>
      </c>
      <c r="N85" s="40">
        <f t="shared" si="26"/>
        <v>78.45</v>
      </c>
      <c r="O85" s="40" t="str">
        <f t="shared" si="27"/>
        <v>78.45</v>
      </c>
      <c r="Q85" s="41" t="e">
        <f t="shared" si="28"/>
        <v>#VALUE!</v>
      </c>
      <c r="R85" s="41" t="str">
        <f t="shared" si="29"/>
        <v/>
      </c>
      <c r="S85" s="41" t="str">
        <f t="shared" si="30"/>
        <v/>
      </c>
      <c r="T85" s="41" t="str">
        <f t="shared" si="31"/>
        <v/>
      </c>
      <c r="U85" s="41" t="str">
        <f t="shared" si="32"/>
        <v/>
      </c>
      <c r="V85" s="41" t="str">
        <f t="shared" si="33"/>
        <v/>
      </c>
      <c r="W85" s="41" t="str">
        <f t="shared" si="34"/>
        <v/>
      </c>
      <c r="X85" s="41" t="str">
        <f t="shared" si="35"/>
        <v/>
      </c>
      <c r="Y85" s="41" t="str">
        <f t="shared" si="36"/>
        <v/>
      </c>
    </row>
    <row r="86" spans="2:25" x14ac:dyDescent="0.3">
      <c r="B86" s="36" t="s">
        <v>419</v>
      </c>
      <c r="D86" s="36"/>
      <c r="F86" s="38" t="str">
        <f t="shared" si="23"/>
        <v>UH  110   2          0.0               1</v>
      </c>
      <c r="J86" s="39">
        <f t="shared" si="24"/>
        <v>110</v>
      </c>
      <c r="K86" s="39">
        <f t="shared" si="25"/>
        <v>2</v>
      </c>
      <c r="L86" s="39" t="str">
        <f t="shared" si="21"/>
        <v xml:space="preserve">    0,0</v>
      </c>
      <c r="M86" s="39">
        <f t="shared" si="22"/>
        <v>-1.2999999999999972</v>
      </c>
      <c r="N86" s="40">
        <f t="shared" si="26"/>
        <v>0</v>
      </c>
      <c r="O86" s="40" t="str">
        <f t="shared" si="27"/>
        <v xml:space="preserve">  0.0</v>
      </c>
      <c r="Q86" s="41" t="e">
        <f t="shared" si="28"/>
        <v>#VALUE!</v>
      </c>
      <c r="R86" s="41" t="str">
        <f t="shared" si="29"/>
        <v/>
      </c>
      <c r="S86" s="41" t="str">
        <f t="shared" si="30"/>
        <v/>
      </c>
      <c r="T86" s="41" t="str">
        <f t="shared" si="31"/>
        <v/>
      </c>
      <c r="U86" s="41" t="str">
        <f t="shared" si="32"/>
        <v/>
      </c>
      <c r="V86" s="41" t="str">
        <f t="shared" si="33"/>
        <v/>
      </c>
      <c r="W86" s="41" t="str">
        <f t="shared" si="34"/>
        <v/>
      </c>
      <c r="X86" s="41" t="str">
        <f t="shared" si="35"/>
        <v/>
      </c>
      <c r="Y86" s="41" t="str">
        <f t="shared" si="36"/>
        <v/>
      </c>
    </row>
    <row r="87" spans="2:25" x14ac:dyDescent="0.3">
      <c r="B87" s="36" t="s">
        <v>560</v>
      </c>
      <c r="D87" s="36"/>
      <c r="F87" s="38" t="str">
        <f t="shared" si="23"/>
        <v>UH  111   2         86.8               1</v>
      </c>
      <c r="J87" s="39">
        <f t="shared" si="24"/>
        <v>111</v>
      </c>
      <c r="K87" s="39">
        <f t="shared" si="25"/>
        <v>2</v>
      </c>
      <c r="L87" s="39" t="str">
        <f t="shared" si="21"/>
        <v xml:space="preserve">   88,1</v>
      </c>
      <c r="M87" s="39">
        <f t="shared" si="22"/>
        <v>-1.2999999999999972</v>
      </c>
      <c r="N87" s="40">
        <f t="shared" si="26"/>
        <v>86.8</v>
      </c>
      <c r="O87" s="40" t="str">
        <f t="shared" si="27"/>
        <v>86.8</v>
      </c>
      <c r="Q87" s="41" t="e">
        <f t="shared" si="28"/>
        <v>#VALUE!</v>
      </c>
      <c r="R87" s="41" t="str">
        <f t="shared" si="29"/>
        <v/>
      </c>
      <c r="S87" s="41" t="str">
        <f t="shared" si="30"/>
        <v/>
      </c>
      <c r="T87" s="41" t="str">
        <f t="shared" si="31"/>
        <v/>
      </c>
      <c r="U87" s="41" t="str">
        <f t="shared" si="32"/>
        <v/>
      </c>
      <c r="V87" s="41" t="str">
        <f t="shared" si="33"/>
        <v/>
      </c>
      <c r="W87" s="41" t="str">
        <f t="shared" si="34"/>
        <v/>
      </c>
      <c r="X87" s="41" t="str">
        <f t="shared" si="35"/>
        <v/>
      </c>
      <c r="Y87" s="41" t="str">
        <f t="shared" si="36"/>
        <v/>
      </c>
    </row>
    <row r="88" spans="2:25" x14ac:dyDescent="0.3">
      <c r="B88" s="36" t="s">
        <v>420</v>
      </c>
      <c r="D88" s="36"/>
      <c r="F88" s="38" t="str">
        <f t="shared" si="23"/>
        <v>UH  112   2          0.0               1</v>
      </c>
      <c r="J88" s="39">
        <f t="shared" si="24"/>
        <v>112</v>
      </c>
      <c r="K88" s="39">
        <f t="shared" si="25"/>
        <v>2</v>
      </c>
      <c r="L88" s="39" t="e">
        <f t="shared" si="21"/>
        <v>#N/A</v>
      </c>
      <c r="M88" s="39">
        <f t="shared" si="22"/>
        <v>-1.2999999999999972</v>
      </c>
      <c r="N88" s="40">
        <f t="shared" si="26"/>
        <v>0</v>
      </c>
      <c r="O88" s="40" t="str">
        <f t="shared" si="27"/>
        <v xml:space="preserve">  0.0</v>
      </c>
      <c r="Q88" s="41" t="e">
        <f t="shared" si="28"/>
        <v>#VALUE!</v>
      </c>
      <c r="R88" s="41" t="str">
        <f t="shared" si="29"/>
        <v/>
      </c>
      <c r="S88" s="41" t="str">
        <f t="shared" si="30"/>
        <v/>
      </c>
      <c r="T88" s="41" t="str">
        <f t="shared" si="31"/>
        <v/>
      </c>
      <c r="U88" s="41" t="str">
        <f t="shared" si="32"/>
        <v/>
      </c>
      <c r="V88" s="41" t="str">
        <f t="shared" si="33"/>
        <v/>
      </c>
      <c r="W88" s="41" t="str">
        <f t="shared" si="34"/>
        <v/>
      </c>
      <c r="X88" s="41" t="str">
        <f t="shared" si="35"/>
        <v/>
      </c>
      <c r="Y88" s="41" t="str">
        <f t="shared" si="36"/>
        <v/>
      </c>
    </row>
    <row r="89" spans="2:25" x14ac:dyDescent="0.3">
      <c r="B89" s="36" t="s">
        <v>421</v>
      </c>
      <c r="D89" s="36"/>
      <c r="F89" s="38" t="str">
        <f t="shared" si="23"/>
        <v>UH  113   2          0.0               1</v>
      </c>
      <c r="J89" s="39">
        <f t="shared" si="24"/>
        <v>113</v>
      </c>
      <c r="K89" s="39">
        <f t="shared" si="25"/>
        <v>2</v>
      </c>
      <c r="L89" s="39" t="e">
        <f t="shared" si="21"/>
        <v>#N/A</v>
      </c>
      <c r="M89" s="39">
        <f t="shared" si="22"/>
        <v>-1.2999999999999972</v>
      </c>
      <c r="N89" s="40">
        <f t="shared" si="26"/>
        <v>0</v>
      </c>
      <c r="O89" s="40" t="str">
        <f t="shared" si="27"/>
        <v xml:space="preserve">  0.0</v>
      </c>
      <c r="Q89" s="41" t="e">
        <f t="shared" si="28"/>
        <v>#VALUE!</v>
      </c>
      <c r="R89" s="41" t="str">
        <f t="shared" si="29"/>
        <v/>
      </c>
      <c r="S89" s="41" t="str">
        <f t="shared" si="30"/>
        <v/>
      </c>
      <c r="T89" s="41" t="str">
        <f t="shared" si="31"/>
        <v/>
      </c>
      <c r="U89" s="41" t="str">
        <f t="shared" si="32"/>
        <v/>
      </c>
      <c r="V89" s="41" t="str">
        <f t="shared" si="33"/>
        <v/>
      </c>
      <c r="W89" s="41" t="str">
        <f t="shared" si="34"/>
        <v/>
      </c>
      <c r="X89" s="41" t="str">
        <f t="shared" si="35"/>
        <v/>
      </c>
      <c r="Y89" s="41" t="str">
        <f t="shared" si="36"/>
        <v/>
      </c>
    </row>
    <row r="90" spans="2:25" x14ac:dyDescent="0.3">
      <c r="B90" s="36" t="s">
        <v>422</v>
      </c>
      <c r="D90" s="36"/>
      <c r="F90" s="38" t="str">
        <f t="shared" si="23"/>
        <v>UH  114   2          0.0               1</v>
      </c>
      <c r="J90" s="39">
        <f t="shared" si="24"/>
        <v>114</v>
      </c>
      <c r="K90" s="39">
        <f t="shared" si="25"/>
        <v>2</v>
      </c>
      <c r="L90" s="39" t="e">
        <f t="shared" si="21"/>
        <v>#N/A</v>
      </c>
      <c r="M90" s="39">
        <f t="shared" si="22"/>
        <v>-1.2999999999999972</v>
      </c>
      <c r="N90" s="40">
        <f t="shared" si="26"/>
        <v>0</v>
      </c>
      <c r="O90" s="40" t="str">
        <f t="shared" si="27"/>
        <v xml:space="preserve">  0.0</v>
      </c>
      <c r="Q90" s="41" t="e">
        <f t="shared" si="28"/>
        <v>#VALUE!</v>
      </c>
      <c r="R90" s="41" t="str">
        <f t="shared" si="29"/>
        <v/>
      </c>
      <c r="S90" s="41" t="str">
        <f t="shared" si="30"/>
        <v/>
      </c>
      <c r="T90" s="41" t="str">
        <f t="shared" si="31"/>
        <v/>
      </c>
      <c r="U90" s="41" t="str">
        <f t="shared" si="32"/>
        <v/>
      </c>
      <c r="V90" s="41" t="str">
        <f t="shared" si="33"/>
        <v/>
      </c>
      <c r="W90" s="41" t="str">
        <f t="shared" si="34"/>
        <v/>
      </c>
      <c r="X90" s="41" t="str">
        <f t="shared" si="35"/>
        <v/>
      </c>
      <c r="Y90" s="41" t="str">
        <f t="shared" si="36"/>
        <v/>
      </c>
    </row>
    <row r="91" spans="2:25" x14ac:dyDescent="0.3">
      <c r="B91" s="36" t="s">
        <v>561</v>
      </c>
      <c r="D91" s="36"/>
      <c r="F91" s="38" t="str">
        <f t="shared" si="23"/>
        <v>UH   74  11         17.9               1</v>
      </c>
      <c r="J91" s="39">
        <f t="shared" si="24"/>
        <v>74</v>
      </c>
      <c r="K91" s="39">
        <f t="shared" si="25"/>
        <v>2</v>
      </c>
      <c r="L91" s="39" t="str">
        <f t="shared" si="21"/>
        <v xml:space="preserve">   19,2</v>
      </c>
      <c r="M91" s="39">
        <f t="shared" si="22"/>
        <v>-1.2999999999999972</v>
      </c>
      <c r="N91" s="40">
        <f t="shared" si="26"/>
        <v>17.900000000000002</v>
      </c>
      <c r="O91" s="40" t="str">
        <f t="shared" si="27"/>
        <v>17.9</v>
      </c>
      <c r="Q91" s="41" t="e">
        <f t="shared" si="28"/>
        <v>#VALUE!</v>
      </c>
      <c r="R91" s="41" t="str">
        <f t="shared" si="29"/>
        <v/>
      </c>
      <c r="S91" s="41" t="str">
        <f t="shared" si="30"/>
        <v/>
      </c>
      <c r="T91" s="41" t="str">
        <f t="shared" si="31"/>
        <v/>
      </c>
      <c r="U91" s="41" t="str">
        <f t="shared" si="32"/>
        <v/>
      </c>
      <c r="V91" s="41" t="str">
        <f t="shared" si="33"/>
        <v/>
      </c>
      <c r="W91" s="41" t="str">
        <f t="shared" si="34"/>
        <v/>
      </c>
      <c r="X91" s="41" t="str">
        <f t="shared" si="35"/>
        <v/>
      </c>
      <c r="Y91" s="41" t="str">
        <f t="shared" si="36"/>
        <v/>
      </c>
    </row>
    <row r="92" spans="2:25" x14ac:dyDescent="0.3">
      <c r="B92" s="36" t="s">
        <v>562</v>
      </c>
      <c r="D92" s="36"/>
      <c r="F92" s="38" t="str">
        <f t="shared" si="23"/>
        <v>UH   76  11         35.4               1</v>
      </c>
      <c r="J92" s="39">
        <f t="shared" si="24"/>
        <v>76</v>
      </c>
      <c r="K92" s="39">
        <f t="shared" si="25"/>
        <v>2</v>
      </c>
      <c r="L92" s="39" t="str">
        <f t="shared" si="21"/>
        <v xml:space="preserve">   36,7</v>
      </c>
      <c r="M92" s="39">
        <f t="shared" si="22"/>
        <v>-1.2999999999999972</v>
      </c>
      <c r="N92" s="40">
        <f t="shared" si="26"/>
        <v>35.400000000000006</v>
      </c>
      <c r="O92" s="40" t="str">
        <f t="shared" si="27"/>
        <v>35.4</v>
      </c>
      <c r="Q92" s="41" t="e">
        <f t="shared" si="28"/>
        <v>#VALUE!</v>
      </c>
      <c r="R92" s="41" t="str">
        <f t="shared" si="29"/>
        <v/>
      </c>
      <c r="S92" s="41" t="str">
        <f t="shared" si="30"/>
        <v/>
      </c>
      <c r="T92" s="41" t="str">
        <f t="shared" si="31"/>
        <v/>
      </c>
      <c r="U92" s="41" t="str">
        <f t="shared" si="32"/>
        <v/>
      </c>
      <c r="V92" s="41" t="str">
        <f t="shared" si="33"/>
        <v/>
      </c>
      <c r="W92" s="41" t="str">
        <f t="shared" si="34"/>
        <v/>
      </c>
      <c r="X92" s="41" t="str">
        <f t="shared" si="35"/>
        <v/>
      </c>
      <c r="Y92" s="41" t="str">
        <f t="shared" si="36"/>
        <v/>
      </c>
    </row>
    <row r="93" spans="2:25" x14ac:dyDescent="0.3">
      <c r="B93" s="36" t="s">
        <v>423</v>
      </c>
      <c r="D93" s="36"/>
      <c r="F93" s="38" t="str">
        <f t="shared" si="23"/>
        <v>UH   82  11          0.0               1</v>
      </c>
      <c r="J93" s="39">
        <f t="shared" si="24"/>
        <v>82</v>
      </c>
      <c r="K93" s="39">
        <f t="shared" si="25"/>
        <v>2</v>
      </c>
      <c r="L93" s="39" t="e">
        <f t="shared" si="21"/>
        <v>#N/A</v>
      </c>
      <c r="M93" s="39">
        <f t="shared" si="22"/>
        <v>-1.2999999999999972</v>
      </c>
      <c r="N93" s="40">
        <f t="shared" si="26"/>
        <v>0</v>
      </c>
      <c r="O93" s="40" t="str">
        <f t="shared" si="27"/>
        <v xml:space="preserve">  0.0</v>
      </c>
      <c r="Q93" s="41" t="e">
        <f t="shared" si="28"/>
        <v>#VALUE!</v>
      </c>
      <c r="R93" s="41" t="str">
        <f t="shared" si="29"/>
        <v/>
      </c>
      <c r="S93" s="41" t="str">
        <f t="shared" si="30"/>
        <v/>
      </c>
      <c r="T93" s="41" t="str">
        <f t="shared" si="31"/>
        <v/>
      </c>
      <c r="U93" s="41" t="str">
        <f t="shared" si="32"/>
        <v/>
      </c>
      <c r="V93" s="41" t="str">
        <f t="shared" si="33"/>
        <v/>
      </c>
      <c r="W93" s="41" t="str">
        <f t="shared" si="34"/>
        <v/>
      </c>
      <c r="X93" s="41" t="str">
        <f t="shared" si="35"/>
        <v/>
      </c>
      <c r="Y93" s="41" t="str">
        <f t="shared" si="36"/>
        <v/>
      </c>
    </row>
    <row r="94" spans="2:25" x14ac:dyDescent="0.3">
      <c r="B94" s="36" t="s">
        <v>563</v>
      </c>
      <c r="D94" s="36"/>
      <c r="F94" s="38" t="str">
        <f t="shared" si="23"/>
        <v>UH  115   2         27.8               1</v>
      </c>
      <c r="J94" s="39">
        <f t="shared" si="24"/>
        <v>115</v>
      </c>
      <c r="K94" s="39">
        <f t="shared" si="25"/>
        <v>2</v>
      </c>
      <c r="L94" s="39" t="str">
        <f t="shared" si="21"/>
        <v xml:space="preserve">   29,1</v>
      </c>
      <c r="M94" s="39">
        <f t="shared" si="22"/>
        <v>-1.2999999999999972</v>
      </c>
      <c r="N94" s="40">
        <f t="shared" si="26"/>
        <v>27.800000000000004</v>
      </c>
      <c r="O94" s="40" t="str">
        <f t="shared" si="27"/>
        <v>27.8</v>
      </c>
      <c r="Q94" s="41" t="e">
        <f t="shared" si="28"/>
        <v>#VALUE!</v>
      </c>
      <c r="R94" s="41" t="str">
        <f t="shared" si="29"/>
        <v/>
      </c>
      <c r="S94" s="41" t="str">
        <f t="shared" si="30"/>
        <v/>
      </c>
      <c r="T94" s="41" t="str">
        <f t="shared" si="31"/>
        <v/>
      </c>
      <c r="U94" s="41" t="str">
        <f t="shared" si="32"/>
        <v/>
      </c>
      <c r="V94" s="41" t="str">
        <f t="shared" si="33"/>
        <v/>
      </c>
      <c r="W94" s="41" t="str">
        <f t="shared" si="34"/>
        <v/>
      </c>
      <c r="X94" s="41" t="str">
        <f t="shared" si="35"/>
        <v/>
      </c>
      <c r="Y94" s="41" t="str">
        <f t="shared" si="36"/>
        <v/>
      </c>
    </row>
    <row r="95" spans="2:25" x14ac:dyDescent="0.3">
      <c r="B95" s="36" t="s">
        <v>424</v>
      </c>
      <c r="D95" s="36"/>
      <c r="F95" s="38" t="str">
        <f t="shared" si="23"/>
        <v>UH   73  11         98.7               1</v>
      </c>
      <c r="J95" s="39">
        <f t="shared" si="24"/>
        <v>73</v>
      </c>
      <c r="K95" s="39">
        <f t="shared" si="25"/>
        <v>2</v>
      </c>
      <c r="L95" s="39" t="str">
        <f t="shared" si="21"/>
        <v xml:space="preserve">  100,0</v>
      </c>
      <c r="M95" s="39">
        <f t="shared" si="22"/>
        <v>-1.2999999999999972</v>
      </c>
      <c r="N95" s="40">
        <f t="shared" si="26"/>
        <v>98.7</v>
      </c>
      <c r="O95" s="40" t="str">
        <f t="shared" si="27"/>
        <v>98.7</v>
      </c>
      <c r="Q95" s="41" t="e">
        <f t="shared" si="28"/>
        <v>#VALUE!</v>
      </c>
      <c r="R95" s="41" t="str">
        <f t="shared" si="29"/>
        <v/>
      </c>
      <c r="S95" s="41" t="str">
        <f t="shared" si="30"/>
        <v/>
      </c>
      <c r="T95" s="41" t="str">
        <f t="shared" si="31"/>
        <v/>
      </c>
      <c r="U95" s="41" t="str">
        <f t="shared" si="32"/>
        <v/>
      </c>
      <c r="V95" s="41" t="str">
        <f t="shared" si="33"/>
        <v/>
      </c>
      <c r="W95" s="41" t="str">
        <f t="shared" si="34"/>
        <v/>
      </c>
      <c r="X95" s="41" t="str">
        <f t="shared" si="35"/>
        <v/>
      </c>
      <c r="Y95" s="41" t="str">
        <f t="shared" si="36"/>
        <v/>
      </c>
    </row>
    <row r="96" spans="2:25" x14ac:dyDescent="0.3">
      <c r="B96" s="36" t="s">
        <v>564</v>
      </c>
      <c r="D96" s="36"/>
      <c r="F96" s="38" t="str">
        <f t="shared" si="23"/>
        <v>UH   71  11         36.5               1</v>
      </c>
      <c r="J96" s="39">
        <f t="shared" si="24"/>
        <v>71</v>
      </c>
      <c r="K96" s="39">
        <f t="shared" si="25"/>
        <v>2</v>
      </c>
      <c r="L96" s="39" t="str">
        <f t="shared" si="21"/>
        <v xml:space="preserve">   37,8</v>
      </c>
      <c r="M96" s="39">
        <f t="shared" si="22"/>
        <v>-1.2999999999999972</v>
      </c>
      <c r="N96" s="40">
        <f t="shared" si="26"/>
        <v>36.5</v>
      </c>
      <c r="O96" s="40" t="str">
        <f t="shared" si="27"/>
        <v>36.5</v>
      </c>
      <c r="Q96" s="41" t="e">
        <f t="shared" si="28"/>
        <v>#VALUE!</v>
      </c>
      <c r="R96" s="41" t="str">
        <f t="shared" si="29"/>
        <v/>
      </c>
      <c r="S96" s="41" t="str">
        <f t="shared" si="30"/>
        <v/>
      </c>
      <c r="T96" s="41" t="str">
        <f t="shared" si="31"/>
        <v/>
      </c>
      <c r="U96" s="41" t="str">
        <f t="shared" si="32"/>
        <v/>
      </c>
      <c r="V96" s="41" t="str">
        <f t="shared" si="33"/>
        <v/>
      </c>
      <c r="W96" s="41" t="str">
        <f t="shared" si="34"/>
        <v/>
      </c>
      <c r="X96" s="41" t="str">
        <f t="shared" si="35"/>
        <v/>
      </c>
      <c r="Y96" s="41" t="str">
        <f t="shared" si="36"/>
        <v/>
      </c>
    </row>
    <row r="97" spans="2:25" x14ac:dyDescent="0.3">
      <c r="B97" s="36" t="s">
        <v>425</v>
      </c>
      <c r="D97" s="36"/>
      <c r="F97" s="38" t="str">
        <f t="shared" si="23"/>
        <v>UH   72  11          0.0               1</v>
      </c>
      <c r="J97" s="39">
        <f t="shared" si="24"/>
        <v>72</v>
      </c>
      <c r="K97" s="39">
        <f t="shared" si="25"/>
        <v>2</v>
      </c>
      <c r="L97" s="39" t="e">
        <f t="shared" si="21"/>
        <v>#N/A</v>
      </c>
      <c r="M97" s="39">
        <f t="shared" si="22"/>
        <v>-1.2999999999999972</v>
      </c>
      <c r="N97" s="40">
        <f t="shared" si="26"/>
        <v>0</v>
      </c>
      <c r="O97" s="40" t="str">
        <f t="shared" si="27"/>
        <v xml:space="preserve">  0.0</v>
      </c>
      <c r="Q97" s="41" t="e">
        <f t="shared" si="28"/>
        <v>#VALUE!</v>
      </c>
      <c r="R97" s="41" t="str">
        <f t="shared" si="29"/>
        <v/>
      </c>
      <c r="S97" s="41" t="str">
        <f t="shared" si="30"/>
        <v/>
      </c>
      <c r="T97" s="41" t="str">
        <f t="shared" si="31"/>
        <v/>
      </c>
      <c r="U97" s="41" t="str">
        <f t="shared" si="32"/>
        <v/>
      </c>
      <c r="V97" s="41" t="str">
        <f t="shared" si="33"/>
        <v/>
      </c>
      <c r="W97" s="41" t="str">
        <f t="shared" si="34"/>
        <v/>
      </c>
      <c r="X97" s="41" t="str">
        <f t="shared" si="35"/>
        <v/>
      </c>
      <c r="Y97" s="41" t="str">
        <f t="shared" si="36"/>
        <v/>
      </c>
    </row>
    <row r="98" spans="2:25" x14ac:dyDescent="0.3">
      <c r="B98" s="36" t="s">
        <v>565</v>
      </c>
      <c r="D98" s="36"/>
      <c r="F98" s="38" t="str">
        <f t="shared" si="23"/>
        <v>UH   57  11            6               1</v>
      </c>
      <c r="J98" s="39">
        <f t="shared" si="24"/>
        <v>57</v>
      </c>
      <c r="K98" s="39">
        <f t="shared" si="25"/>
        <v>2</v>
      </c>
      <c r="L98" s="39" t="str">
        <f t="shared" si="21"/>
        <v xml:space="preserve">    7,3</v>
      </c>
      <c r="M98" s="39">
        <f t="shared" si="22"/>
        <v>-1.2999999999999972</v>
      </c>
      <c r="N98" s="40">
        <f t="shared" si="26"/>
        <v>6.0000000000000027</v>
      </c>
      <c r="O98" s="40" t="str">
        <f t="shared" si="27"/>
        <v>6</v>
      </c>
      <c r="Q98" s="41" t="e">
        <f t="shared" si="28"/>
        <v>#VALUE!</v>
      </c>
      <c r="R98" s="41" t="str">
        <f t="shared" si="29"/>
        <v/>
      </c>
      <c r="S98" s="41" t="str">
        <f t="shared" si="30"/>
        <v/>
      </c>
      <c r="T98" s="41" t="str">
        <f t="shared" si="31"/>
        <v/>
      </c>
      <c r="U98" s="41" t="str">
        <f t="shared" si="32"/>
        <v/>
      </c>
      <c r="V98" s="41" t="str">
        <f t="shared" si="33"/>
        <v/>
      </c>
      <c r="W98" s="41" t="str">
        <f t="shared" si="34"/>
        <v/>
      </c>
      <c r="X98" s="41" t="str">
        <f t="shared" si="35"/>
        <v/>
      </c>
      <c r="Y98" s="41" t="str">
        <f t="shared" si="36"/>
        <v/>
      </c>
    </row>
    <row r="99" spans="2:25" x14ac:dyDescent="0.3">
      <c r="B99" s="36" t="s">
        <v>566</v>
      </c>
      <c r="D99" s="36"/>
      <c r="F99" s="38" t="str">
        <f t="shared" si="23"/>
        <v>UH  228   7          0.0               1</v>
      </c>
      <c r="J99" s="39">
        <f t="shared" si="24"/>
        <v>228</v>
      </c>
      <c r="K99" s="39">
        <f t="shared" si="25"/>
        <v>1</v>
      </c>
      <c r="L99" s="39" t="e">
        <f t="shared" si="21"/>
        <v>#N/A</v>
      </c>
      <c r="M99" s="39">
        <f t="shared" si="22"/>
        <v>0.25</v>
      </c>
      <c r="N99" s="40">
        <f t="shared" si="26"/>
        <v>0</v>
      </c>
      <c r="O99" s="40" t="str">
        <f t="shared" si="27"/>
        <v xml:space="preserve">  0.0</v>
      </c>
      <c r="Q99" s="41" t="e">
        <f t="shared" si="28"/>
        <v>#VALUE!</v>
      </c>
      <c r="R99" s="41" t="str">
        <f t="shared" si="29"/>
        <v/>
      </c>
      <c r="S99" s="41" t="str">
        <f t="shared" si="30"/>
        <v/>
      </c>
      <c r="T99" s="41" t="str">
        <f t="shared" si="31"/>
        <v/>
      </c>
      <c r="U99" s="41" t="str">
        <f t="shared" si="32"/>
        <v/>
      </c>
      <c r="V99" s="41" t="str">
        <f t="shared" si="33"/>
        <v/>
      </c>
      <c r="W99" s="41" t="str">
        <f t="shared" si="34"/>
        <v/>
      </c>
      <c r="X99" s="41" t="str">
        <f t="shared" si="35"/>
        <v/>
      </c>
      <c r="Y99" s="41" t="str">
        <f t="shared" si="36"/>
        <v/>
      </c>
    </row>
    <row r="100" spans="2:25" x14ac:dyDescent="0.3">
      <c r="B100" s="36" t="s">
        <v>567</v>
      </c>
      <c r="D100" s="36"/>
      <c r="F100" s="38" t="str">
        <f t="shared" si="23"/>
        <v>UH   77  11         36.5               1</v>
      </c>
      <c r="J100" s="39">
        <f t="shared" si="24"/>
        <v>77</v>
      </c>
      <c r="K100" s="39">
        <f t="shared" si="25"/>
        <v>2</v>
      </c>
      <c r="L100" s="39" t="str">
        <f t="shared" si="21"/>
        <v xml:space="preserve">   37,8</v>
      </c>
      <c r="M100" s="39">
        <f t="shared" si="22"/>
        <v>-1.2999999999999972</v>
      </c>
      <c r="N100" s="40">
        <f t="shared" si="26"/>
        <v>36.5</v>
      </c>
      <c r="O100" s="40" t="str">
        <f t="shared" si="27"/>
        <v>36.5</v>
      </c>
      <c r="Q100" s="41" t="e">
        <f t="shared" si="28"/>
        <v>#VALUE!</v>
      </c>
      <c r="R100" s="41" t="str">
        <f t="shared" si="29"/>
        <v/>
      </c>
      <c r="S100" s="41" t="str">
        <f t="shared" si="30"/>
        <v/>
      </c>
      <c r="T100" s="41" t="str">
        <f t="shared" si="31"/>
        <v/>
      </c>
      <c r="U100" s="41" t="str">
        <f t="shared" si="32"/>
        <v/>
      </c>
      <c r="V100" s="41" t="str">
        <f t="shared" si="33"/>
        <v/>
      </c>
      <c r="W100" s="41" t="str">
        <f t="shared" si="34"/>
        <v/>
      </c>
      <c r="X100" s="41" t="str">
        <f t="shared" si="35"/>
        <v/>
      </c>
      <c r="Y100" s="41" t="str">
        <f t="shared" si="36"/>
        <v/>
      </c>
    </row>
    <row r="101" spans="2:25" x14ac:dyDescent="0.3">
      <c r="B101" s="36" t="s">
        <v>426</v>
      </c>
      <c r="D101" s="36"/>
      <c r="F101" s="38" t="str">
        <f t="shared" si="23"/>
        <v>UH   78  11          0.0               1</v>
      </c>
      <c r="J101" s="39">
        <f t="shared" si="24"/>
        <v>78</v>
      </c>
      <c r="K101" s="39">
        <f t="shared" si="25"/>
        <v>2</v>
      </c>
      <c r="L101" s="39" t="e">
        <f t="shared" si="21"/>
        <v>#N/A</v>
      </c>
      <c r="M101" s="39">
        <f t="shared" si="22"/>
        <v>-1.2999999999999972</v>
      </c>
      <c r="N101" s="40">
        <f t="shared" si="26"/>
        <v>0</v>
      </c>
      <c r="O101" s="40" t="str">
        <f t="shared" si="27"/>
        <v xml:space="preserve">  0.0</v>
      </c>
      <c r="Q101" s="41" t="e">
        <f t="shared" si="28"/>
        <v>#VALUE!</v>
      </c>
      <c r="R101" s="41" t="str">
        <f t="shared" si="29"/>
        <v/>
      </c>
      <c r="S101" s="41" t="str">
        <f t="shared" si="30"/>
        <v/>
      </c>
      <c r="T101" s="41" t="str">
        <f t="shared" si="31"/>
        <v/>
      </c>
      <c r="U101" s="41" t="str">
        <f t="shared" si="32"/>
        <v/>
      </c>
      <c r="V101" s="41" t="str">
        <f t="shared" si="33"/>
        <v/>
      </c>
      <c r="W101" s="41" t="str">
        <f t="shared" si="34"/>
        <v/>
      </c>
      <c r="X101" s="41" t="str">
        <f t="shared" si="35"/>
        <v/>
      </c>
      <c r="Y101" s="41" t="str">
        <f t="shared" si="36"/>
        <v/>
      </c>
    </row>
    <row r="102" spans="2:25" x14ac:dyDescent="0.3">
      <c r="B102" s="36" t="s">
        <v>568</v>
      </c>
      <c r="D102" s="36"/>
      <c r="F102" s="38" t="str">
        <f t="shared" si="23"/>
        <v>UH   93   2         53.7               1</v>
      </c>
      <c r="J102" s="39">
        <f t="shared" si="24"/>
        <v>93</v>
      </c>
      <c r="K102" s="39">
        <f t="shared" si="25"/>
        <v>2</v>
      </c>
      <c r="L102" s="39" t="str">
        <f t="shared" si="21"/>
        <v xml:space="preserve">   55,0</v>
      </c>
      <c r="M102" s="39">
        <f t="shared" si="22"/>
        <v>-1.2999999999999972</v>
      </c>
      <c r="N102" s="40">
        <f t="shared" si="26"/>
        <v>53.7</v>
      </c>
      <c r="O102" s="40" t="str">
        <f t="shared" si="27"/>
        <v>53.7</v>
      </c>
      <c r="Q102" s="41" t="e">
        <f t="shared" si="28"/>
        <v>#VALUE!</v>
      </c>
      <c r="R102" s="41" t="str">
        <f t="shared" si="29"/>
        <v/>
      </c>
      <c r="S102" s="41" t="str">
        <f t="shared" si="30"/>
        <v/>
      </c>
      <c r="T102" s="41" t="str">
        <f t="shared" si="31"/>
        <v/>
      </c>
      <c r="U102" s="41" t="str">
        <f t="shared" si="32"/>
        <v/>
      </c>
      <c r="V102" s="41" t="str">
        <f t="shared" si="33"/>
        <v/>
      </c>
      <c r="W102" s="41" t="str">
        <f t="shared" si="34"/>
        <v/>
      </c>
      <c r="X102" s="41" t="str">
        <f t="shared" si="35"/>
        <v/>
      </c>
      <c r="Y102" s="41" t="str">
        <f t="shared" si="36"/>
        <v/>
      </c>
    </row>
    <row r="103" spans="2:25" x14ac:dyDescent="0.3">
      <c r="B103" s="36" t="s">
        <v>569</v>
      </c>
      <c r="D103" s="36"/>
      <c r="F103" s="38" t="str">
        <f t="shared" si="23"/>
        <v>UH   91   2         38.5               1</v>
      </c>
      <c r="J103" s="39">
        <f t="shared" si="24"/>
        <v>91</v>
      </c>
      <c r="K103" s="39">
        <f t="shared" si="25"/>
        <v>2</v>
      </c>
      <c r="L103" s="39" t="str">
        <f t="shared" si="21"/>
        <v xml:space="preserve">   39,8</v>
      </c>
      <c r="M103" s="39">
        <f t="shared" si="22"/>
        <v>-1.2999999999999972</v>
      </c>
      <c r="N103" s="40">
        <f t="shared" si="26"/>
        <v>38.5</v>
      </c>
      <c r="O103" s="40" t="str">
        <f t="shared" si="27"/>
        <v>38.5</v>
      </c>
      <c r="Q103" s="41" t="e">
        <f t="shared" si="28"/>
        <v>#VALUE!</v>
      </c>
      <c r="R103" s="41" t="str">
        <f t="shared" si="29"/>
        <v/>
      </c>
      <c r="S103" s="41" t="str">
        <f t="shared" si="30"/>
        <v/>
      </c>
      <c r="T103" s="41" t="str">
        <f t="shared" si="31"/>
        <v/>
      </c>
      <c r="U103" s="41" t="str">
        <f t="shared" si="32"/>
        <v/>
      </c>
      <c r="V103" s="41" t="str">
        <f t="shared" si="33"/>
        <v/>
      </c>
      <c r="W103" s="41" t="str">
        <f t="shared" si="34"/>
        <v/>
      </c>
      <c r="X103" s="41" t="str">
        <f t="shared" si="35"/>
        <v/>
      </c>
      <c r="Y103" s="41" t="str">
        <f t="shared" si="36"/>
        <v/>
      </c>
    </row>
    <row r="104" spans="2:25" x14ac:dyDescent="0.3">
      <c r="B104" s="36" t="s">
        <v>427</v>
      </c>
      <c r="D104" s="36"/>
      <c r="F104" s="38" t="str">
        <f t="shared" si="23"/>
        <v>UH   92   2          0.0               1</v>
      </c>
      <c r="J104" s="39">
        <f t="shared" si="24"/>
        <v>92</v>
      </c>
      <c r="K104" s="39">
        <f t="shared" si="25"/>
        <v>2</v>
      </c>
      <c r="L104" s="39" t="e">
        <f t="shared" si="21"/>
        <v>#N/A</v>
      </c>
      <c r="M104" s="39">
        <f t="shared" si="22"/>
        <v>-1.2999999999999972</v>
      </c>
      <c r="N104" s="40">
        <f t="shared" si="26"/>
        <v>0</v>
      </c>
      <c r="O104" s="40" t="str">
        <f t="shared" si="27"/>
        <v xml:space="preserve">  0.0</v>
      </c>
      <c r="Q104" s="41" t="e">
        <f t="shared" si="28"/>
        <v>#VALUE!</v>
      </c>
      <c r="R104" s="41" t="str">
        <f t="shared" si="29"/>
        <v/>
      </c>
      <c r="S104" s="41" t="str">
        <f t="shared" si="30"/>
        <v/>
      </c>
      <c r="T104" s="41" t="str">
        <f t="shared" si="31"/>
        <v/>
      </c>
      <c r="U104" s="41" t="str">
        <f t="shared" si="32"/>
        <v/>
      </c>
      <c r="V104" s="41" t="str">
        <f t="shared" si="33"/>
        <v/>
      </c>
      <c r="W104" s="41" t="str">
        <f t="shared" si="34"/>
        <v/>
      </c>
      <c r="X104" s="41" t="str">
        <f t="shared" si="35"/>
        <v/>
      </c>
      <c r="Y104" s="41" t="str">
        <f t="shared" si="36"/>
        <v/>
      </c>
    </row>
    <row r="105" spans="2:25" x14ac:dyDescent="0.3">
      <c r="B105" s="36" t="s">
        <v>428</v>
      </c>
      <c r="D105" s="36"/>
      <c r="F105" s="38" t="str">
        <f t="shared" si="23"/>
        <v>UH  252   1          0.0               1</v>
      </c>
      <c r="J105" s="39">
        <f t="shared" si="24"/>
        <v>252</v>
      </c>
      <c r="K105" s="39">
        <f t="shared" si="25"/>
        <v>1</v>
      </c>
      <c r="L105" s="39" t="e">
        <f t="shared" si="21"/>
        <v>#N/A</v>
      </c>
      <c r="M105" s="39">
        <f t="shared" si="22"/>
        <v>0.25</v>
      </c>
      <c r="N105" s="40">
        <f t="shared" si="26"/>
        <v>0</v>
      </c>
      <c r="O105" s="40" t="str">
        <f t="shared" si="27"/>
        <v xml:space="preserve">  0.0</v>
      </c>
      <c r="Q105" s="41" t="e">
        <f t="shared" si="28"/>
        <v>#VALUE!</v>
      </c>
      <c r="R105" s="41" t="str">
        <f t="shared" si="29"/>
        <v/>
      </c>
      <c r="S105" s="41" t="str">
        <f t="shared" si="30"/>
        <v/>
      </c>
      <c r="T105" s="41" t="str">
        <f t="shared" si="31"/>
        <v/>
      </c>
      <c r="U105" s="41" t="str">
        <f t="shared" si="32"/>
        <v/>
      </c>
      <c r="V105" s="41" t="str">
        <f t="shared" si="33"/>
        <v/>
      </c>
      <c r="W105" s="41" t="str">
        <f t="shared" si="34"/>
        <v/>
      </c>
      <c r="X105" s="41" t="str">
        <f t="shared" si="35"/>
        <v/>
      </c>
      <c r="Y105" s="41" t="str">
        <f t="shared" si="36"/>
        <v/>
      </c>
    </row>
    <row r="106" spans="2:25" x14ac:dyDescent="0.3">
      <c r="B106" s="36" t="s">
        <v>429</v>
      </c>
      <c r="D106" s="36"/>
      <c r="F106" s="38" t="str">
        <f t="shared" si="23"/>
        <v>UH  253   1          0.0               1</v>
      </c>
      <c r="J106" s="39">
        <f t="shared" si="24"/>
        <v>253</v>
      </c>
      <c r="K106" s="39">
        <f t="shared" si="25"/>
        <v>1</v>
      </c>
      <c r="L106" s="39" t="e">
        <f t="shared" si="21"/>
        <v>#N/A</v>
      </c>
      <c r="M106" s="39">
        <f t="shared" si="22"/>
        <v>0.25</v>
      </c>
      <c r="N106" s="40">
        <f t="shared" si="26"/>
        <v>0</v>
      </c>
      <c r="O106" s="40" t="str">
        <f t="shared" si="27"/>
        <v xml:space="preserve">  0.0</v>
      </c>
      <c r="Q106" s="41" t="e">
        <f t="shared" si="28"/>
        <v>#VALUE!</v>
      </c>
      <c r="R106" s="41" t="str">
        <f t="shared" si="29"/>
        <v/>
      </c>
      <c r="S106" s="41" t="str">
        <f t="shared" si="30"/>
        <v/>
      </c>
      <c r="T106" s="41" t="str">
        <f t="shared" si="31"/>
        <v/>
      </c>
      <c r="U106" s="41" t="str">
        <f t="shared" si="32"/>
        <v/>
      </c>
      <c r="V106" s="41" t="str">
        <f t="shared" si="33"/>
        <v/>
      </c>
      <c r="W106" s="41" t="str">
        <f t="shared" si="34"/>
        <v/>
      </c>
      <c r="X106" s="41" t="str">
        <f t="shared" si="35"/>
        <v/>
      </c>
      <c r="Y106" s="41" t="str">
        <f t="shared" si="36"/>
        <v/>
      </c>
    </row>
    <row r="107" spans="2:25" x14ac:dyDescent="0.3">
      <c r="B107" s="36" t="s">
        <v>430</v>
      </c>
      <c r="D107" s="36"/>
      <c r="F107" s="38" t="str">
        <f t="shared" si="23"/>
        <v>UH  267   4          0.0               1</v>
      </c>
      <c r="J107" s="39">
        <f t="shared" si="24"/>
        <v>267</v>
      </c>
      <c r="K107" s="39">
        <f t="shared" si="25"/>
        <v>4</v>
      </c>
      <c r="L107" s="39" t="e">
        <f t="shared" ref="L107:L138" si="37">SUBSTITUTE(VLOOKUP(J107,$Q$11:$Y$200,L$10,0),".",",")</f>
        <v>#N/A</v>
      </c>
      <c r="M107" s="39">
        <f t="shared" ref="M107:M138" si="38">VLOOKUP(K107,$AA$27:$AB$30,2,0)</f>
        <v>5</v>
      </c>
      <c r="N107" s="40">
        <f t="shared" si="26"/>
        <v>0</v>
      </c>
      <c r="O107" s="40" t="str">
        <f t="shared" si="27"/>
        <v xml:space="preserve">  0.0</v>
      </c>
      <c r="Q107" s="41" t="e">
        <f t="shared" si="28"/>
        <v>#VALUE!</v>
      </c>
      <c r="R107" s="41" t="str">
        <f t="shared" si="29"/>
        <v/>
      </c>
      <c r="S107" s="41" t="str">
        <f t="shared" si="30"/>
        <v/>
      </c>
      <c r="T107" s="41" t="str">
        <f t="shared" si="31"/>
        <v/>
      </c>
      <c r="U107" s="41" t="str">
        <f t="shared" si="32"/>
        <v/>
      </c>
      <c r="V107" s="41" t="str">
        <f t="shared" si="33"/>
        <v/>
      </c>
      <c r="W107" s="41" t="str">
        <f t="shared" si="34"/>
        <v/>
      </c>
      <c r="X107" s="41" t="str">
        <f t="shared" si="35"/>
        <v/>
      </c>
      <c r="Y107" s="41" t="str">
        <f t="shared" si="36"/>
        <v/>
      </c>
    </row>
    <row r="108" spans="2:25" x14ac:dyDescent="0.3">
      <c r="B108" s="36" t="s">
        <v>431</v>
      </c>
      <c r="D108" s="36"/>
      <c r="F108" s="38" t="str">
        <f t="shared" si="23"/>
        <v>UH  281   1          0.0               1</v>
      </c>
      <c r="J108" s="39">
        <f t="shared" si="24"/>
        <v>281</v>
      </c>
      <c r="K108" s="39">
        <f t="shared" si="25"/>
        <v>1</v>
      </c>
      <c r="L108" s="39" t="e">
        <f t="shared" si="37"/>
        <v>#N/A</v>
      </c>
      <c r="M108" s="39">
        <f t="shared" si="38"/>
        <v>0.25</v>
      </c>
      <c r="N108" s="40">
        <f t="shared" si="26"/>
        <v>0</v>
      </c>
      <c r="O108" s="40" t="str">
        <f t="shared" si="27"/>
        <v xml:space="preserve">  0.0</v>
      </c>
      <c r="Q108" s="41" t="e">
        <f t="shared" si="28"/>
        <v>#VALUE!</v>
      </c>
      <c r="R108" s="41" t="str">
        <f t="shared" si="29"/>
        <v/>
      </c>
      <c r="S108" s="41" t="str">
        <f t="shared" si="30"/>
        <v/>
      </c>
      <c r="T108" s="41" t="str">
        <f t="shared" si="31"/>
        <v/>
      </c>
      <c r="U108" s="41" t="str">
        <f t="shared" si="32"/>
        <v/>
      </c>
      <c r="V108" s="41" t="str">
        <f t="shared" si="33"/>
        <v/>
      </c>
      <c r="W108" s="41" t="str">
        <f t="shared" si="34"/>
        <v/>
      </c>
      <c r="X108" s="41" t="str">
        <f t="shared" si="35"/>
        <v/>
      </c>
      <c r="Y108" s="41" t="str">
        <f t="shared" si="36"/>
        <v/>
      </c>
    </row>
    <row r="109" spans="2:25" x14ac:dyDescent="0.3">
      <c r="B109" s="36" t="s">
        <v>432</v>
      </c>
      <c r="D109" s="36"/>
      <c r="F109" s="38" t="str">
        <f t="shared" si="23"/>
        <v>UH    9  10          0.0               1</v>
      </c>
      <c r="J109" s="39">
        <f t="shared" si="24"/>
        <v>9</v>
      </c>
      <c r="K109" s="39">
        <f t="shared" si="25"/>
        <v>1</v>
      </c>
      <c r="L109" s="39" t="e">
        <f t="shared" si="37"/>
        <v>#N/A</v>
      </c>
      <c r="M109" s="39">
        <f t="shared" si="38"/>
        <v>0.25</v>
      </c>
      <c r="N109" s="40">
        <f t="shared" si="26"/>
        <v>0</v>
      </c>
      <c r="O109" s="40" t="str">
        <f t="shared" si="27"/>
        <v xml:space="preserve">  0.0</v>
      </c>
      <c r="Q109" s="41" t="e">
        <f t="shared" si="28"/>
        <v>#VALUE!</v>
      </c>
      <c r="R109" s="41" t="str">
        <f t="shared" si="29"/>
        <v/>
      </c>
      <c r="S109" s="41" t="str">
        <f t="shared" si="30"/>
        <v/>
      </c>
      <c r="T109" s="41" t="str">
        <f t="shared" si="31"/>
        <v/>
      </c>
      <c r="U109" s="41" t="str">
        <f t="shared" si="32"/>
        <v/>
      </c>
      <c r="V109" s="41" t="str">
        <f t="shared" si="33"/>
        <v/>
      </c>
      <c r="W109" s="41" t="str">
        <f t="shared" si="34"/>
        <v/>
      </c>
      <c r="X109" s="41" t="str">
        <f t="shared" si="35"/>
        <v/>
      </c>
      <c r="Y109" s="41" t="str">
        <f t="shared" si="36"/>
        <v/>
      </c>
    </row>
    <row r="110" spans="2:25" x14ac:dyDescent="0.3">
      <c r="B110" s="36" t="s">
        <v>570</v>
      </c>
      <c r="D110" s="36"/>
      <c r="F110" s="38" t="str">
        <f t="shared" si="23"/>
        <v>UH   26  10        72.75               1</v>
      </c>
      <c r="J110" s="39">
        <f t="shared" si="24"/>
        <v>26</v>
      </c>
      <c r="K110" s="39">
        <f t="shared" si="25"/>
        <v>1</v>
      </c>
      <c r="L110" s="39" t="str">
        <f t="shared" si="37"/>
        <v xml:space="preserve">   72,5</v>
      </c>
      <c r="M110" s="39">
        <f t="shared" si="38"/>
        <v>0.25</v>
      </c>
      <c r="N110" s="40">
        <f t="shared" si="26"/>
        <v>72.75</v>
      </c>
      <c r="O110" s="40" t="str">
        <f t="shared" si="27"/>
        <v>72.75</v>
      </c>
      <c r="Q110" s="41" t="e">
        <f t="shared" si="28"/>
        <v>#VALUE!</v>
      </c>
      <c r="R110" s="41" t="str">
        <f t="shared" si="29"/>
        <v/>
      </c>
      <c r="S110" s="41" t="str">
        <f t="shared" si="30"/>
        <v/>
      </c>
      <c r="T110" s="41" t="str">
        <f t="shared" si="31"/>
        <v/>
      </c>
      <c r="U110" s="41" t="str">
        <f t="shared" si="32"/>
        <v/>
      </c>
      <c r="V110" s="41" t="str">
        <f t="shared" si="33"/>
        <v/>
      </c>
      <c r="W110" s="41" t="str">
        <f t="shared" si="34"/>
        <v/>
      </c>
      <c r="X110" s="41" t="str">
        <f t="shared" si="35"/>
        <v/>
      </c>
      <c r="Y110" s="41" t="str">
        <f t="shared" si="36"/>
        <v/>
      </c>
    </row>
    <row r="111" spans="2:25" x14ac:dyDescent="0.3">
      <c r="B111" s="36" t="s">
        <v>571</v>
      </c>
      <c r="D111" s="36"/>
      <c r="F111" s="38" t="str">
        <f t="shared" si="23"/>
        <v>UH   86   2         23.7               1</v>
      </c>
      <c r="J111" s="39">
        <f t="shared" si="24"/>
        <v>86</v>
      </c>
      <c r="K111" s="39">
        <f t="shared" si="25"/>
        <v>2</v>
      </c>
      <c r="L111" s="39" t="str">
        <f t="shared" si="37"/>
        <v xml:space="preserve">   25,0</v>
      </c>
      <c r="M111" s="39">
        <f t="shared" si="38"/>
        <v>-1.2999999999999972</v>
      </c>
      <c r="N111" s="40">
        <f t="shared" si="26"/>
        <v>23.700000000000003</v>
      </c>
      <c r="O111" s="40" t="str">
        <f t="shared" si="27"/>
        <v>23.7</v>
      </c>
      <c r="Q111" s="41" t="e">
        <f t="shared" si="28"/>
        <v>#VALUE!</v>
      </c>
      <c r="R111" s="41" t="str">
        <f t="shared" si="29"/>
        <v/>
      </c>
      <c r="S111" s="41" t="str">
        <f t="shared" si="30"/>
        <v/>
      </c>
      <c r="T111" s="41" t="str">
        <f t="shared" si="31"/>
        <v/>
      </c>
      <c r="U111" s="41" t="str">
        <f t="shared" si="32"/>
        <v/>
      </c>
      <c r="V111" s="41" t="str">
        <f t="shared" si="33"/>
        <v/>
      </c>
      <c r="W111" s="41" t="str">
        <f t="shared" si="34"/>
        <v/>
      </c>
      <c r="X111" s="41" t="str">
        <f t="shared" si="35"/>
        <v/>
      </c>
      <c r="Y111" s="41" t="str">
        <f t="shared" si="36"/>
        <v/>
      </c>
    </row>
    <row r="112" spans="2:25" x14ac:dyDescent="0.3">
      <c r="B112" s="36" t="s">
        <v>572</v>
      </c>
      <c r="D112" s="36"/>
      <c r="F112" s="38" t="str">
        <f t="shared" si="23"/>
        <v>UH   90   2         19.4               1</v>
      </c>
      <c r="J112" s="39">
        <f t="shared" si="24"/>
        <v>90</v>
      </c>
      <c r="K112" s="39">
        <f t="shared" si="25"/>
        <v>2</v>
      </c>
      <c r="L112" s="39" t="str">
        <f t="shared" si="37"/>
        <v xml:space="preserve">   20,7</v>
      </c>
      <c r="M112" s="39">
        <f t="shared" si="38"/>
        <v>-1.2999999999999972</v>
      </c>
      <c r="N112" s="40">
        <f t="shared" si="26"/>
        <v>19.400000000000002</v>
      </c>
      <c r="O112" s="40" t="str">
        <f t="shared" si="27"/>
        <v>19.4</v>
      </c>
      <c r="Q112" s="41" t="e">
        <f t="shared" si="28"/>
        <v>#VALUE!</v>
      </c>
      <c r="R112" s="41" t="str">
        <f t="shared" si="29"/>
        <v/>
      </c>
      <c r="S112" s="41" t="str">
        <f t="shared" si="30"/>
        <v/>
      </c>
      <c r="T112" s="41" t="str">
        <f t="shared" si="31"/>
        <v/>
      </c>
      <c r="U112" s="41" t="str">
        <f t="shared" si="32"/>
        <v/>
      </c>
      <c r="V112" s="41" t="str">
        <f t="shared" si="33"/>
        <v/>
      </c>
      <c r="W112" s="41" t="str">
        <f t="shared" si="34"/>
        <v/>
      </c>
      <c r="X112" s="41" t="str">
        <f t="shared" si="35"/>
        <v/>
      </c>
      <c r="Y112" s="41" t="str">
        <f t="shared" si="36"/>
        <v/>
      </c>
    </row>
    <row r="113" spans="2:25" x14ac:dyDescent="0.3">
      <c r="B113" s="36" t="s">
        <v>433</v>
      </c>
      <c r="D113" s="36"/>
      <c r="F113" s="38" t="str">
        <f t="shared" si="23"/>
        <v>UH   97   2          0.0               1</v>
      </c>
      <c r="J113" s="39">
        <f t="shared" si="24"/>
        <v>97</v>
      </c>
      <c r="K113" s="39">
        <f t="shared" si="25"/>
        <v>2</v>
      </c>
      <c r="L113" s="39" t="e">
        <f t="shared" si="37"/>
        <v>#N/A</v>
      </c>
      <c r="M113" s="39">
        <f t="shared" si="38"/>
        <v>-1.2999999999999972</v>
      </c>
      <c r="N113" s="40">
        <f t="shared" si="26"/>
        <v>0</v>
      </c>
      <c r="O113" s="40" t="str">
        <f t="shared" si="27"/>
        <v xml:space="preserve">  0.0</v>
      </c>
      <c r="Q113" s="41" t="e">
        <f t="shared" si="28"/>
        <v>#VALUE!</v>
      </c>
      <c r="R113" s="41" t="str">
        <f t="shared" si="29"/>
        <v/>
      </c>
      <c r="S113" s="41" t="str">
        <f t="shared" si="30"/>
        <v/>
      </c>
      <c r="T113" s="41" t="str">
        <f t="shared" si="31"/>
        <v/>
      </c>
      <c r="U113" s="41" t="str">
        <f t="shared" si="32"/>
        <v/>
      </c>
      <c r="V113" s="41" t="str">
        <f t="shared" si="33"/>
        <v/>
      </c>
      <c r="W113" s="41" t="str">
        <f t="shared" si="34"/>
        <v/>
      </c>
      <c r="X113" s="41" t="str">
        <f t="shared" si="35"/>
        <v/>
      </c>
      <c r="Y113" s="41" t="str">
        <f t="shared" si="36"/>
        <v/>
      </c>
    </row>
    <row r="114" spans="2:25" x14ac:dyDescent="0.3">
      <c r="B114" s="36" t="s">
        <v>434</v>
      </c>
      <c r="D114" s="36"/>
      <c r="F114" s="38" t="str">
        <f t="shared" si="23"/>
        <v>UH   98   2          0.0               1</v>
      </c>
      <c r="J114" s="39">
        <f t="shared" si="24"/>
        <v>98</v>
      </c>
      <c r="K114" s="39">
        <f t="shared" si="25"/>
        <v>2</v>
      </c>
      <c r="L114" s="39" t="e">
        <f t="shared" si="37"/>
        <v>#N/A</v>
      </c>
      <c r="M114" s="39">
        <f t="shared" si="38"/>
        <v>-1.2999999999999972</v>
      </c>
      <c r="N114" s="40">
        <f t="shared" si="26"/>
        <v>0</v>
      </c>
      <c r="O114" s="40" t="str">
        <f t="shared" si="27"/>
        <v xml:space="preserve">  0.0</v>
      </c>
      <c r="Q114" s="41" t="e">
        <f t="shared" si="28"/>
        <v>#VALUE!</v>
      </c>
      <c r="R114" s="41" t="str">
        <f t="shared" si="29"/>
        <v/>
      </c>
      <c r="S114" s="41" t="str">
        <f t="shared" si="30"/>
        <v/>
      </c>
      <c r="T114" s="41" t="str">
        <f t="shared" si="31"/>
        <v/>
      </c>
      <c r="U114" s="41" t="str">
        <f t="shared" si="32"/>
        <v/>
      </c>
      <c r="V114" s="41" t="str">
        <f t="shared" si="33"/>
        <v/>
      </c>
      <c r="W114" s="41" t="str">
        <f t="shared" si="34"/>
        <v/>
      </c>
      <c r="X114" s="41" t="str">
        <f t="shared" si="35"/>
        <v/>
      </c>
      <c r="Y114" s="41" t="str">
        <f t="shared" si="36"/>
        <v/>
      </c>
    </row>
    <row r="115" spans="2:25" x14ac:dyDescent="0.3">
      <c r="B115" s="36" t="s">
        <v>435</v>
      </c>
      <c r="D115" s="36"/>
      <c r="F115" s="38" t="str">
        <f t="shared" si="23"/>
        <v>UH   99   2          0.0               1</v>
      </c>
      <c r="J115" s="39">
        <f t="shared" si="24"/>
        <v>99</v>
      </c>
      <c r="K115" s="39">
        <f t="shared" si="25"/>
        <v>2</v>
      </c>
      <c r="L115" s="39" t="e">
        <f t="shared" si="37"/>
        <v>#N/A</v>
      </c>
      <c r="M115" s="39">
        <f t="shared" si="38"/>
        <v>-1.2999999999999972</v>
      </c>
      <c r="N115" s="40">
        <f t="shared" si="26"/>
        <v>0</v>
      </c>
      <c r="O115" s="40" t="str">
        <f t="shared" si="27"/>
        <v xml:space="preserve">  0.0</v>
      </c>
      <c r="Q115" s="41" t="e">
        <f t="shared" si="28"/>
        <v>#VALUE!</v>
      </c>
      <c r="R115" s="41" t="str">
        <f t="shared" si="29"/>
        <v/>
      </c>
      <c r="S115" s="41" t="str">
        <f t="shared" si="30"/>
        <v/>
      </c>
      <c r="T115" s="41" t="str">
        <f t="shared" si="31"/>
        <v/>
      </c>
      <c r="U115" s="41" t="str">
        <f t="shared" si="32"/>
        <v/>
      </c>
      <c r="V115" s="41" t="str">
        <f t="shared" si="33"/>
        <v/>
      </c>
      <c r="W115" s="41" t="str">
        <f t="shared" si="34"/>
        <v/>
      </c>
      <c r="X115" s="41" t="str">
        <f t="shared" si="35"/>
        <v/>
      </c>
      <c r="Y115" s="41" t="str">
        <f t="shared" si="36"/>
        <v/>
      </c>
    </row>
    <row r="116" spans="2:25" x14ac:dyDescent="0.3">
      <c r="B116" s="36" t="s">
        <v>436</v>
      </c>
      <c r="D116" s="36"/>
      <c r="F116" s="38" t="str">
        <f t="shared" si="23"/>
        <v>UH  103   2          0.0               1</v>
      </c>
      <c r="J116" s="39">
        <f t="shared" si="24"/>
        <v>103</v>
      </c>
      <c r="K116" s="39">
        <f t="shared" si="25"/>
        <v>2</v>
      </c>
      <c r="L116" s="39" t="e">
        <f t="shared" si="37"/>
        <v>#N/A</v>
      </c>
      <c r="M116" s="39">
        <f t="shared" si="38"/>
        <v>-1.2999999999999972</v>
      </c>
      <c r="N116" s="40">
        <f t="shared" si="26"/>
        <v>0</v>
      </c>
      <c r="O116" s="40" t="str">
        <f t="shared" si="27"/>
        <v xml:space="preserve">  0.0</v>
      </c>
      <c r="Q116" s="41" t="e">
        <f t="shared" si="28"/>
        <v>#VALUE!</v>
      </c>
      <c r="R116" s="41" t="str">
        <f t="shared" si="29"/>
        <v/>
      </c>
      <c r="S116" s="41" t="str">
        <f t="shared" si="30"/>
        <v/>
      </c>
      <c r="T116" s="41" t="str">
        <f t="shared" si="31"/>
        <v/>
      </c>
      <c r="U116" s="41" t="str">
        <f t="shared" si="32"/>
        <v/>
      </c>
      <c r="V116" s="41" t="str">
        <f t="shared" si="33"/>
        <v/>
      </c>
      <c r="W116" s="41" t="str">
        <f t="shared" si="34"/>
        <v/>
      </c>
      <c r="X116" s="41" t="str">
        <f t="shared" si="35"/>
        <v/>
      </c>
      <c r="Y116" s="41" t="str">
        <f t="shared" si="36"/>
        <v/>
      </c>
    </row>
    <row r="117" spans="2:25" x14ac:dyDescent="0.3">
      <c r="B117" s="36" t="s">
        <v>573</v>
      </c>
      <c r="D117" s="36"/>
      <c r="F117" s="38" t="str">
        <f t="shared" si="23"/>
        <v>UH  169   3         35.7               1</v>
      </c>
      <c r="J117" s="39">
        <f t="shared" si="24"/>
        <v>169</v>
      </c>
      <c r="K117" s="39">
        <f t="shared" si="25"/>
        <v>3</v>
      </c>
      <c r="L117" s="39" t="str">
        <f t="shared" si="37"/>
        <v xml:space="preserve">   35,6</v>
      </c>
      <c r="M117" s="39">
        <f t="shared" si="38"/>
        <v>0.10000000000000142</v>
      </c>
      <c r="N117" s="40">
        <f t="shared" si="26"/>
        <v>35.700000000000003</v>
      </c>
      <c r="O117" s="40" t="str">
        <f t="shared" si="27"/>
        <v>35.7</v>
      </c>
      <c r="Q117" s="41" t="e">
        <f t="shared" si="28"/>
        <v>#VALUE!</v>
      </c>
      <c r="R117" s="41" t="str">
        <f t="shared" si="29"/>
        <v/>
      </c>
      <c r="S117" s="41" t="str">
        <f t="shared" si="30"/>
        <v/>
      </c>
      <c r="T117" s="41" t="str">
        <f t="shared" si="31"/>
        <v/>
      </c>
      <c r="U117" s="41" t="str">
        <f t="shared" si="32"/>
        <v/>
      </c>
      <c r="V117" s="41" t="str">
        <f t="shared" si="33"/>
        <v/>
      </c>
      <c r="W117" s="41" t="str">
        <f t="shared" si="34"/>
        <v/>
      </c>
      <c r="X117" s="41" t="str">
        <f t="shared" si="35"/>
        <v/>
      </c>
      <c r="Y117" s="41" t="str">
        <f t="shared" si="36"/>
        <v/>
      </c>
    </row>
    <row r="118" spans="2:25" x14ac:dyDescent="0.3">
      <c r="B118" s="36" t="s">
        <v>574</v>
      </c>
      <c r="D118" s="36"/>
      <c r="F118" s="38" t="str">
        <f t="shared" si="23"/>
        <v>UH  172   3         32.8               1</v>
      </c>
      <c r="J118" s="39">
        <f t="shared" si="24"/>
        <v>172</v>
      </c>
      <c r="K118" s="39">
        <f t="shared" si="25"/>
        <v>3</v>
      </c>
      <c r="L118" s="39" t="str">
        <f t="shared" si="37"/>
        <v xml:space="preserve">   32,7</v>
      </c>
      <c r="M118" s="39">
        <f t="shared" si="38"/>
        <v>0.10000000000000142</v>
      </c>
      <c r="N118" s="40">
        <f t="shared" si="26"/>
        <v>32.800000000000004</v>
      </c>
      <c r="O118" s="40" t="str">
        <f t="shared" si="27"/>
        <v>32.8</v>
      </c>
      <c r="Q118" s="41" t="e">
        <f t="shared" si="28"/>
        <v>#VALUE!</v>
      </c>
      <c r="R118" s="41" t="str">
        <f t="shared" si="29"/>
        <v/>
      </c>
      <c r="S118" s="41" t="str">
        <f t="shared" si="30"/>
        <v/>
      </c>
      <c r="T118" s="41" t="str">
        <f t="shared" si="31"/>
        <v/>
      </c>
      <c r="U118" s="41" t="str">
        <f t="shared" si="32"/>
        <v/>
      </c>
      <c r="V118" s="41" t="str">
        <f t="shared" si="33"/>
        <v/>
      </c>
      <c r="W118" s="41" t="str">
        <f t="shared" si="34"/>
        <v/>
      </c>
      <c r="X118" s="41" t="str">
        <f t="shared" si="35"/>
        <v/>
      </c>
      <c r="Y118" s="41" t="str">
        <f t="shared" si="36"/>
        <v/>
      </c>
    </row>
    <row r="119" spans="2:25" x14ac:dyDescent="0.3">
      <c r="B119" s="36" t="s">
        <v>437</v>
      </c>
      <c r="D119" s="36"/>
      <c r="F119" s="38" t="str">
        <f t="shared" si="23"/>
        <v>UH  173   3          0.0               1</v>
      </c>
      <c r="J119" s="39">
        <f t="shared" si="24"/>
        <v>173</v>
      </c>
      <c r="K119" s="39">
        <f t="shared" si="25"/>
        <v>3</v>
      </c>
      <c r="L119" s="39" t="e">
        <f t="shared" si="37"/>
        <v>#N/A</v>
      </c>
      <c r="M119" s="39">
        <f t="shared" si="38"/>
        <v>0.10000000000000142</v>
      </c>
      <c r="N119" s="40">
        <f t="shared" si="26"/>
        <v>0</v>
      </c>
      <c r="O119" s="40" t="str">
        <f t="shared" si="27"/>
        <v xml:space="preserve">  0.0</v>
      </c>
      <c r="Q119" s="41" t="e">
        <f t="shared" si="28"/>
        <v>#VALUE!</v>
      </c>
      <c r="R119" s="41" t="str">
        <f t="shared" si="29"/>
        <v/>
      </c>
      <c r="S119" s="41" t="str">
        <f t="shared" si="30"/>
        <v/>
      </c>
      <c r="T119" s="41" t="str">
        <f t="shared" si="31"/>
        <v/>
      </c>
      <c r="U119" s="41" t="str">
        <f t="shared" si="32"/>
        <v/>
      </c>
      <c r="V119" s="41" t="str">
        <f t="shared" si="33"/>
        <v/>
      </c>
      <c r="W119" s="41" t="str">
        <f t="shared" si="34"/>
        <v/>
      </c>
      <c r="X119" s="41" t="str">
        <f t="shared" si="35"/>
        <v/>
      </c>
      <c r="Y119" s="41" t="str">
        <f t="shared" si="36"/>
        <v/>
      </c>
    </row>
    <row r="120" spans="2:25" x14ac:dyDescent="0.3">
      <c r="B120" s="36" t="s">
        <v>438</v>
      </c>
      <c r="D120" s="36"/>
      <c r="F120" s="38" t="str">
        <f t="shared" si="23"/>
        <v>UH  174   3          0.0               1</v>
      </c>
      <c r="J120" s="39">
        <f t="shared" si="24"/>
        <v>174</v>
      </c>
      <c r="K120" s="39">
        <f t="shared" si="25"/>
        <v>3</v>
      </c>
      <c r="L120" s="39" t="e">
        <f t="shared" si="37"/>
        <v>#N/A</v>
      </c>
      <c r="M120" s="39">
        <f t="shared" si="38"/>
        <v>0.10000000000000142</v>
      </c>
      <c r="N120" s="40">
        <f t="shared" si="26"/>
        <v>0</v>
      </c>
      <c r="O120" s="40" t="str">
        <f t="shared" si="27"/>
        <v xml:space="preserve">  0.0</v>
      </c>
      <c r="Q120" s="41" t="e">
        <f t="shared" si="28"/>
        <v>#VALUE!</v>
      </c>
      <c r="R120" s="41" t="str">
        <f t="shared" si="29"/>
        <v/>
      </c>
      <c r="S120" s="41" t="str">
        <f t="shared" si="30"/>
        <v/>
      </c>
      <c r="T120" s="41" t="str">
        <f t="shared" si="31"/>
        <v/>
      </c>
      <c r="U120" s="41" t="str">
        <f t="shared" si="32"/>
        <v/>
      </c>
      <c r="V120" s="41" t="str">
        <f t="shared" si="33"/>
        <v/>
      </c>
      <c r="W120" s="41" t="str">
        <f t="shared" si="34"/>
        <v/>
      </c>
      <c r="X120" s="41" t="str">
        <f t="shared" si="35"/>
        <v/>
      </c>
      <c r="Y120" s="41" t="str">
        <f t="shared" si="36"/>
        <v/>
      </c>
    </row>
    <row r="121" spans="2:25" x14ac:dyDescent="0.3">
      <c r="B121" s="36" t="s">
        <v>439</v>
      </c>
      <c r="D121" s="36"/>
      <c r="F121" s="38" t="str">
        <f t="shared" si="23"/>
        <v>UH  175   3          0.0               1</v>
      </c>
      <c r="J121" s="39">
        <f t="shared" si="24"/>
        <v>175</v>
      </c>
      <c r="K121" s="39">
        <f t="shared" si="25"/>
        <v>3</v>
      </c>
      <c r="L121" s="39" t="e">
        <f t="shared" si="37"/>
        <v>#N/A</v>
      </c>
      <c r="M121" s="39">
        <f t="shared" si="38"/>
        <v>0.10000000000000142</v>
      </c>
      <c r="N121" s="40">
        <f t="shared" si="26"/>
        <v>0</v>
      </c>
      <c r="O121" s="40" t="str">
        <f t="shared" si="27"/>
        <v xml:space="preserve">  0.0</v>
      </c>
      <c r="Q121" s="41" t="e">
        <f t="shared" si="28"/>
        <v>#VALUE!</v>
      </c>
      <c r="R121" s="41" t="str">
        <f t="shared" si="29"/>
        <v/>
      </c>
      <c r="S121" s="41" t="str">
        <f t="shared" si="30"/>
        <v/>
      </c>
      <c r="T121" s="41" t="str">
        <f t="shared" si="31"/>
        <v/>
      </c>
      <c r="U121" s="41" t="str">
        <f t="shared" si="32"/>
        <v/>
      </c>
      <c r="V121" s="41" t="str">
        <f t="shared" si="33"/>
        <v/>
      </c>
      <c r="W121" s="41" t="str">
        <f t="shared" si="34"/>
        <v/>
      </c>
      <c r="X121" s="41" t="str">
        <f t="shared" si="35"/>
        <v/>
      </c>
      <c r="Y121" s="41" t="str">
        <f t="shared" si="36"/>
        <v/>
      </c>
    </row>
    <row r="122" spans="2:25" x14ac:dyDescent="0.3">
      <c r="B122" s="36" t="s">
        <v>440</v>
      </c>
      <c r="D122" s="36"/>
      <c r="F122" s="38" t="str">
        <f t="shared" si="23"/>
        <v>UH  178   3          0.0               1</v>
      </c>
      <c r="J122" s="39">
        <f t="shared" si="24"/>
        <v>178</v>
      </c>
      <c r="K122" s="39">
        <f t="shared" si="25"/>
        <v>3</v>
      </c>
      <c r="L122" s="39" t="e">
        <f t="shared" si="37"/>
        <v>#N/A</v>
      </c>
      <c r="M122" s="39">
        <f t="shared" si="38"/>
        <v>0.10000000000000142</v>
      </c>
      <c r="N122" s="40">
        <f t="shared" si="26"/>
        <v>0</v>
      </c>
      <c r="O122" s="40" t="str">
        <f t="shared" si="27"/>
        <v xml:space="preserve">  0.0</v>
      </c>
      <c r="Q122" s="41" t="e">
        <f t="shared" si="28"/>
        <v>#VALUE!</v>
      </c>
      <c r="R122" s="41" t="str">
        <f t="shared" si="29"/>
        <v/>
      </c>
      <c r="S122" s="41" t="str">
        <f t="shared" si="30"/>
        <v/>
      </c>
      <c r="T122" s="41" t="str">
        <f t="shared" si="31"/>
        <v/>
      </c>
      <c r="U122" s="41" t="str">
        <f t="shared" si="32"/>
        <v/>
      </c>
      <c r="V122" s="41" t="str">
        <f t="shared" si="33"/>
        <v/>
      </c>
      <c r="W122" s="41" t="str">
        <f t="shared" si="34"/>
        <v/>
      </c>
      <c r="X122" s="41" t="str">
        <f t="shared" si="35"/>
        <v/>
      </c>
      <c r="Y122" s="41" t="str">
        <f t="shared" si="36"/>
        <v/>
      </c>
    </row>
    <row r="123" spans="2:25" x14ac:dyDescent="0.3">
      <c r="B123" s="36" t="s">
        <v>575</v>
      </c>
      <c r="D123" s="36"/>
      <c r="F123" s="38" t="str">
        <f t="shared" si="23"/>
        <v>UH  190   3         36.8               1</v>
      </c>
      <c r="J123" s="39">
        <f t="shared" si="24"/>
        <v>190</v>
      </c>
      <c r="K123" s="39">
        <f t="shared" si="25"/>
        <v>3</v>
      </c>
      <c r="L123" s="39" t="str">
        <f t="shared" si="37"/>
        <v xml:space="preserve">   36,7</v>
      </c>
      <c r="M123" s="39">
        <f t="shared" si="38"/>
        <v>0.10000000000000142</v>
      </c>
      <c r="N123" s="40">
        <f t="shared" si="26"/>
        <v>36.800000000000004</v>
      </c>
      <c r="O123" s="40" t="str">
        <f t="shared" si="27"/>
        <v>36.8</v>
      </c>
      <c r="Q123" s="41" t="e">
        <f t="shared" si="28"/>
        <v>#VALUE!</v>
      </c>
      <c r="R123" s="41" t="str">
        <f t="shared" si="29"/>
        <v/>
      </c>
      <c r="S123" s="41" t="str">
        <f t="shared" si="30"/>
        <v/>
      </c>
      <c r="T123" s="41" t="str">
        <f t="shared" si="31"/>
        <v/>
      </c>
      <c r="U123" s="41" t="str">
        <f t="shared" si="32"/>
        <v/>
      </c>
      <c r="V123" s="41" t="str">
        <f t="shared" si="33"/>
        <v/>
      </c>
      <c r="W123" s="41" t="str">
        <f t="shared" si="34"/>
        <v/>
      </c>
      <c r="X123" s="41" t="str">
        <f t="shared" si="35"/>
        <v/>
      </c>
      <c r="Y123" s="41" t="str">
        <f t="shared" si="36"/>
        <v/>
      </c>
    </row>
    <row r="124" spans="2:25" x14ac:dyDescent="0.3">
      <c r="B124" s="36" t="s">
        <v>576</v>
      </c>
      <c r="D124" s="36"/>
      <c r="F124" s="38" t="str">
        <f t="shared" si="23"/>
        <v>UH  189   3         81.1               1</v>
      </c>
      <c r="J124" s="39">
        <f t="shared" si="24"/>
        <v>189</v>
      </c>
      <c r="K124" s="39">
        <f t="shared" si="25"/>
        <v>3</v>
      </c>
      <c r="L124" s="39" t="str">
        <f t="shared" si="37"/>
        <v xml:space="preserve">   81,0</v>
      </c>
      <c r="M124" s="39">
        <f t="shared" si="38"/>
        <v>0.10000000000000142</v>
      </c>
      <c r="N124" s="40">
        <f t="shared" si="26"/>
        <v>81.099999999999994</v>
      </c>
      <c r="O124" s="40" t="str">
        <f t="shared" si="27"/>
        <v>81.1</v>
      </c>
      <c r="Q124" s="41" t="e">
        <f t="shared" si="28"/>
        <v>#VALUE!</v>
      </c>
      <c r="R124" s="41" t="str">
        <f t="shared" si="29"/>
        <v/>
      </c>
      <c r="S124" s="41" t="str">
        <f t="shared" si="30"/>
        <v/>
      </c>
      <c r="T124" s="41" t="str">
        <f t="shared" si="31"/>
        <v/>
      </c>
      <c r="U124" s="41" t="str">
        <f t="shared" si="32"/>
        <v/>
      </c>
      <c r="V124" s="41" t="str">
        <f t="shared" si="33"/>
        <v/>
      </c>
      <c r="W124" s="41" t="str">
        <f t="shared" si="34"/>
        <v/>
      </c>
      <c r="X124" s="41" t="str">
        <f t="shared" si="35"/>
        <v/>
      </c>
      <c r="Y124" s="41" t="str">
        <f t="shared" si="36"/>
        <v/>
      </c>
    </row>
    <row r="125" spans="2:25" x14ac:dyDescent="0.3">
      <c r="B125" s="36" t="s">
        <v>577</v>
      </c>
      <c r="D125" s="36"/>
      <c r="F125" s="38" t="str">
        <f t="shared" si="23"/>
        <v>UH  275   4         52.1               1</v>
      </c>
      <c r="J125" s="39">
        <f t="shared" si="24"/>
        <v>275</v>
      </c>
      <c r="K125" s="39">
        <f t="shared" si="25"/>
        <v>4</v>
      </c>
      <c r="L125" s="39" t="str">
        <f t="shared" si="37"/>
        <v xml:space="preserve">   47,1</v>
      </c>
      <c r="M125" s="39">
        <f t="shared" si="38"/>
        <v>5</v>
      </c>
      <c r="N125" s="40">
        <f t="shared" si="26"/>
        <v>52.1</v>
      </c>
      <c r="O125" s="40" t="str">
        <f t="shared" si="27"/>
        <v>52.1</v>
      </c>
      <c r="Q125" s="41" t="e">
        <f t="shared" si="28"/>
        <v>#VALUE!</v>
      </c>
      <c r="R125" s="41" t="str">
        <f t="shared" si="29"/>
        <v/>
      </c>
      <c r="S125" s="41" t="str">
        <f t="shared" si="30"/>
        <v/>
      </c>
      <c r="T125" s="41" t="str">
        <f t="shared" si="31"/>
        <v/>
      </c>
      <c r="U125" s="41" t="str">
        <f t="shared" si="32"/>
        <v/>
      </c>
      <c r="V125" s="41" t="str">
        <f t="shared" si="33"/>
        <v/>
      </c>
      <c r="W125" s="41" t="str">
        <f t="shared" si="34"/>
        <v/>
      </c>
      <c r="X125" s="41" t="str">
        <f t="shared" si="35"/>
        <v/>
      </c>
      <c r="Y125" s="41" t="str">
        <f t="shared" si="36"/>
        <v/>
      </c>
    </row>
    <row r="126" spans="2:25" x14ac:dyDescent="0.3">
      <c r="B126" s="36" t="s">
        <v>578</v>
      </c>
      <c r="D126" s="36"/>
      <c r="F126" s="38" t="str">
        <f t="shared" si="23"/>
        <v>UH  272   8        100.0               1</v>
      </c>
      <c r="J126" s="39">
        <f t="shared" si="24"/>
        <v>272</v>
      </c>
      <c r="K126" s="39">
        <f t="shared" si="25"/>
        <v>4</v>
      </c>
      <c r="L126" s="39" t="str">
        <f t="shared" si="37"/>
        <v xml:space="preserve">  100,0</v>
      </c>
      <c r="M126" s="39">
        <f t="shared" si="38"/>
        <v>5</v>
      </c>
      <c r="N126" s="40">
        <f t="shared" si="26"/>
        <v>100</v>
      </c>
      <c r="O126" s="40" t="str">
        <f t="shared" si="27"/>
        <v>100.0</v>
      </c>
      <c r="Q126" s="41" t="e">
        <f t="shared" si="28"/>
        <v>#VALUE!</v>
      </c>
      <c r="R126" s="41" t="str">
        <f t="shared" si="29"/>
        <v/>
      </c>
      <c r="S126" s="41" t="str">
        <f t="shared" si="30"/>
        <v/>
      </c>
      <c r="T126" s="41" t="str">
        <f t="shared" si="31"/>
        <v/>
      </c>
      <c r="U126" s="41" t="str">
        <f t="shared" si="32"/>
        <v/>
      </c>
      <c r="V126" s="41" t="str">
        <f t="shared" si="33"/>
        <v/>
      </c>
      <c r="W126" s="41" t="str">
        <f t="shared" si="34"/>
        <v/>
      </c>
      <c r="X126" s="41" t="str">
        <f t="shared" si="35"/>
        <v/>
      </c>
      <c r="Y126" s="41" t="str">
        <f t="shared" si="36"/>
        <v/>
      </c>
    </row>
    <row r="127" spans="2:25" x14ac:dyDescent="0.3">
      <c r="B127" s="36" t="s">
        <v>579</v>
      </c>
      <c r="D127" s="36"/>
      <c r="F127" s="38" t="str">
        <f t="shared" si="23"/>
        <v>UH  279   6        98.65               1</v>
      </c>
      <c r="J127" s="39">
        <f t="shared" si="24"/>
        <v>279</v>
      </c>
      <c r="K127" s="39">
        <f t="shared" si="25"/>
        <v>1</v>
      </c>
      <c r="L127" s="39" t="str">
        <f t="shared" si="37"/>
        <v xml:space="preserve">   98,4</v>
      </c>
      <c r="M127" s="39">
        <f t="shared" si="38"/>
        <v>0.25</v>
      </c>
      <c r="N127" s="40">
        <f t="shared" si="26"/>
        <v>98.65</v>
      </c>
      <c r="O127" s="40" t="str">
        <f t="shared" si="27"/>
        <v>98.65</v>
      </c>
      <c r="Q127" s="41" t="e">
        <f t="shared" si="28"/>
        <v>#VALUE!</v>
      </c>
      <c r="R127" s="41" t="str">
        <f t="shared" si="29"/>
        <v/>
      </c>
      <c r="S127" s="41" t="str">
        <f t="shared" si="30"/>
        <v/>
      </c>
      <c r="T127" s="41" t="str">
        <f t="shared" si="31"/>
        <v/>
      </c>
      <c r="U127" s="41" t="str">
        <f t="shared" si="32"/>
        <v/>
      </c>
      <c r="V127" s="41" t="str">
        <f t="shared" si="33"/>
        <v/>
      </c>
      <c r="W127" s="41" t="str">
        <f t="shared" si="34"/>
        <v/>
      </c>
      <c r="X127" s="41" t="str">
        <f t="shared" si="35"/>
        <v/>
      </c>
      <c r="Y127" s="41" t="str">
        <f t="shared" si="36"/>
        <v/>
      </c>
    </row>
    <row r="128" spans="2:25" x14ac:dyDescent="0.3">
      <c r="B128" s="36" t="s">
        <v>441</v>
      </c>
      <c r="D128" s="36"/>
      <c r="F128" s="38" t="str">
        <f t="shared" si="23"/>
        <v>UH  280   9          0.0               1</v>
      </c>
      <c r="J128" s="39">
        <f t="shared" si="24"/>
        <v>280</v>
      </c>
      <c r="K128" s="39">
        <f t="shared" si="25"/>
        <v>4</v>
      </c>
      <c r="L128" s="39" t="e">
        <f t="shared" si="37"/>
        <v>#N/A</v>
      </c>
      <c r="M128" s="39">
        <f t="shared" si="38"/>
        <v>5</v>
      </c>
      <c r="N128" s="40">
        <f t="shared" si="26"/>
        <v>0</v>
      </c>
      <c r="O128" s="40" t="str">
        <f t="shared" si="27"/>
        <v xml:space="preserve">  0.0</v>
      </c>
      <c r="Q128" s="41" t="e">
        <f t="shared" si="28"/>
        <v>#VALUE!</v>
      </c>
      <c r="R128" s="41" t="str">
        <f t="shared" si="29"/>
        <v/>
      </c>
      <c r="S128" s="41" t="str">
        <f t="shared" si="30"/>
        <v/>
      </c>
      <c r="T128" s="41" t="str">
        <f t="shared" si="31"/>
        <v/>
      </c>
      <c r="U128" s="41" t="str">
        <f t="shared" si="32"/>
        <v/>
      </c>
      <c r="V128" s="41" t="str">
        <f t="shared" si="33"/>
        <v/>
      </c>
      <c r="W128" s="41" t="str">
        <f t="shared" si="34"/>
        <v/>
      </c>
      <c r="X128" s="41" t="str">
        <f t="shared" si="35"/>
        <v/>
      </c>
      <c r="Y128" s="41" t="str">
        <f t="shared" si="36"/>
        <v/>
      </c>
    </row>
    <row r="129" spans="2:25" x14ac:dyDescent="0.3">
      <c r="B129" s="36" t="s">
        <v>442</v>
      </c>
      <c r="D129" s="36"/>
      <c r="F129" s="38" t="str">
        <f t="shared" si="23"/>
        <v>UH  204   9          0.0               1</v>
      </c>
      <c r="J129" s="39">
        <f t="shared" si="24"/>
        <v>204</v>
      </c>
      <c r="K129" s="39">
        <f t="shared" si="25"/>
        <v>4</v>
      </c>
      <c r="L129" s="39" t="e">
        <f t="shared" si="37"/>
        <v>#N/A</v>
      </c>
      <c r="M129" s="39">
        <f t="shared" si="38"/>
        <v>5</v>
      </c>
      <c r="N129" s="40">
        <f t="shared" si="26"/>
        <v>0</v>
      </c>
      <c r="O129" s="40" t="str">
        <f t="shared" si="27"/>
        <v xml:space="preserve">  0.0</v>
      </c>
      <c r="Q129" s="41" t="e">
        <f t="shared" si="28"/>
        <v>#VALUE!</v>
      </c>
      <c r="R129" s="41" t="str">
        <f t="shared" si="29"/>
        <v/>
      </c>
      <c r="S129" s="41" t="str">
        <f t="shared" si="30"/>
        <v/>
      </c>
      <c r="T129" s="41" t="str">
        <f t="shared" si="31"/>
        <v/>
      </c>
      <c r="U129" s="41" t="str">
        <f t="shared" si="32"/>
        <v/>
      </c>
      <c r="V129" s="41" t="str">
        <f t="shared" si="33"/>
        <v/>
      </c>
      <c r="W129" s="41" t="str">
        <f t="shared" si="34"/>
        <v/>
      </c>
      <c r="X129" s="41" t="str">
        <f t="shared" si="35"/>
        <v/>
      </c>
      <c r="Y129" s="41" t="str">
        <f t="shared" si="36"/>
        <v/>
      </c>
    </row>
    <row r="130" spans="2:25" x14ac:dyDescent="0.3">
      <c r="B130" s="36" t="s">
        <v>443</v>
      </c>
      <c r="D130" s="36"/>
      <c r="F130" s="38" t="str">
        <f t="shared" si="23"/>
        <v>UH  127   1          0.0               1</v>
      </c>
      <c r="J130" s="39">
        <f t="shared" si="24"/>
        <v>127</v>
      </c>
      <c r="K130" s="39">
        <f t="shared" si="25"/>
        <v>1</v>
      </c>
      <c r="L130" s="39" t="e">
        <f t="shared" si="37"/>
        <v>#N/A</v>
      </c>
      <c r="M130" s="39">
        <f t="shared" si="38"/>
        <v>0.25</v>
      </c>
      <c r="N130" s="40">
        <f t="shared" si="26"/>
        <v>0</v>
      </c>
      <c r="O130" s="40" t="str">
        <f t="shared" si="27"/>
        <v xml:space="preserve">  0.0</v>
      </c>
      <c r="Q130" s="41" t="e">
        <f t="shared" si="28"/>
        <v>#VALUE!</v>
      </c>
      <c r="R130" s="41" t="str">
        <f t="shared" si="29"/>
        <v/>
      </c>
      <c r="S130" s="41" t="str">
        <f t="shared" si="30"/>
        <v/>
      </c>
      <c r="T130" s="41" t="str">
        <f t="shared" si="31"/>
        <v/>
      </c>
      <c r="U130" s="41" t="str">
        <f t="shared" si="32"/>
        <v/>
      </c>
      <c r="V130" s="41" t="str">
        <f t="shared" si="33"/>
        <v/>
      </c>
      <c r="W130" s="41" t="str">
        <f t="shared" si="34"/>
        <v/>
      </c>
      <c r="X130" s="41" t="str">
        <f t="shared" si="35"/>
        <v/>
      </c>
      <c r="Y130" s="41" t="str">
        <f t="shared" si="36"/>
        <v/>
      </c>
    </row>
    <row r="131" spans="2:25" x14ac:dyDescent="0.3">
      <c r="B131" s="36" t="s">
        <v>444</v>
      </c>
      <c r="D131" s="36"/>
      <c r="F131" s="38" t="str">
        <f t="shared" si="23"/>
        <v>UH  126   1          0.0               1</v>
      </c>
      <c r="J131" s="39">
        <f t="shared" si="24"/>
        <v>126</v>
      </c>
      <c r="K131" s="39">
        <f t="shared" si="25"/>
        <v>1</v>
      </c>
      <c r="L131" s="39" t="e">
        <f t="shared" si="37"/>
        <v>#N/A</v>
      </c>
      <c r="M131" s="39">
        <f t="shared" si="38"/>
        <v>0.25</v>
      </c>
      <c r="N131" s="40">
        <f t="shared" si="26"/>
        <v>0</v>
      </c>
      <c r="O131" s="40" t="str">
        <f t="shared" si="27"/>
        <v xml:space="preserve">  0.0</v>
      </c>
      <c r="Q131" s="41" t="e">
        <f t="shared" si="28"/>
        <v>#VALUE!</v>
      </c>
      <c r="R131" s="41" t="str">
        <f t="shared" si="29"/>
        <v/>
      </c>
      <c r="S131" s="41" t="str">
        <f t="shared" si="30"/>
        <v/>
      </c>
      <c r="T131" s="41" t="str">
        <f t="shared" si="31"/>
        <v/>
      </c>
      <c r="U131" s="41" t="str">
        <f t="shared" si="32"/>
        <v/>
      </c>
      <c r="V131" s="41" t="str">
        <f t="shared" si="33"/>
        <v/>
      </c>
      <c r="W131" s="41" t="str">
        <f t="shared" si="34"/>
        <v/>
      </c>
      <c r="X131" s="41" t="str">
        <f t="shared" si="35"/>
        <v/>
      </c>
      <c r="Y131" s="41" t="str">
        <f t="shared" si="36"/>
        <v/>
      </c>
    </row>
    <row r="132" spans="2:25" x14ac:dyDescent="0.3">
      <c r="B132" s="36" t="s">
        <v>445</v>
      </c>
      <c r="D132" s="36"/>
      <c r="F132" s="38" t="str">
        <f t="shared" si="23"/>
        <v>UH  283   1          0.0               1</v>
      </c>
      <c r="J132" s="39">
        <f t="shared" si="24"/>
        <v>283</v>
      </c>
      <c r="K132" s="39">
        <f t="shared" si="25"/>
        <v>1</v>
      </c>
      <c r="L132" s="39" t="e">
        <f t="shared" si="37"/>
        <v>#N/A</v>
      </c>
      <c r="M132" s="39">
        <f t="shared" si="38"/>
        <v>0.25</v>
      </c>
      <c r="N132" s="40">
        <f t="shared" si="26"/>
        <v>0</v>
      </c>
      <c r="O132" s="40" t="str">
        <f t="shared" si="27"/>
        <v xml:space="preserve">  0.0</v>
      </c>
      <c r="Q132" s="41" t="e">
        <f t="shared" si="28"/>
        <v>#VALUE!</v>
      </c>
      <c r="R132" s="41" t="str">
        <f t="shared" si="29"/>
        <v/>
      </c>
      <c r="S132" s="41" t="str">
        <f t="shared" si="30"/>
        <v/>
      </c>
      <c r="T132" s="41" t="str">
        <f t="shared" si="31"/>
        <v/>
      </c>
      <c r="U132" s="41" t="str">
        <f t="shared" si="32"/>
        <v/>
      </c>
      <c r="V132" s="41" t="str">
        <f t="shared" si="33"/>
        <v/>
      </c>
      <c r="W132" s="41" t="str">
        <f t="shared" si="34"/>
        <v/>
      </c>
      <c r="X132" s="41" t="str">
        <f t="shared" si="35"/>
        <v/>
      </c>
      <c r="Y132" s="41" t="str">
        <f t="shared" si="36"/>
        <v/>
      </c>
    </row>
    <row r="133" spans="2:25" x14ac:dyDescent="0.3">
      <c r="B133" s="36" t="s">
        <v>446</v>
      </c>
      <c r="D133" s="36"/>
      <c r="F133" s="38" t="str">
        <f t="shared" si="23"/>
        <v>UH  261   1          0.0               1</v>
      </c>
      <c r="J133" s="39">
        <f t="shared" si="24"/>
        <v>261</v>
      </c>
      <c r="K133" s="39">
        <f t="shared" si="25"/>
        <v>1</v>
      </c>
      <c r="L133" s="39" t="e">
        <f t="shared" si="37"/>
        <v>#N/A</v>
      </c>
      <c r="M133" s="39">
        <f t="shared" si="38"/>
        <v>0.25</v>
      </c>
      <c r="N133" s="40">
        <f t="shared" si="26"/>
        <v>0</v>
      </c>
      <c r="O133" s="40" t="str">
        <f t="shared" si="27"/>
        <v xml:space="preserve">  0.0</v>
      </c>
      <c r="Q133" s="41" t="e">
        <f t="shared" si="28"/>
        <v>#VALUE!</v>
      </c>
      <c r="R133" s="41" t="str">
        <f t="shared" si="29"/>
        <v/>
      </c>
      <c r="S133" s="41" t="str">
        <f t="shared" si="30"/>
        <v/>
      </c>
      <c r="T133" s="41" t="str">
        <f t="shared" si="31"/>
        <v/>
      </c>
      <c r="U133" s="41" t="str">
        <f t="shared" si="32"/>
        <v/>
      </c>
      <c r="V133" s="41" t="str">
        <f t="shared" si="33"/>
        <v/>
      </c>
      <c r="W133" s="41" t="str">
        <f t="shared" si="34"/>
        <v/>
      </c>
      <c r="X133" s="41" t="str">
        <f t="shared" si="35"/>
        <v/>
      </c>
      <c r="Y133" s="41" t="str">
        <f t="shared" si="36"/>
        <v/>
      </c>
    </row>
    <row r="134" spans="2:25" x14ac:dyDescent="0.3">
      <c r="B134" s="36" t="s">
        <v>447</v>
      </c>
      <c r="D134" s="36"/>
      <c r="F134" s="38" t="str">
        <f t="shared" si="23"/>
        <v>UH   48  12          0.0               1</v>
      </c>
      <c r="J134" s="39">
        <f t="shared" si="24"/>
        <v>48</v>
      </c>
      <c r="K134" s="39">
        <f t="shared" si="25"/>
        <v>1</v>
      </c>
      <c r="L134" s="39" t="e">
        <f t="shared" si="37"/>
        <v>#N/A</v>
      </c>
      <c r="M134" s="39">
        <f t="shared" si="38"/>
        <v>0.25</v>
      </c>
      <c r="N134" s="40">
        <f t="shared" si="26"/>
        <v>0</v>
      </c>
      <c r="O134" s="40" t="str">
        <f t="shared" si="27"/>
        <v xml:space="preserve">  0.0</v>
      </c>
      <c r="Q134" s="41" t="e">
        <f t="shared" si="28"/>
        <v>#VALUE!</v>
      </c>
      <c r="R134" s="41" t="str">
        <f t="shared" si="29"/>
        <v/>
      </c>
      <c r="S134" s="41" t="str">
        <f t="shared" si="30"/>
        <v/>
      </c>
      <c r="T134" s="41" t="str">
        <f t="shared" si="31"/>
        <v/>
      </c>
      <c r="U134" s="41" t="str">
        <f t="shared" si="32"/>
        <v/>
      </c>
      <c r="V134" s="41" t="str">
        <f t="shared" si="33"/>
        <v/>
      </c>
      <c r="W134" s="41" t="str">
        <f t="shared" si="34"/>
        <v/>
      </c>
      <c r="X134" s="41" t="str">
        <f t="shared" si="35"/>
        <v/>
      </c>
      <c r="Y134" s="41" t="str">
        <f t="shared" si="36"/>
        <v/>
      </c>
    </row>
    <row r="135" spans="2:25" x14ac:dyDescent="0.3">
      <c r="B135" s="36" t="s">
        <v>448</v>
      </c>
      <c r="D135" s="36"/>
      <c r="F135" s="38" t="str">
        <f t="shared" si="23"/>
        <v>UH  249  12          0.0               1</v>
      </c>
      <c r="J135" s="39">
        <f t="shared" si="24"/>
        <v>249</v>
      </c>
      <c r="K135" s="39">
        <f t="shared" si="25"/>
        <v>1</v>
      </c>
      <c r="L135" s="39" t="e">
        <f t="shared" si="37"/>
        <v>#N/A</v>
      </c>
      <c r="M135" s="39">
        <f t="shared" si="38"/>
        <v>0.25</v>
      </c>
      <c r="N135" s="40">
        <f t="shared" si="26"/>
        <v>0</v>
      </c>
      <c r="O135" s="40" t="str">
        <f t="shared" si="27"/>
        <v xml:space="preserve">  0.0</v>
      </c>
      <c r="Q135" s="41" t="e">
        <f t="shared" si="28"/>
        <v>#VALUE!</v>
      </c>
      <c r="R135" s="41" t="str">
        <f t="shared" si="29"/>
        <v/>
      </c>
      <c r="S135" s="41" t="str">
        <f t="shared" si="30"/>
        <v/>
      </c>
      <c r="T135" s="41" t="str">
        <f t="shared" si="31"/>
        <v/>
      </c>
      <c r="U135" s="41" t="str">
        <f t="shared" si="32"/>
        <v/>
      </c>
      <c r="V135" s="41" t="str">
        <f t="shared" si="33"/>
        <v/>
      </c>
      <c r="W135" s="41" t="str">
        <f t="shared" si="34"/>
        <v/>
      </c>
      <c r="X135" s="41" t="str">
        <f t="shared" si="35"/>
        <v/>
      </c>
      <c r="Y135" s="41" t="str">
        <f t="shared" si="36"/>
        <v/>
      </c>
    </row>
    <row r="136" spans="2:25" x14ac:dyDescent="0.3">
      <c r="B136" s="36" t="s">
        <v>449</v>
      </c>
      <c r="D136" s="36"/>
      <c r="F136" s="38" t="str">
        <f t="shared" si="23"/>
        <v>UH  241  10          0.0               1</v>
      </c>
      <c r="J136" s="39">
        <f t="shared" si="24"/>
        <v>241</v>
      </c>
      <c r="K136" s="39">
        <f t="shared" si="25"/>
        <v>1</v>
      </c>
      <c r="L136" s="39" t="e">
        <f t="shared" si="37"/>
        <v>#N/A</v>
      </c>
      <c r="M136" s="39">
        <f t="shared" si="38"/>
        <v>0.25</v>
      </c>
      <c r="N136" s="40">
        <f t="shared" si="26"/>
        <v>0</v>
      </c>
      <c r="O136" s="40" t="str">
        <f t="shared" si="27"/>
        <v xml:space="preserve">  0.0</v>
      </c>
      <c r="Q136" s="41" t="e">
        <f t="shared" si="28"/>
        <v>#VALUE!</v>
      </c>
      <c r="R136" s="41" t="str">
        <f t="shared" si="29"/>
        <v/>
      </c>
      <c r="S136" s="41" t="str">
        <f t="shared" si="30"/>
        <v/>
      </c>
      <c r="T136" s="41" t="str">
        <f t="shared" si="31"/>
        <v/>
      </c>
      <c r="U136" s="41" t="str">
        <f t="shared" si="32"/>
        <v/>
      </c>
      <c r="V136" s="41" t="str">
        <f t="shared" si="33"/>
        <v/>
      </c>
      <c r="W136" s="41" t="str">
        <f t="shared" si="34"/>
        <v/>
      </c>
      <c r="X136" s="41" t="str">
        <f t="shared" si="35"/>
        <v/>
      </c>
      <c r="Y136" s="41" t="str">
        <f t="shared" si="36"/>
        <v/>
      </c>
    </row>
    <row r="137" spans="2:25" x14ac:dyDescent="0.3">
      <c r="B137" s="36" t="s">
        <v>450</v>
      </c>
      <c r="D137" s="36"/>
      <c r="F137" s="38" t="str">
        <f t="shared" si="23"/>
        <v>UH  304   1          0.0               1</v>
      </c>
      <c r="J137" s="39">
        <f t="shared" si="24"/>
        <v>304</v>
      </c>
      <c r="K137" s="39">
        <f t="shared" si="25"/>
        <v>1</v>
      </c>
      <c r="L137" s="39" t="e">
        <f t="shared" si="37"/>
        <v>#N/A</v>
      </c>
      <c r="M137" s="39">
        <f t="shared" si="38"/>
        <v>0.25</v>
      </c>
      <c r="N137" s="40">
        <f t="shared" si="26"/>
        <v>0</v>
      </c>
      <c r="O137" s="40" t="str">
        <f t="shared" si="27"/>
        <v xml:space="preserve">  0.0</v>
      </c>
      <c r="Q137" s="41" t="e">
        <f t="shared" si="28"/>
        <v>#VALUE!</v>
      </c>
      <c r="R137" s="41" t="str">
        <f t="shared" si="29"/>
        <v/>
      </c>
      <c r="S137" s="41" t="str">
        <f t="shared" si="30"/>
        <v/>
      </c>
      <c r="T137" s="41" t="str">
        <f t="shared" si="31"/>
        <v/>
      </c>
      <c r="U137" s="41" t="str">
        <f t="shared" si="32"/>
        <v/>
      </c>
      <c r="V137" s="41" t="str">
        <f t="shared" si="33"/>
        <v/>
      </c>
      <c r="W137" s="41" t="str">
        <f t="shared" si="34"/>
        <v/>
      </c>
      <c r="X137" s="41" t="str">
        <f t="shared" si="35"/>
        <v/>
      </c>
      <c r="Y137" s="41" t="str">
        <f t="shared" si="36"/>
        <v/>
      </c>
    </row>
    <row r="138" spans="2:25" x14ac:dyDescent="0.3">
      <c r="B138" s="36" t="s">
        <v>451</v>
      </c>
      <c r="D138" s="36"/>
      <c r="F138" s="38" t="str">
        <f t="shared" si="23"/>
        <v>UH  305   1          0.0               1</v>
      </c>
      <c r="J138" s="39">
        <f t="shared" si="24"/>
        <v>305</v>
      </c>
      <c r="K138" s="39">
        <f t="shared" si="25"/>
        <v>1</v>
      </c>
      <c r="L138" s="39" t="e">
        <f t="shared" si="37"/>
        <v>#N/A</v>
      </c>
      <c r="M138" s="39">
        <f t="shared" si="38"/>
        <v>0.25</v>
      </c>
      <c r="N138" s="40">
        <f t="shared" si="26"/>
        <v>0</v>
      </c>
      <c r="O138" s="40" t="str">
        <f t="shared" si="27"/>
        <v xml:space="preserve">  0.0</v>
      </c>
      <c r="Q138" s="41" t="e">
        <f t="shared" si="28"/>
        <v>#VALUE!</v>
      </c>
      <c r="R138" s="41" t="str">
        <f t="shared" si="29"/>
        <v/>
      </c>
      <c r="S138" s="41" t="str">
        <f t="shared" si="30"/>
        <v/>
      </c>
      <c r="T138" s="41" t="str">
        <f t="shared" si="31"/>
        <v/>
      </c>
      <c r="U138" s="41" t="str">
        <f t="shared" si="32"/>
        <v/>
      </c>
      <c r="V138" s="41" t="str">
        <f t="shared" si="33"/>
        <v/>
      </c>
      <c r="W138" s="41" t="str">
        <f t="shared" si="34"/>
        <v/>
      </c>
      <c r="X138" s="41" t="str">
        <f t="shared" si="35"/>
        <v/>
      </c>
      <c r="Y138" s="41" t="str">
        <f t="shared" si="36"/>
        <v/>
      </c>
    </row>
    <row r="139" spans="2:25" x14ac:dyDescent="0.3">
      <c r="B139" s="36" t="s">
        <v>452</v>
      </c>
      <c r="D139" s="36"/>
      <c r="F139" s="38" t="str">
        <f t="shared" si="23"/>
        <v>UH  196   6          0.0               1</v>
      </c>
      <c r="J139" s="39">
        <f t="shared" si="24"/>
        <v>196</v>
      </c>
      <c r="K139" s="39">
        <f t="shared" si="25"/>
        <v>1</v>
      </c>
      <c r="L139" s="39" t="e">
        <f t="shared" ref="L139:L170" si="39">SUBSTITUTE(VLOOKUP(J139,$Q$11:$Y$200,L$10,0),".",",")</f>
        <v>#N/A</v>
      </c>
      <c r="M139" s="39">
        <f t="shared" ref="M139:M170" si="40">VLOOKUP(K139,$AA$27:$AB$30,2,0)</f>
        <v>0.25</v>
      </c>
      <c r="N139" s="40">
        <f t="shared" si="26"/>
        <v>0</v>
      </c>
      <c r="O139" s="40" t="str">
        <f t="shared" si="27"/>
        <v xml:space="preserve">  0.0</v>
      </c>
      <c r="Q139" s="41" t="e">
        <f t="shared" si="28"/>
        <v>#VALUE!</v>
      </c>
      <c r="R139" s="41" t="str">
        <f t="shared" si="29"/>
        <v/>
      </c>
      <c r="S139" s="41" t="str">
        <f t="shared" si="30"/>
        <v/>
      </c>
      <c r="T139" s="41" t="str">
        <f t="shared" si="31"/>
        <v/>
      </c>
      <c r="U139" s="41" t="str">
        <f t="shared" si="32"/>
        <v/>
      </c>
      <c r="V139" s="41" t="str">
        <f t="shared" si="33"/>
        <v/>
      </c>
      <c r="W139" s="41" t="str">
        <f t="shared" si="34"/>
        <v/>
      </c>
      <c r="X139" s="41" t="str">
        <f t="shared" si="35"/>
        <v/>
      </c>
      <c r="Y139" s="41" t="str">
        <f t="shared" si="36"/>
        <v/>
      </c>
    </row>
    <row r="140" spans="2:25" x14ac:dyDescent="0.3">
      <c r="B140" s="36" t="s">
        <v>453</v>
      </c>
      <c r="D140" s="36"/>
      <c r="F140" s="38" t="str">
        <f t="shared" ref="F140:F200" si="41">IF(B140&lt;&gt;0,LEFT(B140,11)&amp;RIGHT("             "&amp;O140,13)&amp;RIGHT(B140,LEN(B140)-24),"")</f>
        <v>UH  195   1          0.0               1</v>
      </c>
      <c r="J140" s="39">
        <f t="shared" ref="J140:J200" si="42">IFERROR(VALUE(RIGHT(LEFT($B140,7),3)),"")</f>
        <v>195</v>
      </c>
      <c r="K140" s="39">
        <f t="shared" ref="K140:K200" si="43">IFERROR(VLOOKUP(VALUE(RIGHT(LEFT($B140,11),2)),$AA$11:$AB$22,2,0),"")</f>
        <v>1</v>
      </c>
      <c r="L140" s="39" t="e">
        <f t="shared" si="39"/>
        <v>#N/A</v>
      </c>
      <c r="M140" s="39">
        <f t="shared" si="40"/>
        <v>0.25</v>
      </c>
      <c r="N140" s="40">
        <f t="shared" ref="N140:N200" si="44">IF(NOT(ISERROR(L140)),IF(L140+M140&gt;100,100,IF(L140+M140&lt;0,0,L140+M140)),0)</f>
        <v>0</v>
      </c>
      <c r="O140" s="40" t="str">
        <f t="shared" ref="O140:O200" si="45">IF(N140=0,"  0.0",IF(N140=100,"100.0",SUBSTITUTE(ROUND(N140,2),",",".")))</f>
        <v xml:space="preserve">  0.0</v>
      </c>
      <c r="Q140" s="41" t="e">
        <f t="shared" ref="Q140:Q200" si="46">VALUE(RIGHT(LEFT($D140,7),3))</f>
        <v>#VALUE!</v>
      </c>
      <c r="R140" s="41" t="str">
        <f t="shared" ref="R140:R200" si="47">RIGHT(LEFT($D140,21),14)</f>
        <v/>
      </c>
      <c r="S140" s="41" t="str">
        <f t="shared" ref="S140:S200" si="48">RIGHT(LEFT($D140,28),7)</f>
        <v/>
      </c>
      <c r="T140" s="41" t="str">
        <f t="shared" ref="T140:T200" si="49">RIGHT(LEFT($D140,35),7)</f>
        <v/>
      </c>
      <c r="U140" s="41" t="str">
        <f t="shared" ref="U140:U200" si="50">RIGHT(LEFT($D140,42),7)</f>
        <v/>
      </c>
      <c r="V140" s="41" t="str">
        <f t="shared" ref="V140:V200" si="51">RIGHT(LEFT($D140,49),7)</f>
        <v/>
      </c>
      <c r="W140" s="41" t="str">
        <f t="shared" ref="W140:W200" si="52">RIGHT(LEFT($D140,56),7)</f>
        <v/>
      </c>
      <c r="X140" s="41" t="str">
        <f t="shared" ref="X140:X200" si="53">RIGHT(LEFT($D140,63),7)</f>
        <v/>
      </c>
      <c r="Y140" s="41" t="str">
        <f t="shared" ref="Y140:Y200" si="54">RIGHT(LEFT($D140,70),7)</f>
        <v/>
      </c>
    </row>
    <row r="141" spans="2:25" x14ac:dyDescent="0.3">
      <c r="B141" s="36" t="s">
        <v>580</v>
      </c>
      <c r="D141" s="36"/>
      <c r="F141" s="38" t="str">
        <f t="shared" si="41"/>
        <v>UH   95   2         77.1               1</v>
      </c>
      <c r="J141" s="39">
        <f t="shared" si="42"/>
        <v>95</v>
      </c>
      <c r="K141" s="39">
        <f t="shared" si="43"/>
        <v>2</v>
      </c>
      <c r="L141" s="39" t="str">
        <f t="shared" si="39"/>
        <v xml:space="preserve">   78,4</v>
      </c>
      <c r="M141" s="39">
        <f t="shared" si="40"/>
        <v>-1.2999999999999972</v>
      </c>
      <c r="N141" s="40">
        <f t="shared" si="44"/>
        <v>77.100000000000009</v>
      </c>
      <c r="O141" s="40" t="str">
        <f t="shared" si="45"/>
        <v>77.1</v>
      </c>
      <c r="Q141" s="41" t="e">
        <f t="shared" si="46"/>
        <v>#VALUE!</v>
      </c>
      <c r="R141" s="41" t="str">
        <f t="shared" si="47"/>
        <v/>
      </c>
      <c r="S141" s="41" t="str">
        <f t="shared" si="48"/>
        <v/>
      </c>
      <c r="T141" s="41" t="str">
        <f t="shared" si="49"/>
        <v/>
      </c>
      <c r="U141" s="41" t="str">
        <f t="shared" si="50"/>
        <v/>
      </c>
      <c r="V141" s="41" t="str">
        <f t="shared" si="51"/>
        <v/>
      </c>
      <c r="W141" s="41" t="str">
        <f t="shared" si="52"/>
        <v/>
      </c>
      <c r="X141" s="41" t="str">
        <f t="shared" si="53"/>
        <v/>
      </c>
      <c r="Y141" s="41" t="str">
        <f t="shared" si="54"/>
        <v/>
      </c>
    </row>
    <row r="142" spans="2:25" x14ac:dyDescent="0.3">
      <c r="B142" s="36" t="s">
        <v>581</v>
      </c>
      <c r="D142" s="36"/>
      <c r="F142" s="38" t="str">
        <f t="shared" si="41"/>
        <v>UH  203  10        28.85               1</v>
      </c>
      <c r="J142" s="39">
        <f t="shared" si="42"/>
        <v>203</v>
      </c>
      <c r="K142" s="39">
        <f t="shared" si="43"/>
        <v>1</v>
      </c>
      <c r="L142" s="39" t="str">
        <f t="shared" si="39"/>
        <v xml:space="preserve">   28,6</v>
      </c>
      <c r="M142" s="39">
        <f t="shared" si="40"/>
        <v>0.25</v>
      </c>
      <c r="N142" s="40">
        <f t="shared" si="44"/>
        <v>28.85</v>
      </c>
      <c r="O142" s="40" t="str">
        <f t="shared" si="45"/>
        <v>28.85</v>
      </c>
      <c r="Q142" s="41" t="e">
        <f t="shared" si="46"/>
        <v>#VALUE!</v>
      </c>
      <c r="R142" s="41" t="str">
        <f t="shared" si="47"/>
        <v/>
      </c>
      <c r="S142" s="41" t="str">
        <f t="shared" si="48"/>
        <v/>
      </c>
      <c r="T142" s="41" t="str">
        <f t="shared" si="49"/>
        <v/>
      </c>
      <c r="U142" s="41" t="str">
        <f t="shared" si="50"/>
        <v/>
      </c>
      <c r="V142" s="41" t="str">
        <f t="shared" si="51"/>
        <v/>
      </c>
      <c r="W142" s="41" t="str">
        <f t="shared" si="52"/>
        <v/>
      </c>
      <c r="X142" s="41" t="str">
        <f t="shared" si="53"/>
        <v/>
      </c>
      <c r="Y142" s="41" t="str">
        <f t="shared" si="54"/>
        <v/>
      </c>
    </row>
    <row r="143" spans="2:25" x14ac:dyDescent="0.3">
      <c r="B143" s="36" t="s">
        <v>454</v>
      </c>
      <c r="D143" s="36"/>
      <c r="F143" s="38" t="str">
        <f t="shared" si="41"/>
        <v>UH  154   3          0.0               1</v>
      </c>
      <c r="J143" s="39">
        <f t="shared" si="42"/>
        <v>154</v>
      </c>
      <c r="K143" s="39">
        <f t="shared" si="43"/>
        <v>3</v>
      </c>
      <c r="L143" s="39" t="e">
        <f t="shared" si="39"/>
        <v>#N/A</v>
      </c>
      <c r="M143" s="39">
        <f t="shared" si="40"/>
        <v>0.10000000000000142</v>
      </c>
      <c r="N143" s="40">
        <f t="shared" si="44"/>
        <v>0</v>
      </c>
      <c r="O143" s="40" t="str">
        <f t="shared" si="45"/>
        <v xml:space="preserve">  0.0</v>
      </c>
      <c r="Q143" s="41" t="e">
        <f t="shared" si="46"/>
        <v>#VALUE!</v>
      </c>
      <c r="R143" s="41" t="str">
        <f t="shared" si="47"/>
        <v/>
      </c>
      <c r="S143" s="41" t="str">
        <f t="shared" si="48"/>
        <v/>
      </c>
      <c r="T143" s="41" t="str">
        <f t="shared" si="49"/>
        <v/>
      </c>
      <c r="U143" s="41" t="str">
        <f t="shared" si="50"/>
        <v/>
      </c>
      <c r="V143" s="41" t="str">
        <f t="shared" si="51"/>
        <v/>
      </c>
      <c r="W143" s="41" t="str">
        <f t="shared" si="52"/>
        <v/>
      </c>
      <c r="X143" s="41" t="str">
        <f t="shared" si="53"/>
        <v/>
      </c>
      <c r="Y143" s="41" t="str">
        <f t="shared" si="54"/>
        <v/>
      </c>
    </row>
    <row r="144" spans="2:25" x14ac:dyDescent="0.3">
      <c r="B144" s="36" t="s">
        <v>455</v>
      </c>
      <c r="D144" s="36"/>
      <c r="F144" s="38" t="str">
        <f t="shared" si="41"/>
        <v>UH  310   6          0.0               1</v>
      </c>
      <c r="J144" s="39">
        <f t="shared" si="42"/>
        <v>310</v>
      </c>
      <c r="K144" s="39">
        <f t="shared" si="43"/>
        <v>1</v>
      </c>
      <c r="L144" s="39" t="e">
        <f t="shared" si="39"/>
        <v>#N/A</v>
      </c>
      <c r="M144" s="39">
        <f t="shared" si="40"/>
        <v>0.25</v>
      </c>
      <c r="N144" s="40">
        <f t="shared" si="44"/>
        <v>0</v>
      </c>
      <c r="O144" s="40" t="str">
        <f t="shared" si="45"/>
        <v xml:space="preserve">  0.0</v>
      </c>
      <c r="Q144" s="41" t="e">
        <f t="shared" si="46"/>
        <v>#VALUE!</v>
      </c>
      <c r="R144" s="41" t="str">
        <f t="shared" si="47"/>
        <v/>
      </c>
      <c r="S144" s="41" t="str">
        <f t="shared" si="48"/>
        <v/>
      </c>
      <c r="T144" s="41" t="str">
        <f t="shared" si="49"/>
        <v/>
      </c>
      <c r="U144" s="41" t="str">
        <f t="shared" si="50"/>
        <v/>
      </c>
      <c r="V144" s="41" t="str">
        <f t="shared" si="51"/>
        <v/>
      </c>
      <c r="W144" s="41" t="str">
        <f t="shared" si="52"/>
        <v/>
      </c>
      <c r="X144" s="41" t="str">
        <f t="shared" si="53"/>
        <v/>
      </c>
      <c r="Y144" s="41" t="str">
        <f t="shared" si="54"/>
        <v/>
      </c>
    </row>
    <row r="145" spans="2:25" x14ac:dyDescent="0.3">
      <c r="B145" s="36" t="s">
        <v>582</v>
      </c>
      <c r="D145" s="36"/>
      <c r="F145" s="38" t="str">
        <f t="shared" si="41"/>
        <v>UH   83  11          0.0               1</v>
      </c>
      <c r="J145" s="39">
        <f t="shared" si="42"/>
        <v>83</v>
      </c>
      <c r="K145" s="39">
        <f t="shared" si="43"/>
        <v>2</v>
      </c>
      <c r="L145" s="39" t="e">
        <f t="shared" si="39"/>
        <v>#N/A</v>
      </c>
      <c r="M145" s="39">
        <f t="shared" si="40"/>
        <v>-1.2999999999999972</v>
      </c>
      <c r="N145" s="40">
        <f t="shared" si="44"/>
        <v>0</v>
      </c>
      <c r="O145" s="40" t="str">
        <f t="shared" si="45"/>
        <v xml:space="preserve">  0.0</v>
      </c>
      <c r="Q145" s="41" t="e">
        <f t="shared" si="46"/>
        <v>#VALUE!</v>
      </c>
      <c r="R145" s="41" t="str">
        <f t="shared" si="47"/>
        <v/>
      </c>
      <c r="S145" s="41" t="str">
        <f t="shared" si="48"/>
        <v/>
      </c>
      <c r="T145" s="41" t="str">
        <f t="shared" si="49"/>
        <v/>
      </c>
      <c r="U145" s="41" t="str">
        <f t="shared" si="50"/>
        <v/>
      </c>
      <c r="V145" s="41" t="str">
        <f t="shared" si="51"/>
        <v/>
      </c>
      <c r="W145" s="41" t="str">
        <f t="shared" si="52"/>
        <v/>
      </c>
      <c r="X145" s="41" t="str">
        <f t="shared" si="53"/>
        <v/>
      </c>
      <c r="Y145" s="41" t="str">
        <f t="shared" si="54"/>
        <v/>
      </c>
    </row>
    <row r="146" spans="2:25" x14ac:dyDescent="0.3">
      <c r="B146" s="36" t="s">
        <v>583</v>
      </c>
      <c r="D146" s="36"/>
      <c r="F146" s="38" t="str">
        <f t="shared" si="41"/>
        <v>UH   29  10        16.65               1</v>
      </c>
      <c r="J146" s="39">
        <f t="shared" si="42"/>
        <v>29</v>
      </c>
      <c r="K146" s="39">
        <f t="shared" si="43"/>
        <v>1</v>
      </c>
      <c r="L146" s="39" t="str">
        <f t="shared" si="39"/>
        <v xml:space="preserve">   16,4</v>
      </c>
      <c r="M146" s="39">
        <f t="shared" si="40"/>
        <v>0.25</v>
      </c>
      <c r="N146" s="40">
        <f t="shared" si="44"/>
        <v>16.649999999999999</v>
      </c>
      <c r="O146" s="40" t="str">
        <f t="shared" si="45"/>
        <v>16.65</v>
      </c>
      <c r="Q146" s="41" t="e">
        <f t="shared" si="46"/>
        <v>#VALUE!</v>
      </c>
      <c r="R146" s="41" t="str">
        <f t="shared" si="47"/>
        <v/>
      </c>
      <c r="S146" s="41" t="str">
        <f t="shared" si="48"/>
        <v/>
      </c>
      <c r="T146" s="41" t="str">
        <f t="shared" si="49"/>
        <v/>
      </c>
      <c r="U146" s="41" t="str">
        <f t="shared" si="50"/>
        <v/>
      </c>
      <c r="V146" s="41" t="str">
        <f t="shared" si="51"/>
        <v/>
      </c>
      <c r="W146" s="41" t="str">
        <f t="shared" si="52"/>
        <v/>
      </c>
      <c r="X146" s="41" t="str">
        <f t="shared" si="53"/>
        <v/>
      </c>
      <c r="Y146" s="41" t="str">
        <f t="shared" si="54"/>
        <v/>
      </c>
    </row>
    <row r="147" spans="2:25" x14ac:dyDescent="0.3">
      <c r="B147" s="36" t="s">
        <v>456</v>
      </c>
      <c r="D147" s="36"/>
      <c r="F147" s="38" t="str">
        <f t="shared" si="41"/>
        <v>UH   94   2          0.0               1</v>
      </c>
      <c r="J147" s="39">
        <f t="shared" si="42"/>
        <v>94</v>
      </c>
      <c r="K147" s="39">
        <f t="shared" si="43"/>
        <v>2</v>
      </c>
      <c r="L147" s="39" t="e">
        <f t="shared" si="39"/>
        <v>#N/A</v>
      </c>
      <c r="M147" s="39">
        <f t="shared" si="40"/>
        <v>-1.2999999999999972</v>
      </c>
      <c r="N147" s="40">
        <f t="shared" si="44"/>
        <v>0</v>
      </c>
      <c r="O147" s="40" t="str">
        <f t="shared" si="45"/>
        <v xml:space="preserve">  0.0</v>
      </c>
      <c r="Q147" s="41" t="e">
        <f t="shared" si="46"/>
        <v>#VALUE!</v>
      </c>
      <c r="R147" s="41" t="str">
        <f t="shared" si="47"/>
        <v/>
      </c>
      <c r="S147" s="41" t="str">
        <f t="shared" si="48"/>
        <v/>
      </c>
      <c r="T147" s="41" t="str">
        <f t="shared" si="49"/>
        <v/>
      </c>
      <c r="U147" s="41" t="str">
        <f t="shared" si="50"/>
        <v/>
      </c>
      <c r="V147" s="41" t="str">
        <f t="shared" si="51"/>
        <v/>
      </c>
      <c r="W147" s="41" t="str">
        <f t="shared" si="52"/>
        <v/>
      </c>
      <c r="X147" s="41" t="str">
        <f t="shared" si="53"/>
        <v/>
      </c>
      <c r="Y147" s="41" t="str">
        <f t="shared" si="54"/>
        <v/>
      </c>
    </row>
    <row r="148" spans="2:25" x14ac:dyDescent="0.3">
      <c r="B148" s="36" t="s">
        <v>457</v>
      </c>
      <c r="D148" s="36"/>
      <c r="F148" s="38" t="str">
        <f t="shared" si="41"/>
        <v>UH  215   2          0.0               1</v>
      </c>
      <c r="J148" s="39">
        <f t="shared" si="42"/>
        <v>215</v>
      </c>
      <c r="K148" s="39">
        <f t="shared" si="43"/>
        <v>2</v>
      </c>
      <c r="L148" s="39" t="e">
        <f t="shared" si="39"/>
        <v>#N/A</v>
      </c>
      <c r="M148" s="39">
        <f t="shared" si="40"/>
        <v>-1.2999999999999972</v>
      </c>
      <c r="N148" s="40">
        <f t="shared" si="44"/>
        <v>0</v>
      </c>
      <c r="O148" s="40" t="str">
        <f t="shared" si="45"/>
        <v xml:space="preserve">  0.0</v>
      </c>
      <c r="Q148" s="41" t="e">
        <f t="shared" si="46"/>
        <v>#VALUE!</v>
      </c>
      <c r="R148" s="41" t="str">
        <f t="shared" si="47"/>
        <v/>
      </c>
      <c r="S148" s="41" t="str">
        <f t="shared" si="48"/>
        <v/>
      </c>
      <c r="T148" s="41" t="str">
        <f t="shared" si="49"/>
        <v/>
      </c>
      <c r="U148" s="41" t="str">
        <f t="shared" si="50"/>
        <v/>
      </c>
      <c r="V148" s="41" t="str">
        <f t="shared" si="51"/>
        <v/>
      </c>
      <c r="W148" s="41" t="str">
        <f t="shared" si="52"/>
        <v/>
      </c>
      <c r="X148" s="41" t="str">
        <f t="shared" si="53"/>
        <v/>
      </c>
      <c r="Y148" s="41" t="str">
        <f t="shared" si="54"/>
        <v/>
      </c>
    </row>
    <row r="149" spans="2:25" x14ac:dyDescent="0.3">
      <c r="B149" s="36" t="s">
        <v>584</v>
      </c>
      <c r="D149" s="36"/>
      <c r="F149" s="38" t="str">
        <f t="shared" si="41"/>
        <v>UH  155   1        37.35               1</v>
      </c>
      <c r="J149" s="39">
        <f t="shared" si="42"/>
        <v>155</v>
      </c>
      <c r="K149" s="39">
        <f t="shared" si="43"/>
        <v>1</v>
      </c>
      <c r="L149" s="39" t="str">
        <f t="shared" si="39"/>
        <v xml:space="preserve">   37,1</v>
      </c>
      <c r="M149" s="39">
        <f t="shared" si="40"/>
        <v>0.25</v>
      </c>
      <c r="N149" s="40">
        <f t="shared" si="44"/>
        <v>37.35</v>
      </c>
      <c r="O149" s="40" t="str">
        <f t="shared" si="45"/>
        <v>37.35</v>
      </c>
      <c r="Q149" s="41" t="e">
        <f t="shared" si="46"/>
        <v>#VALUE!</v>
      </c>
      <c r="R149" s="41" t="str">
        <f t="shared" si="47"/>
        <v/>
      </c>
      <c r="S149" s="41" t="str">
        <f t="shared" si="48"/>
        <v/>
      </c>
      <c r="T149" s="41" t="str">
        <f t="shared" si="49"/>
        <v/>
      </c>
      <c r="U149" s="41" t="str">
        <f t="shared" si="50"/>
        <v/>
      </c>
      <c r="V149" s="41" t="str">
        <f t="shared" si="51"/>
        <v/>
      </c>
      <c r="W149" s="41" t="str">
        <f t="shared" si="52"/>
        <v/>
      </c>
      <c r="X149" s="41" t="str">
        <f t="shared" si="53"/>
        <v/>
      </c>
      <c r="Y149" s="41" t="str">
        <f t="shared" si="54"/>
        <v/>
      </c>
    </row>
    <row r="150" spans="2:25" x14ac:dyDescent="0.3">
      <c r="B150" s="36" t="s">
        <v>458</v>
      </c>
      <c r="D150" s="36"/>
      <c r="F150" s="38" t="str">
        <f t="shared" si="41"/>
        <v>UH  311  10        23.85               1</v>
      </c>
      <c r="J150" s="39">
        <f t="shared" si="42"/>
        <v>311</v>
      </c>
      <c r="K150" s="39">
        <f t="shared" si="43"/>
        <v>1</v>
      </c>
      <c r="L150" s="39" t="str">
        <f t="shared" si="39"/>
        <v xml:space="preserve">   23,6</v>
      </c>
      <c r="M150" s="39">
        <f t="shared" si="40"/>
        <v>0.25</v>
      </c>
      <c r="N150" s="40">
        <f t="shared" si="44"/>
        <v>23.85</v>
      </c>
      <c r="O150" s="40" t="str">
        <f t="shared" si="45"/>
        <v>23.85</v>
      </c>
      <c r="Q150" s="41" t="e">
        <f t="shared" si="46"/>
        <v>#VALUE!</v>
      </c>
      <c r="R150" s="41" t="str">
        <f t="shared" si="47"/>
        <v/>
      </c>
      <c r="S150" s="41" t="str">
        <f t="shared" si="48"/>
        <v/>
      </c>
      <c r="T150" s="41" t="str">
        <f t="shared" si="49"/>
        <v/>
      </c>
      <c r="U150" s="41" t="str">
        <f t="shared" si="50"/>
        <v/>
      </c>
      <c r="V150" s="41" t="str">
        <f t="shared" si="51"/>
        <v/>
      </c>
      <c r="W150" s="41" t="str">
        <f t="shared" si="52"/>
        <v/>
      </c>
      <c r="X150" s="41" t="str">
        <f t="shared" si="53"/>
        <v/>
      </c>
      <c r="Y150" s="41" t="str">
        <f t="shared" si="54"/>
        <v/>
      </c>
    </row>
    <row r="151" spans="2:25" x14ac:dyDescent="0.3">
      <c r="B151" s="36" t="s">
        <v>459</v>
      </c>
      <c r="D151" s="36"/>
      <c r="F151" s="38" t="str">
        <f t="shared" si="41"/>
        <v>UH  312  10          0.0               1</v>
      </c>
      <c r="J151" s="39">
        <f t="shared" si="42"/>
        <v>312</v>
      </c>
      <c r="K151" s="39">
        <f t="shared" si="43"/>
        <v>1</v>
      </c>
      <c r="L151" s="39" t="e">
        <f t="shared" si="39"/>
        <v>#N/A</v>
      </c>
      <c r="M151" s="39">
        <f t="shared" si="40"/>
        <v>0.25</v>
      </c>
      <c r="N151" s="40">
        <f t="shared" si="44"/>
        <v>0</v>
      </c>
      <c r="O151" s="40" t="str">
        <f t="shared" si="45"/>
        <v xml:space="preserve">  0.0</v>
      </c>
      <c r="Q151" s="41" t="e">
        <f t="shared" si="46"/>
        <v>#VALUE!</v>
      </c>
      <c r="R151" s="41" t="str">
        <f t="shared" si="47"/>
        <v/>
      </c>
      <c r="S151" s="41" t="str">
        <f t="shared" si="48"/>
        <v/>
      </c>
      <c r="T151" s="41" t="str">
        <f t="shared" si="49"/>
        <v/>
      </c>
      <c r="U151" s="41" t="str">
        <f t="shared" si="50"/>
        <v/>
      </c>
      <c r="V151" s="41" t="str">
        <f t="shared" si="51"/>
        <v/>
      </c>
      <c r="W151" s="41" t="str">
        <f t="shared" si="52"/>
        <v/>
      </c>
      <c r="X151" s="41" t="str">
        <f t="shared" si="53"/>
        <v/>
      </c>
      <c r="Y151" s="41" t="str">
        <f t="shared" si="54"/>
        <v/>
      </c>
    </row>
    <row r="152" spans="2:25" x14ac:dyDescent="0.3">
      <c r="B152" s="36" t="s">
        <v>460</v>
      </c>
      <c r="D152" s="36"/>
      <c r="F152" s="38" t="str">
        <f t="shared" si="41"/>
        <v>UH  315  10          0.0               1</v>
      </c>
      <c r="J152" s="39">
        <f t="shared" si="42"/>
        <v>315</v>
      </c>
      <c r="K152" s="39">
        <f t="shared" si="43"/>
        <v>1</v>
      </c>
      <c r="L152" s="39" t="e">
        <f t="shared" si="39"/>
        <v>#N/A</v>
      </c>
      <c r="M152" s="39">
        <f t="shared" si="40"/>
        <v>0.25</v>
      </c>
      <c r="N152" s="40">
        <f t="shared" si="44"/>
        <v>0</v>
      </c>
      <c r="O152" s="40" t="str">
        <f t="shared" si="45"/>
        <v xml:space="preserve">  0.0</v>
      </c>
      <c r="Q152" s="41" t="e">
        <f t="shared" si="46"/>
        <v>#VALUE!</v>
      </c>
      <c r="R152" s="41" t="str">
        <f t="shared" si="47"/>
        <v/>
      </c>
      <c r="S152" s="41" t="str">
        <f t="shared" si="48"/>
        <v/>
      </c>
      <c r="T152" s="41" t="str">
        <f t="shared" si="49"/>
        <v/>
      </c>
      <c r="U152" s="41" t="str">
        <f t="shared" si="50"/>
        <v/>
      </c>
      <c r="V152" s="41" t="str">
        <f t="shared" si="51"/>
        <v/>
      </c>
      <c r="W152" s="41" t="str">
        <f t="shared" si="52"/>
        <v/>
      </c>
      <c r="X152" s="41" t="str">
        <f t="shared" si="53"/>
        <v/>
      </c>
      <c r="Y152" s="41" t="str">
        <f t="shared" si="54"/>
        <v/>
      </c>
    </row>
    <row r="153" spans="2:25" x14ac:dyDescent="0.3">
      <c r="B153" s="36" t="s">
        <v>585</v>
      </c>
      <c r="D153" s="36"/>
      <c r="F153" s="38" t="str">
        <f t="shared" si="41"/>
        <v>UH   21  10        32.35               1</v>
      </c>
      <c r="J153" s="39">
        <f t="shared" si="42"/>
        <v>21</v>
      </c>
      <c r="K153" s="39">
        <f t="shared" si="43"/>
        <v>1</v>
      </c>
      <c r="L153" s="39" t="str">
        <f t="shared" si="39"/>
        <v xml:space="preserve">   32,1</v>
      </c>
      <c r="M153" s="39">
        <f t="shared" si="40"/>
        <v>0.25</v>
      </c>
      <c r="N153" s="40">
        <f t="shared" si="44"/>
        <v>32.35</v>
      </c>
      <c r="O153" s="40" t="str">
        <f t="shared" si="45"/>
        <v>32.35</v>
      </c>
      <c r="Q153" s="41" t="e">
        <f t="shared" si="46"/>
        <v>#VALUE!</v>
      </c>
      <c r="R153" s="41" t="str">
        <f t="shared" si="47"/>
        <v/>
      </c>
      <c r="S153" s="41" t="str">
        <f t="shared" si="48"/>
        <v/>
      </c>
      <c r="T153" s="41" t="str">
        <f t="shared" si="49"/>
        <v/>
      </c>
      <c r="U153" s="41" t="str">
        <f t="shared" si="50"/>
        <v/>
      </c>
      <c r="V153" s="41" t="str">
        <f t="shared" si="51"/>
        <v/>
      </c>
      <c r="W153" s="41" t="str">
        <f t="shared" si="52"/>
        <v/>
      </c>
      <c r="X153" s="41" t="str">
        <f t="shared" si="53"/>
        <v/>
      </c>
      <c r="Y153" s="41" t="str">
        <f t="shared" si="54"/>
        <v/>
      </c>
    </row>
    <row r="154" spans="2:25" x14ac:dyDescent="0.3">
      <c r="B154" s="36" t="s">
        <v>586</v>
      </c>
      <c r="D154" s="36"/>
      <c r="F154" s="38" t="str">
        <f t="shared" si="41"/>
        <v>UH  290  10        77.15               1</v>
      </c>
      <c r="J154" s="39">
        <f t="shared" si="42"/>
        <v>290</v>
      </c>
      <c r="K154" s="39">
        <f t="shared" si="43"/>
        <v>1</v>
      </c>
      <c r="L154" s="39" t="str">
        <f t="shared" si="39"/>
        <v xml:space="preserve">   76,9</v>
      </c>
      <c r="M154" s="39">
        <f t="shared" si="40"/>
        <v>0.25</v>
      </c>
      <c r="N154" s="40">
        <f t="shared" si="44"/>
        <v>77.150000000000006</v>
      </c>
      <c r="O154" s="40" t="str">
        <f t="shared" si="45"/>
        <v>77.15</v>
      </c>
      <c r="Q154" s="41" t="e">
        <f t="shared" si="46"/>
        <v>#VALUE!</v>
      </c>
      <c r="R154" s="41" t="str">
        <f t="shared" si="47"/>
        <v/>
      </c>
      <c r="S154" s="41" t="str">
        <f t="shared" si="48"/>
        <v/>
      </c>
      <c r="T154" s="41" t="str">
        <f t="shared" si="49"/>
        <v/>
      </c>
      <c r="U154" s="41" t="str">
        <f t="shared" si="50"/>
        <v/>
      </c>
      <c r="V154" s="41" t="str">
        <f t="shared" si="51"/>
        <v/>
      </c>
      <c r="W154" s="41" t="str">
        <f t="shared" si="52"/>
        <v/>
      </c>
      <c r="X154" s="41" t="str">
        <f t="shared" si="53"/>
        <v/>
      </c>
      <c r="Y154" s="41" t="str">
        <f t="shared" si="54"/>
        <v/>
      </c>
    </row>
    <row r="155" spans="2:25" x14ac:dyDescent="0.3">
      <c r="B155" s="36" t="s">
        <v>461</v>
      </c>
      <c r="D155" s="36"/>
      <c r="F155" s="38" t="str">
        <f t="shared" si="41"/>
        <v>UH  101   2          0.0               1</v>
      </c>
      <c r="J155" s="39">
        <f t="shared" si="42"/>
        <v>101</v>
      </c>
      <c r="K155" s="39">
        <f t="shared" si="43"/>
        <v>2</v>
      </c>
      <c r="L155" s="39" t="e">
        <f t="shared" si="39"/>
        <v>#N/A</v>
      </c>
      <c r="M155" s="39">
        <f t="shared" si="40"/>
        <v>-1.2999999999999972</v>
      </c>
      <c r="N155" s="40">
        <f t="shared" si="44"/>
        <v>0</v>
      </c>
      <c r="O155" s="40" t="str">
        <f t="shared" si="45"/>
        <v xml:space="preserve">  0.0</v>
      </c>
      <c r="Q155" s="41" t="e">
        <f t="shared" si="46"/>
        <v>#VALUE!</v>
      </c>
      <c r="R155" s="41" t="str">
        <f t="shared" si="47"/>
        <v/>
      </c>
      <c r="S155" s="41" t="str">
        <f t="shared" si="48"/>
        <v/>
      </c>
      <c r="T155" s="41" t="str">
        <f t="shared" si="49"/>
        <v/>
      </c>
      <c r="U155" s="41" t="str">
        <f t="shared" si="50"/>
        <v/>
      </c>
      <c r="V155" s="41" t="str">
        <f t="shared" si="51"/>
        <v/>
      </c>
      <c r="W155" s="41" t="str">
        <f t="shared" si="52"/>
        <v/>
      </c>
      <c r="X155" s="41" t="str">
        <f t="shared" si="53"/>
        <v/>
      </c>
      <c r="Y155" s="41" t="str">
        <f t="shared" si="54"/>
        <v/>
      </c>
    </row>
    <row r="156" spans="2:25" x14ac:dyDescent="0.3">
      <c r="B156" s="36" t="s">
        <v>587</v>
      </c>
      <c r="D156" s="36"/>
      <c r="F156" s="38" t="str">
        <f t="shared" si="41"/>
        <v>UH  276   6        75.55               1</v>
      </c>
      <c r="J156" s="39">
        <f t="shared" si="42"/>
        <v>276</v>
      </c>
      <c r="K156" s="39">
        <f t="shared" si="43"/>
        <v>1</v>
      </c>
      <c r="L156" s="39" t="str">
        <f t="shared" si="39"/>
        <v xml:space="preserve">   75,3</v>
      </c>
      <c r="M156" s="39">
        <f t="shared" si="40"/>
        <v>0.25</v>
      </c>
      <c r="N156" s="40">
        <f t="shared" si="44"/>
        <v>75.55</v>
      </c>
      <c r="O156" s="40" t="str">
        <f t="shared" si="45"/>
        <v>75.55</v>
      </c>
      <c r="Q156" s="41" t="e">
        <f t="shared" si="46"/>
        <v>#VALUE!</v>
      </c>
      <c r="R156" s="41" t="str">
        <f t="shared" si="47"/>
        <v/>
      </c>
      <c r="S156" s="41" t="str">
        <f t="shared" si="48"/>
        <v/>
      </c>
      <c r="T156" s="41" t="str">
        <f t="shared" si="49"/>
        <v/>
      </c>
      <c r="U156" s="41" t="str">
        <f t="shared" si="50"/>
        <v/>
      </c>
      <c r="V156" s="41" t="str">
        <f t="shared" si="51"/>
        <v/>
      </c>
      <c r="W156" s="41" t="str">
        <f t="shared" si="52"/>
        <v/>
      </c>
      <c r="X156" s="41" t="str">
        <f t="shared" si="53"/>
        <v/>
      </c>
      <c r="Y156" s="41" t="str">
        <f t="shared" si="54"/>
        <v/>
      </c>
    </row>
    <row r="157" spans="2:25" x14ac:dyDescent="0.3">
      <c r="B157" s="36" t="s">
        <v>462</v>
      </c>
      <c r="D157" s="36"/>
      <c r="F157" s="38" t="str">
        <f t="shared" si="41"/>
        <v>UH  102   2          0.0               1</v>
      </c>
      <c r="J157" s="39">
        <f t="shared" si="42"/>
        <v>102</v>
      </c>
      <c r="K157" s="39">
        <f t="shared" si="43"/>
        <v>2</v>
      </c>
      <c r="L157" s="39" t="e">
        <f t="shared" si="39"/>
        <v>#N/A</v>
      </c>
      <c r="M157" s="39">
        <f t="shared" si="40"/>
        <v>-1.2999999999999972</v>
      </c>
      <c r="N157" s="40">
        <f t="shared" si="44"/>
        <v>0</v>
      </c>
      <c r="O157" s="40" t="str">
        <f t="shared" si="45"/>
        <v xml:space="preserve">  0.0</v>
      </c>
      <c r="Q157" s="41" t="e">
        <f t="shared" si="46"/>
        <v>#VALUE!</v>
      </c>
      <c r="R157" s="41" t="str">
        <f t="shared" si="47"/>
        <v/>
      </c>
      <c r="S157" s="41" t="str">
        <f t="shared" si="48"/>
        <v/>
      </c>
      <c r="T157" s="41" t="str">
        <f t="shared" si="49"/>
        <v/>
      </c>
      <c r="U157" s="41" t="str">
        <f t="shared" si="50"/>
        <v/>
      </c>
      <c r="V157" s="41" t="str">
        <f t="shared" si="51"/>
        <v/>
      </c>
      <c r="W157" s="41" t="str">
        <f t="shared" si="52"/>
        <v/>
      </c>
      <c r="X157" s="41" t="str">
        <f t="shared" si="53"/>
        <v/>
      </c>
      <c r="Y157" s="41" t="str">
        <f t="shared" si="54"/>
        <v/>
      </c>
    </row>
    <row r="158" spans="2:25" x14ac:dyDescent="0.3">
      <c r="B158" s="36" t="s">
        <v>463</v>
      </c>
      <c r="D158" s="36"/>
      <c r="F158" s="38" t="str">
        <f t="shared" si="41"/>
        <v>UH  153  10          0.0               1</v>
      </c>
      <c r="J158" s="39">
        <f t="shared" si="42"/>
        <v>153</v>
      </c>
      <c r="K158" s="39">
        <f t="shared" si="43"/>
        <v>1</v>
      </c>
      <c r="L158" s="39" t="e">
        <f t="shared" si="39"/>
        <v>#N/A</v>
      </c>
      <c r="M158" s="39">
        <f t="shared" si="40"/>
        <v>0.25</v>
      </c>
      <c r="N158" s="40">
        <f t="shared" si="44"/>
        <v>0</v>
      </c>
      <c r="O158" s="40" t="str">
        <f t="shared" si="45"/>
        <v xml:space="preserve">  0.0</v>
      </c>
      <c r="Q158" s="41" t="e">
        <f t="shared" si="46"/>
        <v>#VALUE!</v>
      </c>
      <c r="R158" s="41" t="str">
        <f t="shared" si="47"/>
        <v/>
      </c>
      <c r="S158" s="41" t="str">
        <f t="shared" si="48"/>
        <v/>
      </c>
      <c r="T158" s="41" t="str">
        <f t="shared" si="49"/>
        <v/>
      </c>
      <c r="U158" s="41" t="str">
        <f t="shared" si="50"/>
        <v/>
      </c>
      <c r="V158" s="41" t="str">
        <f t="shared" si="51"/>
        <v/>
      </c>
      <c r="W158" s="41" t="str">
        <f t="shared" si="52"/>
        <v/>
      </c>
      <c r="X158" s="41" t="str">
        <f t="shared" si="53"/>
        <v/>
      </c>
      <c r="Y158" s="41" t="str">
        <f t="shared" si="54"/>
        <v/>
      </c>
    </row>
    <row r="159" spans="2:25" x14ac:dyDescent="0.3">
      <c r="B159" s="36" t="s">
        <v>588</v>
      </c>
      <c r="D159" s="36"/>
      <c r="F159" s="38" t="str">
        <f t="shared" si="41"/>
        <v>UH  277   9         44.1               1</v>
      </c>
      <c r="J159" s="39">
        <f t="shared" si="42"/>
        <v>277</v>
      </c>
      <c r="K159" s="39">
        <f t="shared" si="43"/>
        <v>4</v>
      </c>
      <c r="L159" s="39" t="str">
        <f t="shared" si="39"/>
        <v xml:space="preserve">   39,1</v>
      </c>
      <c r="M159" s="39">
        <f t="shared" si="40"/>
        <v>5</v>
      </c>
      <c r="N159" s="40">
        <f t="shared" si="44"/>
        <v>44.1</v>
      </c>
      <c r="O159" s="40" t="str">
        <f t="shared" si="45"/>
        <v>44.1</v>
      </c>
      <c r="Q159" s="41" t="e">
        <f t="shared" si="46"/>
        <v>#VALUE!</v>
      </c>
      <c r="R159" s="41" t="str">
        <f t="shared" si="47"/>
        <v/>
      </c>
      <c r="S159" s="41" t="str">
        <f t="shared" si="48"/>
        <v/>
      </c>
      <c r="T159" s="41" t="str">
        <f t="shared" si="49"/>
        <v/>
      </c>
      <c r="U159" s="41" t="str">
        <f t="shared" si="50"/>
        <v/>
      </c>
      <c r="V159" s="41" t="str">
        <f t="shared" si="51"/>
        <v/>
      </c>
      <c r="W159" s="41" t="str">
        <f t="shared" si="52"/>
        <v/>
      </c>
      <c r="X159" s="41" t="str">
        <f t="shared" si="53"/>
        <v/>
      </c>
      <c r="Y159" s="41" t="str">
        <f t="shared" si="54"/>
        <v/>
      </c>
    </row>
    <row r="160" spans="2:25" x14ac:dyDescent="0.3">
      <c r="B160" s="36" t="s">
        <v>464</v>
      </c>
      <c r="D160" s="36"/>
      <c r="F160" s="38" t="str">
        <f t="shared" si="41"/>
        <v>UH  285   6          0.0               1</v>
      </c>
      <c r="J160" s="39">
        <f t="shared" si="42"/>
        <v>285</v>
      </c>
      <c r="K160" s="39">
        <f t="shared" si="43"/>
        <v>1</v>
      </c>
      <c r="L160" s="39" t="e">
        <f t="shared" si="39"/>
        <v>#N/A</v>
      </c>
      <c r="M160" s="39">
        <f t="shared" si="40"/>
        <v>0.25</v>
      </c>
      <c r="N160" s="40">
        <f t="shared" si="44"/>
        <v>0</v>
      </c>
      <c r="O160" s="40" t="str">
        <f t="shared" si="45"/>
        <v xml:space="preserve">  0.0</v>
      </c>
      <c r="Q160" s="41" t="e">
        <f t="shared" si="46"/>
        <v>#VALUE!</v>
      </c>
      <c r="R160" s="41" t="str">
        <f t="shared" si="47"/>
        <v/>
      </c>
      <c r="S160" s="41" t="str">
        <f t="shared" si="48"/>
        <v/>
      </c>
      <c r="T160" s="41" t="str">
        <f t="shared" si="49"/>
        <v/>
      </c>
      <c r="U160" s="41" t="str">
        <f t="shared" si="50"/>
        <v/>
      </c>
      <c r="V160" s="41" t="str">
        <f t="shared" si="51"/>
        <v/>
      </c>
      <c r="W160" s="41" t="str">
        <f t="shared" si="52"/>
        <v/>
      </c>
      <c r="X160" s="41" t="str">
        <f t="shared" si="53"/>
        <v/>
      </c>
      <c r="Y160" s="41" t="str">
        <f t="shared" si="54"/>
        <v/>
      </c>
    </row>
    <row r="161" spans="2:25" x14ac:dyDescent="0.3">
      <c r="B161" s="36" t="s">
        <v>465</v>
      </c>
      <c r="D161" s="36"/>
      <c r="F161" s="38" t="str">
        <f t="shared" si="41"/>
        <v>UH  286   9          0.0               1</v>
      </c>
      <c r="J161" s="39">
        <f t="shared" si="42"/>
        <v>286</v>
      </c>
      <c r="K161" s="39">
        <f t="shared" si="43"/>
        <v>4</v>
      </c>
      <c r="L161" s="39" t="e">
        <f t="shared" si="39"/>
        <v>#N/A</v>
      </c>
      <c r="M161" s="39">
        <f t="shared" si="40"/>
        <v>5</v>
      </c>
      <c r="N161" s="40">
        <f t="shared" si="44"/>
        <v>0</v>
      </c>
      <c r="O161" s="40" t="str">
        <f t="shared" si="45"/>
        <v xml:space="preserve">  0.0</v>
      </c>
      <c r="Q161" s="41" t="e">
        <f t="shared" si="46"/>
        <v>#VALUE!</v>
      </c>
      <c r="R161" s="41" t="str">
        <f t="shared" si="47"/>
        <v/>
      </c>
      <c r="S161" s="41" t="str">
        <f t="shared" si="48"/>
        <v/>
      </c>
      <c r="T161" s="41" t="str">
        <f t="shared" si="49"/>
        <v/>
      </c>
      <c r="U161" s="41" t="str">
        <f t="shared" si="50"/>
        <v/>
      </c>
      <c r="V161" s="41" t="str">
        <f t="shared" si="51"/>
        <v/>
      </c>
      <c r="W161" s="41" t="str">
        <f t="shared" si="52"/>
        <v/>
      </c>
      <c r="X161" s="41" t="str">
        <f t="shared" si="53"/>
        <v/>
      </c>
      <c r="Y161" s="41" t="str">
        <f t="shared" si="54"/>
        <v/>
      </c>
    </row>
    <row r="162" spans="2:25" x14ac:dyDescent="0.3">
      <c r="B162" s="36" t="s">
        <v>466</v>
      </c>
      <c r="D162" s="36"/>
      <c r="F162" s="38" t="str">
        <f t="shared" si="41"/>
        <v>UH  284   9          0.0               1</v>
      </c>
      <c r="J162" s="39">
        <f t="shared" si="42"/>
        <v>284</v>
      </c>
      <c r="K162" s="39">
        <f t="shared" si="43"/>
        <v>4</v>
      </c>
      <c r="L162" s="39" t="e">
        <f t="shared" si="39"/>
        <v>#N/A</v>
      </c>
      <c r="M162" s="39">
        <f t="shared" si="40"/>
        <v>5</v>
      </c>
      <c r="N162" s="40">
        <f t="shared" si="44"/>
        <v>0</v>
      </c>
      <c r="O162" s="40" t="str">
        <f t="shared" si="45"/>
        <v xml:space="preserve">  0.0</v>
      </c>
      <c r="Q162" s="41" t="e">
        <f t="shared" si="46"/>
        <v>#VALUE!</v>
      </c>
      <c r="R162" s="41" t="str">
        <f t="shared" si="47"/>
        <v/>
      </c>
      <c r="S162" s="41" t="str">
        <f t="shared" si="48"/>
        <v/>
      </c>
      <c r="T162" s="41" t="str">
        <f t="shared" si="49"/>
        <v/>
      </c>
      <c r="U162" s="41" t="str">
        <f t="shared" si="50"/>
        <v/>
      </c>
      <c r="V162" s="41" t="str">
        <f t="shared" si="51"/>
        <v/>
      </c>
      <c r="W162" s="41" t="str">
        <f t="shared" si="52"/>
        <v/>
      </c>
      <c r="X162" s="41" t="str">
        <f t="shared" si="53"/>
        <v/>
      </c>
      <c r="Y162" s="41" t="str">
        <f t="shared" si="54"/>
        <v/>
      </c>
    </row>
    <row r="163" spans="2:25" x14ac:dyDescent="0.3">
      <c r="B163" s="36" t="s">
        <v>467</v>
      </c>
      <c r="D163" s="36"/>
      <c r="F163" s="38" t="str">
        <f t="shared" si="41"/>
        <v>UH  229   7          0.0               1</v>
      </c>
      <c r="J163" s="39">
        <f t="shared" si="42"/>
        <v>229</v>
      </c>
      <c r="K163" s="39">
        <f t="shared" si="43"/>
        <v>1</v>
      </c>
      <c r="L163" s="39" t="e">
        <f t="shared" si="39"/>
        <v>#N/A</v>
      </c>
      <c r="M163" s="39">
        <f t="shared" si="40"/>
        <v>0.25</v>
      </c>
      <c r="N163" s="40">
        <f t="shared" si="44"/>
        <v>0</v>
      </c>
      <c r="O163" s="40" t="str">
        <f t="shared" si="45"/>
        <v xml:space="preserve">  0.0</v>
      </c>
      <c r="Q163" s="41" t="e">
        <f t="shared" si="46"/>
        <v>#VALUE!</v>
      </c>
      <c r="R163" s="41" t="str">
        <f t="shared" si="47"/>
        <v/>
      </c>
      <c r="S163" s="41" t="str">
        <f t="shared" si="48"/>
        <v/>
      </c>
      <c r="T163" s="41" t="str">
        <f t="shared" si="49"/>
        <v/>
      </c>
      <c r="U163" s="41" t="str">
        <f t="shared" si="50"/>
        <v/>
      </c>
      <c r="V163" s="41" t="str">
        <f t="shared" si="51"/>
        <v/>
      </c>
      <c r="W163" s="41" t="str">
        <f t="shared" si="52"/>
        <v/>
      </c>
      <c r="X163" s="41" t="str">
        <f t="shared" si="53"/>
        <v/>
      </c>
      <c r="Y163" s="41" t="str">
        <f t="shared" si="54"/>
        <v/>
      </c>
    </row>
    <row r="164" spans="2:25" x14ac:dyDescent="0.3">
      <c r="B164" s="36" t="s">
        <v>468</v>
      </c>
      <c r="D164" s="36"/>
      <c r="F164" s="38" t="str">
        <f t="shared" si="41"/>
        <v>UH  192   1          0.0               1</v>
      </c>
      <c r="J164" s="39">
        <f t="shared" si="42"/>
        <v>192</v>
      </c>
      <c r="K164" s="39">
        <f t="shared" si="43"/>
        <v>1</v>
      </c>
      <c r="L164" s="39" t="e">
        <f t="shared" si="39"/>
        <v>#N/A</v>
      </c>
      <c r="M164" s="39">
        <f t="shared" si="40"/>
        <v>0.25</v>
      </c>
      <c r="N164" s="40">
        <f t="shared" si="44"/>
        <v>0</v>
      </c>
      <c r="O164" s="40" t="str">
        <f t="shared" si="45"/>
        <v xml:space="preserve">  0.0</v>
      </c>
      <c r="Q164" s="41" t="e">
        <f t="shared" si="46"/>
        <v>#VALUE!</v>
      </c>
      <c r="R164" s="41" t="str">
        <f t="shared" si="47"/>
        <v/>
      </c>
      <c r="S164" s="41" t="str">
        <f t="shared" si="48"/>
        <v/>
      </c>
      <c r="T164" s="41" t="str">
        <f t="shared" si="49"/>
        <v/>
      </c>
      <c r="U164" s="41" t="str">
        <f t="shared" si="50"/>
        <v/>
      </c>
      <c r="V164" s="41" t="str">
        <f t="shared" si="51"/>
        <v/>
      </c>
      <c r="W164" s="41" t="str">
        <f t="shared" si="52"/>
        <v/>
      </c>
      <c r="X164" s="41" t="str">
        <f t="shared" si="53"/>
        <v/>
      </c>
      <c r="Y164" s="41" t="str">
        <f t="shared" si="54"/>
        <v/>
      </c>
    </row>
    <row r="165" spans="2:25" x14ac:dyDescent="0.3">
      <c r="B165" s="36" t="s">
        <v>469</v>
      </c>
      <c r="D165" s="36"/>
      <c r="F165" s="38" t="str">
        <f t="shared" si="41"/>
        <v>UH  230   7          0.0               1</v>
      </c>
      <c r="J165" s="39">
        <f t="shared" si="42"/>
        <v>230</v>
      </c>
      <c r="K165" s="39">
        <f t="shared" si="43"/>
        <v>1</v>
      </c>
      <c r="L165" s="39" t="e">
        <f t="shared" si="39"/>
        <v>#N/A</v>
      </c>
      <c r="M165" s="39">
        <f t="shared" si="40"/>
        <v>0.25</v>
      </c>
      <c r="N165" s="40">
        <f t="shared" si="44"/>
        <v>0</v>
      </c>
      <c r="O165" s="40" t="str">
        <f t="shared" si="45"/>
        <v xml:space="preserve">  0.0</v>
      </c>
      <c r="Q165" s="41" t="e">
        <f t="shared" si="46"/>
        <v>#VALUE!</v>
      </c>
      <c r="R165" s="41" t="str">
        <f t="shared" si="47"/>
        <v/>
      </c>
      <c r="S165" s="41" t="str">
        <f t="shared" si="48"/>
        <v/>
      </c>
      <c r="T165" s="41" t="str">
        <f t="shared" si="49"/>
        <v/>
      </c>
      <c r="U165" s="41" t="str">
        <f t="shared" si="50"/>
        <v/>
      </c>
      <c r="V165" s="41" t="str">
        <f t="shared" si="51"/>
        <v/>
      </c>
      <c r="W165" s="41" t="str">
        <f t="shared" si="52"/>
        <v/>
      </c>
      <c r="X165" s="41" t="str">
        <f t="shared" si="53"/>
        <v/>
      </c>
      <c r="Y165" s="41" t="str">
        <f t="shared" si="54"/>
        <v/>
      </c>
    </row>
    <row r="166" spans="2:25" x14ac:dyDescent="0.3">
      <c r="B166" s="36" t="s">
        <v>589</v>
      </c>
      <c r="D166" s="36"/>
      <c r="F166" s="38" t="str">
        <f t="shared" si="41"/>
        <v>UH   33  10        53.15               1</v>
      </c>
      <c r="J166" s="39">
        <f t="shared" si="42"/>
        <v>33</v>
      </c>
      <c r="K166" s="39">
        <f t="shared" si="43"/>
        <v>1</v>
      </c>
      <c r="L166" s="39" t="str">
        <f t="shared" si="39"/>
        <v xml:space="preserve">   52,9</v>
      </c>
      <c r="M166" s="39">
        <f t="shared" si="40"/>
        <v>0.25</v>
      </c>
      <c r="N166" s="40">
        <f t="shared" si="44"/>
        <v>53.15</v>
      </c>
      <c r="O166" s="40" t="str">
        <f t="shared" si="45"/>
        <v>53.15</v>
      </c>
      <c r="Q166" s="41" t="e">
        <f t="shared" si="46"/>
        <v>#VALUE!</v>
      </c>
      <c r="R166" s="41" t="str">
        <f t="shared" si="47"/>
        <v/>
      </c>
      <c r="S166" s="41" t="str">
        <f t="shared" si="48"/>
        <v/>
      </c>
      <c r="T166" s="41" t="str">
        <f t="shared" si="49"/>
        <v/>
      </c>
      <c r="U166" s="41" t="str">
        <f t="shared" si="50"/>
        <v/>
      </c>
      <c r="V166" s="41" t="str">
        <f t="shared" si="51"/>
        <v/>
      </c>
      <c r="W166" s="41" t="str">
        <f t="shared" si="52"/>
        <v/>
      </c>
      <c r="X166" s="41" t="str">
        <f t="shared" si="53"/>
        <v/>
      </c>
      <c r="Y166" s="41" t="str">
        <f t="shared" si="54"/>
        <v/>
      </c>
    </row>
    <row r="167" spans="2:25" x14ac:dyDescent="0.3">
      <c r="B167" s="36" t="s">
        <v>590</v>
      </c>
      <c r="D167" s="36"/>
      <c r="F167" s="38" t="str">
        <f t="shared" si="41"/>
        <v>UH   34  10        49.05               1</v>
      </c>
      <c r="J167" s="39">
        <f t="shared" si="42"/>
        <v>34</v>
      </c>
      <c r="K167" s="39">
        <f t="shared" si="43"/>
        <v>1</v>
      </c>
      <c r="L167" s="39" t="str">
        <f t="shared" si="39"/>
        <v xml:space="preserve">   48,8</v>
      </c>
      <c r="M167" s="39">
        <f t="shared" si="40"/>
        <v>0.25</v>
      </c>
      <c r="N167" s="40">
        <f t="shared" si="44"/>
        <v>49.05</v>
      </c>
      <c r="O167" s="40" t="str">
        <f t="shared" si="45"/>
        <v>49.05</v>
      </c>
      <c r="Q167" s="41" t="e">
        <f t="shared" si="46"/>
        <v>#VALUE!</v>
      </c>
      <c r="R167" s="41" t="str">
        <f t="shared" si="47"/>
        <v/>
      </c>
      <c r="S167" s="41" t="str">
        <f t="shared" si="48"/>
        <v/>
      </c>
      <c r="T167" s="41" t="str">
        <f t="shared" si="49"/>
        <v/>
      </c>
      <c r="U167" s="41" t="str">
        <f t="shared" si="50"/>
        <v/>
      </c>
      <c r="V167" s="41" t="str">
        <f t="shared" si="51"/>
        <v/>
      </c>
      <c r="W167" s="41" t="str">
        <f t="shared" si="52"/>
        <v/>
      </c>
      <c r="X167" s="41" t="str">
        <f t="shared" si="53"/>
        <v/>
      </c>
      <c r="Y167" s="41" t="str">
        <f t="shared" si="54"/>
        <v/>
      </c>
    </row>
    <row r="168" spans="2:25" x14ac:dyDescent="0.3">
      <c r="B168" s="36" t="s">
        <v>470</v>
      </c>
      <c r="D168" s="36"/>
      <c r="F168" s="38" t="str">
        <f t="shared" si="41"/>
        <v>UH   45  10          0.0               1</v>
      </c>
      <c r="J168" s="39">
        <f t="shared" si="42"/>
        <v>45</v>
      </c>
      <c r="K168" s="39">
        <f t="shared" si="43"/>
        <v>1</v>
      </c>
      <c r="L168" s="39" t="e">
        <f t="shared" si="39"/>
        <v>#N/A</v>
      </c>
      <c r="M168" s="39">
        <f t="shared" si="40"/>
        <v>0.25</v>
      </c>
      <c r="N168" s="40">
        <f t="shared" si="44"/>
        <v>0</v>
      </c>
      <c r="O168" s="40" t="str">
        <f t="shared" si="45"/>
        <v xml:space="preserve">  0.0</v>
      </c>
      <c r="Q168" s="41" t="e">
        <f t="shared" si="46"/>
        <v>#VALUE!</v>
      </c>
      <c r="R168" s="41" t="str">
        <f t="shared" si="47"/>
        <v/>
      </c>
      <c r="S168" s="41" t="str">
        <f t="shared" si="48"/>
        <v/>
      </c>
      <c r="T168" s="41" t="str">
        <f t="shared" si="49"/>
        <v/>
      </c>
      <c r="U168" s="41" t="str">
        <f t="shared" si="50"/>
        <v/>
      </c>
      <c r="V168" s="41" t="str">
        <f t="shared" si="51"/>
        <v/>
      </c>
      <c r="W168" s="41" t="str">
        <f t="shared" si="52"/>
        <v/>
      </c>
      <c r="X168" s="41" t="str">
        <f t="shared" si="53"/>
        <v/>
      </c>
      <c r="Y168" s="41" t="str">
        <f t="shared" si="54"/>
        <v/>
      </c>
    </row>
    <row r="169" spans="2:25" x14ac:dyDescent="0.3">
      <c r="B169" s="36" t="s">
        <v>591</v>
      </c>
      <c r="D169" s="36"/>
      <c r="F169" s="38" t="str">
        <f t="shared" si="41"/>
        <v>UH   43  10        48.95               1</v>
      </c>
      <c r="J169" s="39">
        <f t="shared" si="42"/>
        <v>43</v>
      </c>
      <c r="K169" s="39">
        <f t="shared" si="43"/>
        <v>1</v>
      </c>
      <c r="L169" s="39" t="str">
        <f t="shared" si="39"/>
        <v xml:space="preserve">   48,7</v>
      </c>
      <c r="M169" s="39">
        <f t="shared" si="40"/>
        <v>0.25</v>
      </c>
      <c r="N169" s="40">
        <f t="shared" si="44"/>
        <v>48.95</v>
      </c>
      <c r="O169" s="40" t="str">
        <f t="shared" si="45"/>
        <v>48.95</v>
      </c>
      <c r="Q169" s="41" t="e">
        <f t="shared" si="46"/>
        <v>#VALUE!</v>
      </c>
      <c r="R169" s="41" t="str">
        <f t="shared" si="47"/>
        <v/>
      </c>
      <c r="S169" s="41" t="str">
        <f t="shared" si="48"/>
        <v/>
      </c>
      <c r="T169" s="41" t="str">
        <f t="shared" si="49"/>
        <v/>
      </c>
      <c r="U169" s="41" t="str">
        <f t="shared" si="50"/>
        <v/>
      </c>
      <c r="V169" s="41" t="str">
        <f t="shared" si="51"/>
        <v/>
      </c>
      <c r="W169" s="41" t="str">
        <f t="shared" si="52"/>
        <v/>
      </c>
      <c r="X169" s="41" t="str">
        <f t="shared" si="53"/>
        <v/>
      </c>
      <c r="Y169" s="41" t="str">
        <f t="shared" si="54"/>
        <v/>
      </c>
    </row>
    <row r="170" spans="2:25" x14ac:dyDescent="0.3">
      <c r="B170" s="36" t="s">
        <v>471</v>
      </c>
      <c r="D170" s="36"/>
      <c r="F170" s="38" t="str">
        <f t="shared" si="41"/>
        <v>UH  288   8          0.0               1                            0</v>
      </c>
      <c r="J170" s="39">
        <f t="shared" si="42"/>
        <v>288</v>
      </c>
      <c r="K170" s="39">
        <f t="shared" si="43"/>
        <v>4</v>
      </c>
      <c r="L170" s="39" t="e">
        <f t="shared" si="39"/>
        <v>#N/A</v>
      </c>
      <c r="M170" s="39">
        <f t="shared" si="40"/>
        <v>5</v>
      </c>
      <c r="N170" s="40">
        <f t="shared" si="44"/>
        <v>0</v>
      </c>
      <c r="O170" s="40" t="str">
        <f t="shared" si="45"/>
        <v xml:space="preserve">  0.0</v>
      </c>
      <c r="Q170" s="41" t="e">
        <f t="shared" si="46"/>
        <v>#VALUE!</v>
      </c>
      <c r="R170" s="41" t="str">
        <f t="shared" si="47"/>
        <v/>
      </c>
      <c r="S170" s="41" t="str">
        <f t="shared" si="48"/>
        <v/>
      </c>
      <c r="T170" s="41" t="str">
        <f t="shared" si="49"/>
        <v/>
      </c>
      <c r="U170" s="41" t="str">
        <f t="shared" si="50"/>
        <v/>
      </c>
      <c r="V170" s="41" t="str">
        <f t="shared" si="51"/>
        <v/>
      </c>
      <c r="W170" s="41" t="str">
        <f t="shared" si="52"/>
        <v/>
      </c>
      <c r="X170" s="41" t="str">
        <f t="shared" si="53"/>
        <v/>
      </c>
      <c r="Y170" s="41" t="str">
        <f t="shared" si="54"/>
        <v/>
      </c>
    </row>
    <row r="171" spans="2:25" x14ac:dyDescent="0.3">
      <c r="B171" s="36" t="s">
        <v>472</v>
      </c>
      <c r="D171" s="36"/>
      <c r="F171" s="38" t="str">
        <f t="shared" si="41"/>
        <v>UH  314   8          0.0               1</v>
      </c>
      <c r="J171" s="39">
        <f t="shared" si="42"/>
        <v>314</v>
      </c>
      <c r="K171" s="39">
        <f t="shared" si="43"/>
        <v>4</v>
      </c>
      <c r="L171" s="39" t="e">
        <f t="shared" ref="L171:L200" si="55">SUBSTITUTE(VLOOKUP(J171,$Q$11:$Y$200,L$10,0),".",",")</f>
        <v>#N/A</v>
      </c>
      <c r="M171" s="39">
        <f t="shared" ref="M171:M200" si="56">VLOOKUP(K171,$AA$27:$AB$30,2,0)</f>
        <v>5</v>
      </c>
      <c r="N171" s="40">
        <f t="shared" si="44"/>
        <v>0</v>
      </c>
      <c r="O171" s="40" t="str">
        <f t="shared" si="45"/>
        <v xml:space="preserve">  0.0</v>
      </c>
      <c r="Q171" s="41" t="e">
        <f t="shared" si="46"/>
        <v>#VALUE!</v>
      </c>
      <c r="R171" s="41" t="str">
        <f t="shared" si="47"/>
        <v/>
      </c>
      <c r="S171" s="41" t="str">
        <f t="shared" si="48"/>
        <v/>
      </c>
      <c r="T171" s="41" t="str">
        <f t="shared" si="49"/>
        <v/>
      </c>
      <c r="U171" s="41" t="str">
        <f t="shared" si="50"/>
        <v/>
      </c>
      <c r="V171" s="41" t="str">
        <f t="shared" si="51"/>
        <v/>
      </c>
      <c r="W171" s="41" t="str">
        <f t="shared" si="52"/>
        <v/>
      </c>
      <c r="X171" s="41" t="str">
        <f t="shared" si="53"/>
        <v/>
      </c>
      <c r="Y171" s="41" t="str">
        <f t="shared" si="54"/>
        <v/>
      </c>
    </row>
    <row r="172" spans="2:25" x14ac:dyDescent="0.3">
      <c r="B172" s="36"/>
      <c r="D172" s="36"/>
      <c r="F172" s="38" t="str">
        <f t="shared" si="41"/>
        <v/>
      </c>
      <c r="J172" s="39" t="str">
        <f t="shared" si="42"/>
        <v/>
      </c>
      <c r="K172" s="39" t="str">
        <f t="shared" si="43"/>
        <v/>
      </c>
      <c r="L172" s="39" t="e">
        <f t="shared" si="55"/>
        <v>#N/A</v>
      </c>
      <c r="M172" s="39" t="e">
        <f t="shared" si="56"/>
        <v>#N/A</v>
      </c>
      <c r="N172" s="40">
        <f t="shared" si="44"/>
        <v>0</v>
      </c>
      <c r="O172" s="40" t="str">
        <f t="shared" si="45"/>
        <v xml:space="preserve">  0.0</v>
      </c>
      <c r="Q172" s="41" t="e">
        <f t="shared" si="46"/>
        <v>#VALUE!</v>
      </c>
      <c r="R172" s="41" t="str">
        <f t="shared" si="47"/>
        <v/>
      </c>
      <c r="S172" s="41" t="str">
        <f t="shared" si="48"/>
        <v/>
      </c>
      <c r="T172" s="41" t="str">
        <f t="shared" si="49"/>
        <v/>
      </c>
      <c r="U172" s="41" t="str">
        <f t="shared" si="50"/>
        <v/>
      </c>
      <c r="V172" s="41" t="str">
        <f t="shared" si="51"/>
        <v/>
      </c>
      <c r="W172" s="41" t="str">
        <f t="shared" si="52"/>
        <v/>
      </c>
      <c r="X172" s="41" t="str">
        <f t="shared" si="53"/>
        <v/>
      </c>
      <c r="Y172" s="41" t="str">
        <f t="shared" si="54"/>
        <v/>
      </c>
    </row>
    <row r="173" spans="2:25" x14ac:dyDescent="0.3">
      <c r="B173" s="36"/>
      <c r="D173" s="36"/>
      <c r="F173" s="38" t="str">
        <f t="shared" si="41"/>
        <v/>
      </c>
      <c r="J173" s="39" t="str">
        <f t="shared" si="42"/>
        <v/>
      </c>
      <c r="K173" s="39" t="str">
        <f t="shared" si="43"/>
        <v/>
      </c>
      <c r="L173" s="39" t="e">
        <f t="shared" si="55"/>
        <v>#N/A</v>
      </c>
      <c r="M173" s="39" t="e">
        <f t="shared" si="56"/>
        <v>#N/A</v>
      </c>
      <c r="N173" s="40">
        <f t="shared" si="44"/>
        <v>0</v>
      </c>
      <c r="O173" s="40" t="str">
        <f t="shared" si="45"/>
        <v xml:space="preserve">  0.0</v>
      </c>
      <c r="Q173" s="41" t="e">
        <f t="shared" si="46"/>
        <v>#VALUE!</v>
      </c>
      <c r="R173" s="41" t="str">
        <f t="shared" si="47"/>
        <v/>
      </c>
      <c r="S173" s="41" t="str">
        <f t="shared" si="48"/>
        <v/>
      </c>
      <c r="T173" s="41" t="str">
        <f t="shared" si="49"/>
        <v/>
      </c>
      <c r="U173" s="41" t="str">
        <f t="shared" si="50"/>
        <v/>
      </c>
      <c r="V173" s="41" t="str">
        <f t="shared" si="51"/>
        <v/>
      </c>
      <c r="W173" s="41" t="str">
        <f t="shared" si="52"/>
        <v/>
      </c>
      <c r="X173" s="41" t="str">
        <f t="shared" si="53"/>
        <v/>
      </c>
      <c r="Y173" s="41" t="str">
        <f t="shared" si="54"/>
        <v/>
      </c>
    </row>
    <row r="174" spans="2:25" x14ac:dyDescent="0.3">
      <c r="B174" s="36"/>
      <c r="D174" s="36"/>
      <c r="F174" s="38" t="str">
        <f t="shared" si="41"/>
        <v/>
      </c>
      <c r="J174" s="39" t="str">
        <f t="shared" si="42"/>
        <v/>
      </c>
      <c r="K174" s="39" t="str">
        <f t="shared" si="43"/>
        <v/>
      </c>
      <c r="L174" s="39" t="e">
        <f t="shared" si="55"/>
        <v>#N/A</v>
      </c>
      <c r="M174" s="39" t="e">
        <f t="shared" si="56"/>
        <v>#N/A</v>
      </c>
      <c r="N174" s="40">
        <f t="shared" si="44"/>
        <v>0</v>
      </c>
      <c r="O174" s="40" t="str">
        <f t="shared" si="45"/>
        <v xml:space="preserve">  0.0</v>
      </c>
      <c r="Q174" s="41" t="e">
        <f t="shared" si="46"/>
        <v>#VALUE!</v>
      </c>
      <c r="R174" s="41" t="str">
        <f t="shared" si="47"/>
        <v/>
      </c>
      <c r="S174" s="41" t="str">
        <f t="shared" si="48"/>
        <v/>
      </c>
      <c r="T174" s="41" t="str">
        <f t="shared" si="49"/>
        <v/>
      </c>
      <c r="U174" s="41" t="str">
        <f t="shared" si="50"/>
        <v/>
      </c>
      <c r="V174" s="41" t="str">
        <f t="shared" si="51"/>
        <v/>
      </c>
      <c r="W174" s="41" t="str">
        <f t="shared" si="52"/>
        <v/>
      </c>
      <c r="X174" s="41" t="str">
        <f t="shared" si="53"/>
        <v/>
      </c>
      <c r="Y174" s="41" t="str">
        <f t="shared" si="54"/>
        <v/>
      </c>
    </row>
    <row r="175" spans="2:25" x14ac:dyDescent="0.3">
      <c r="B175" s="36"/>
      <c r="D175" s="36"/>
      <c r="F175" s="38" t="str">
        <f t="shared" si="41"/>
        <v/>
      </c>
      <c r="J175" s="39" t="str">
        <f t="shared" si="42"/>
        <v/>
      </c>
      <c r="K175" s="39" t="str">
        <f t="shared" si="43"/>
        <v/>
      </c>
      <c r="L175" s="39" t="e">
        <f t="shared" si="55"/>
        <v>#N/A</v>
      </c>
      <c r="M175" s="39" t="e">
        <f t="shared" si="56"/>
        <v>#N/A</v>
      </c>
      <c r="N175" s="40">
        <f t="shared" si="44"/>
        <v>0</v>
      </c>
      <c r="O175" s="40" t="str">
        <f t="shared" si="45"/>
        <v xml:space="preserve">  0.0</v>
      </c>
      <c r="Q175" s="41" t="e">
        <f t="shared" si="46"/>
        <v>#VALUE!</v>
      </c>
      <c r="R175" s="41" t="str">
        <f t="shared" si="47"/>
        <v/>
      </c>
      <c r="S175" s="41" t="str">
        <f t="shared" si="48"/>
        <v/>
      </c>
      <c r="T175" s="41" t="str">
        <f t="shared" si="49"/>
        <v/>
      </c>
      <c r="U175" s="41" t="str">
        <f t="shared" si="50"/>
        <v/>
      </c>
      <c r="V175" s="41" t="str">
        <f t="shared" si="51"/>
        <v/>
      </c>
      <c r="W175" s="41" t="str">
        <f t="shared" si="52"/>
        <v/>
      </c>
      <c r="X175" s="41" t="str">
        <f t="shared" si="53"/>
        <v/>
      </c>
      <c r="Y175" s="41" t="str">
        <f t="shared" si="54"/>
        <v/>
      </c>
    </row>
    <row r="176" spans="2:25" x14ac:dyDescent="0.3">
      <c r="B176" s="36"/>
      <c r="D176" s="36"/>
      <c r="F176" s="38" t="str">
        <f t="shared" si="41"/>
        <v/>
      </c>
      <c r="J176" s="39" t="str">
        <f t="shared" si="42"/>
        <v/>
      </c>
      <c r="K176" s="39" t="str">
        <f t="shared" si="43"/>
        <v/>
      </c>
      <c r="L176" s="39" t="e">
        <f t="shared" si="55"/>
        <v>#N/A</v>
      </c>
      <c r="M176" s="39" t="e">
        <f t="shared" si="56"/>
        <v>#N/A</v>
      </c>
      <c r="N176" s="40">
        <f t="shared" si="44"/>
        <v>0</v>
      </c>
      <c r="O176" s="40" t="str">
        <f t="shared" si="45"/>
        <v xml:space="preserve">  0.0</v>
      </c>
      <c r="Q176" s="41" t="e">
        <f t="shared" si="46"/>
        <v>#VALUE!</v>
      </c>
      <c r="R176" s="41" t="str">
        <f t="shared" si="47"/>
        <v/>
      </c>
      <c r="S176" s="41" t="str">
        <f t="shared" si="48"/>
        <v/>
      </c>
      <c r="T176" s="41" t="str">
        <f t="shared" si="49"/>
        <v/>
      </c>
      <c r="U176" s="41" t="str">
        <f t="shared" si="50"/>
        <v/>
      </c>
      <c r="V176" s="41" t="str">
        <f t="shared" si="51"/>
        <v/>
      </c>
      <c r="W176" s="41" t="str">
        <f t="shared" si="52"/>
        <v/>
      </c>
      <c r="X176" s="41" t="str">
        <f t="shared" si="53"/>
        <v/>
      </c>
      <c r="Y176" s="41" t="str">
        <f t="shared" si="54"/>
        <v/>
      </c>
    </row>
    <row r="177" spans="2:25" x14ac:dyDescent="0.3">
      <c r="B177" s="36"/>
      <c r="D177" s="36"/>
      <c r="F177" s="38" t="str">
        <f t="shared" si="41"/>
        <v/>
      </c>
      <c r="J177" s="39" t="str">
        <f t="shared" si="42"/>
        <v/>
      </c>
      <c r="K177" s="39" t="str">
        <f t="shared" si="43"/>
        <v/>
      </c>
      <c r="L177" s="39" t="e">
        <f t="shared" si="55"/>
        <v>#N/A</v>
      </c>
      <c r="M177" s="39" t="e">
        <f t="shared" si="56"/>
        <v>#N/A</v>
      </c>
      <c r="N177" s="40">
        <f t="shared" si="44"/>
        <v>0</v>
      </c>
      <c r="O177" s="40" t="str">
        <f t="shared" si="45"/>
        <v xml:space="preserve">  0.0</v>
      </c>
      <c r="Q177" s="41" t="e">
        <f t="shared" si="46"/>
        <v>#VALUE!</v>
      </c>
      <c r="R177" s="41" t="str">
        <f t="shared" si="47"/>
        <v/>
      </c>
      <c r="S177" s="41" t="str">
        <f t="shared" si="48"/>
        <v/>
      </c>
      <c r="T177" s="41" t="str">
        <f t="shared" si="49"/>
        <v/>
      </c>
      <c r="U177" s="41" t="str">
        <f t="shared" si="50"/>
        <v/>
      </c>
      <c r="V177" s="41" t="str">
        <f t="shared" si="51"/>
        <v/>
      </c>
      <c r="W177" s="41" t="str">
        <f t="shared" si="52"/>
        <v/>
      </c>
      <c r="X177" s="41" t="str">
        <f t="shared" si="53"/>
        <v/>
      </c>
      <c r="Y177" s="41" t="str">
        <f t="shared" si="54"/>
        <v/>
      </c>
    </row>
    <row r="178" spans="2:25" x14ac:dyDescent="0.3">
      <c r="B178" s="36"/>
      <c r="D178" s="36"/>
      <c r="F178" s="38" t="str">
        <f t="shared" si="41"/>
        <v/>
      </c>
      <c r="J178" s="39" t="str">
        <f t="shared" si="42"/>
        <v/>
      </c>
      <c r="K178" s="39" t="str">
        <f t="shared" si="43"/>
        <v/>
      </c>
      <c r="L178" s="39" t="e">
        <f t="shared" si="55"/>
        <v>#N/A</v>
      </c>
      <c r="M178" s="39" t="e">
        <f t="shared" si="56"/>
        <v>#N/A</v>
      </c>
      <c r="N178" s="40">
        <f t="shared" si="44"/>
        <v>0</v>
      </c>
      <c r="O178" s="40" t="str">
        <f t="shared" si="45"/>
        <v xml:space="preserve">  0.0</v>
      </c>
      <c r="Q178" s="41" t="e">
        <f t="shared" si="46"/>
        <v>#VALUE!</v>
      </c>
      <c r="R178" s="41" t="str">
        <f t="shared" si="47"/>
        <v/>
      </c>
      <c r="S178" s="41" t="str">
        <f t="shared" si="48"/>
        <v/>
      </c>
      <c r="T178" s="41" t="str">
        <f t="shared" si="49"/>
        <v/>
      </c>
      <c r="U178" s="41" t="str">
        <f t="shared" si="50"/>
        <v/>
      </c>
      <c r="V178" s="41" t="str">
        <f t="shared" si="51"/>
        <v/>
      </c>
      <c r="W178" s="41" t="str">
        <f t="shared" si="52"/>
        <v/>
      </c>
      <c r="X178" s="41" t="str">
        <f t="shared" si="53"/>
        <v/>
      </c>
      <c r="Y178" s="41" t="str">
        <f t="shared" si="54"/>
        <v/>
      </c>
    </row>
    <row r="179" spans="2:25" x14ac:dyDescent="0.3">
      <c r="B179" s="36"/>
      <c r="D179" s="36"/>
      <c r="F179" s="38" t="str">
        <f t="shared" si="41"/>
        <v/>
      </c>
      <c r="J179" s="39" t="str">
        <f t="shared" si="42"/>
        <v/>
      </c>
      <c r="K179" s="39" t="str">
        <f t="shared" si="43"/>
        <v/>
      </c>
      <c r="L179" s="39" t="e">
        <f t="shared" si="55"/>
        <v>#N/A</v>
      </c>
      <c r="M179" s="39" t="e">
        <f t="shared" si="56"/>
        <v>#N/A</v>
      </c>
      <c r="N179" s="40">
        <f t="shared" si="44"/>
        <v>0</v>
      </c>
      <c r="O179" s="40" t="str">
        <f t="shared" si="45"/>
        <v xml:space="preserve">  0.0</v>
      </c>
      <c r="Q179" s="41" t="e">
        <f t="shared" si="46"/>
        <v>#VALUE!</v>
      </c>
      <c r="R179" s="41" t="str">
        <f t="shared" si="47"/>
        <v/>
      </c>
      <c r="S179" s="41" t="str">
        <f t="shared" si="48"/>
        <v/>
      </c>
      <c r="T179" s="41" t="str">
        <f t="shared" si="49"/>
        <v/>
      </c>
      <c r="U179" s="41" t="str">
        <f t="shared" si="50"/>
        <v/>
      </c>
      <c r="V179" s="41" t="str">
        <f t="shared" si="51"/>
        <v/>
      </c>
      <c r="W179" s="41" t="str">
        <f t="shared" si="52"/>
        <v/>
      </c>
      <c r="X179" s="41" t="str">
        <f t="shared" si="53"/>
        <v/>
      </c>
      <c r="Y179" s="41" t="str">
        <f t="shared" si="54"/>
        <v/>
      </c>
    </row>
    <row r="180" spans="2:25" x14ac:dyDescent="0.3">
      <c r="B180" s="36"/>
      <c r="D180" s="36"/>
      <c r="F180" s="38" t="str">
        <f t="shared" si="41"/>
        <v/>
      </c>
      <c r="J180" s="39" t="str">
        <f t="shared" si="42"/>
        <v/>
      </c>
      <c r="K180" s="39" t="str">
        <f t="shared" si="43"/>
        <v/>
      </c>
      <c r="L180" s="39" t="e">
        <f t="shared" si="55"/>
        <v>#N/A</v>
      </c>
      <c r="M180" s="39" t="e">
        <f t="shared" si="56"/>
        <v>#N/A</v>
      </c>
      <c r="N180" s="40">
        <f t="shared" si="44"/>
        <v>0</v>
      </c>
      <c r="O180" s="40" t="str">
        <f t="shared" si="45"/>
        <v xml:space="preserve">  0.0</v>
      </c>
      <c r="Q180" s="41" t="e">
        <f t="shared" si="46"/>
        <v>#VALUE!</v>
      </c>
      <c r="R180" s="41" t="str">
        <f t="shared" si="47"/>
        <v/>
      </c>
      <c r="S180" s="41" t="str">
        <f t="shared" si="48"/>
        <v/>
      </c>
      <c r="T180" s="41" t="str">
        <f t="shared" si="49"/>
        <v/>
      </c>
      <c r="U180" s="41" t="str">
        <f t="shared" si="50"/>
        <v/>
      </c>
      <c r="V180" s="41" t="str">
        <f t="shared" si="51"/>
        <v/>
      </c>
      <c r="W180" s="41" t="str">
        <f t="shared" si="52"/>
        <v/>
      </c>
      <c r="X180" s="41" t="str">
        <f t="shared" si="53"/>
        <v/>
      </c>
      <c r="Y180" s="41" t="str">
        <f t="shared" si="54"/>
        <v/>
      </c>
    </row>
    <row r="181" spans="2:25" x14ac:dyDescent="0.3">
      <c r="B181" s="36"/>
      <c r="D181" s="36"/>
      <c r="F181" s="38" t="str">
        <f t="shared" si="41"/>
        <v/>
      </c>
      <c r="J181" s="39" t="str">
        <f t="shared" si="42"/>
        <v/>
      </c>
      <c r="K181" s="39" t="str">
        <f t="shared" si="43"/>
        <v/>
      </c>
      <c r="L181" s="39" t="e">
        <f t="shared" si="55"/>
        <v>#N/A</v>
      </c>
      <c r="M181" s="39" t="e">
        <f t="shared" si="56"/>
        <v>#N/A</v>
      </c>
      <c r="N181" s="40">
        <f t="shared" si="44"/>
        <v>0</v>
      </c>
      <c r="O181" s="40" t="str">
        <f t="shared" si="45"/>
        <v xml:space="preserve">  0.0</v>
      </c>
      <c r="Q181" s="41" t="e">
        <f t="shared" si="46"/>
        <v>#VALUE!</v>
      </c>
      <c r="R181" s="41" t="str">
        <f t="shared" si="47"/>
        <v/>
      </c>
      <c r="S181" s="41" t="str">
        <f t="shared" si="48"/>
        <v/>
      </c>
      <c r="T181" s="41" t="str">
        <f t="shared" si="49"/>
        <v/>
      </c>
      <c r="U181" s="41" t="str">
        <f t="shared" si="50"/>
        <v/>
      </c>
      <c r="V181" s="41" t="str">
        <f t="shared" si="51"/>
        <v/>
      </c>
      <c r="W181" s="41" t="str">
        <f t="shared" si="52"/>
        <v/>
      </c>
      <c r="X181" s="41" t="str">
        <f t="shared" si="53"/>
        <v/>
      </c>
      <c r="Y181" s="41" t="str">
        <f t="shared" si="54"/>
        <v/>
      </c>
    </row>
    <row r="182" spans="2:25" x14ac:dyDescent="0.3">
      <c r="B182" s="36"/>
      <c r="D182" s="36"/>
      <c r="F182" s="38" t="str">
        <f t="shared" si="41"/>
        <v/>
      </c>
      <c r="J182" s="39" t="str">
        <f t="shared" si="42"/>
        <v/>
      </c>
      <c r="K182" s="39" t="str">
        <f t="shared" si="43"/>
        <v/>
      </c>
      <c r="L182" s="39" t="e">
        <f t="shared" si="55"/>
        <v>#N/A</v>
      </c>
      <c r="M182" s="39" t="e">
        <f t="shared" si="56"/>
        <v>#N/A</v>
      </c>
      <c r="N182" s="40">
        <f t="shared" si="44"/>
        <v>0</v>
      </c>
      <c r="O182" s="40" t="str">
        <f t="shared" si="45"/>
        <v xml:space="preserve">  0.0</v>
      </c>
      <c r="Q182" s="41" t="e">
        <f t="shared" si="46"/>
        <v>#VALUE!</v>
      </c>
      <c r="R182" s="41" t="str">
        <f t="shared" si="47"/>
        <v/>
      </c>
      <c r="S182" s="41" t="str">
        <f t="shared" si="48"/>
        <v/>
      </c>
      <c r="T182" s="41" t="str">
        <f t="shared" si="49"/>
        <v/>
      </c>
      <c r="U182" s="41" t="str">
        <f t="shared" si="50"/>
        <v/>
      </c>
      <c r="V182" s="41" t="str">
        <f t="shared" si="51"/>
        <v/>
      </c>
      <c r="W182" s="41" t="str">
        <f t="shared" si="52"/>
        <v/>
      </c>
      <c r="X182" s="41" t="str">
        <f t="shared" si="53"/>
        <v/>
      </c>
      <c r="Y182" s="41" t="str">
        <f t="shared" si="54"/>
        <v/>
      </c>
    </row>
    <row r="183" spans="2:25" x14ac:dyDescent="0.3">
      <c r="B183" s="36"/>
      <c r="D183" s="36"/>
      <c r="F183" s="38" t="str">
        <f t="shared" si="41"/>
        <v/>
      </c>
      <c r="J183" s="39" t="str">
        <f t="shared" si="42"/>
        <v/>
      </c>
      <c r="K183" s="39" t="str">
        <f t="shared" si="43"/>
        <v/>
      </c>
      <c r="L183" s="39" t="e">
        <f t="shared" si="55"/>
        <v>#N/A</v>
      </c>
      <c r="M183" s="39" t="e">
        <f t="shared" si="56"/>
        <v>#N/A</v>
      </c>
      <c r="N183" s="40">
        <f t="shared" si="44"/>
        <v>0</v>
      </c>
      <c r="O183" s="40" t="str">
        <f t="shared" si="45"/>
        <v xml:space="preserve">  0.0</v>
      </c>
      <c r="Q183" s="41" t="e">
        <f t="shared" si="46"/>
        <v>#VALUE!</v>
      </c>
      <c r="R183" s="41" t="str">
        <f t="shared" si="47"/>
        <v/>
      </c>
      <c r="S183" s="41" t="str">
        <f t="shared" si="48"/>
        <v/>
      </c>
      <c r="T183" s="41" t="str">
        <f t="shared" si="49"/>
        <v/>
      </c>
      <c r="U183" s="41" t="str">
        <f t="shared" si="50"/>
        <v/>
      </c>
      <c r="V183" s="41" t="str">
        <f t="shared" si="51"/>
        <v/>
      </c>
      <c r="W183" s="41" t="str">
        <f t="shared" si="52"/>
        <v/>
      </c>
      <c r="X183" s="41" t="str">
        <f t="shared" si="53"/>
        <v/>
      </c>
      <c r="Y183" s="41" t="str">
        <f t="shared" si="54"/>
        <v/>
      </c>
    </row>
    <row r="184" spans="2:25" x14ac:dyDescent="0.3">
      <c r="B184" s="36"/>
      <c r="D184" s="36"/>
      <c r="F184" s="38" t="str">
        <f t="shared" si="41"/>
        <v/>
      </c>
      <c r="J184" s="39" t="str">
        <f t="shared" si="42"/>
        <v/>
      </c>
      <c r="K184" s="39" t="str">
        <f t="shared" si="43"/>
        <v/>
      </c>
      <c r="L184" s="39" t="e">
        <f t="shared" si="55"/>
        <v>#N/A</v>
      </c>
      <c r="M184" s="39" t="e">
        <f t="shared" si="56"/>
        <v>#N/A</v>
      </c>
      <c r="N184" s="40">
        <f t="shared" si="44"/>
        <v>0</v>
      </c>
      <c r="O184" s="40" t="str">
        <f t="shared" si="45"/>
        <v xml:space="preserve">  0.0</v>
      </c>
      <c r="Q184" s="41" t="e">
        <f t="shared" si="46"/>
        <v>#VALUE!</v>
      </c>
      <c r="R184" s="41" t="str">
        <f t="shared" si="47"/>
        <v/>
      </c>
      <c r="S184" s="41" t="str">
        <f t="shared" si="48"/>
        <v/>
      </c>
      <c r="T184" s="41" t="str">
        <f t="shared" si="49"/>
        <v/>
      </c>
      <c r="U184" s="41" t="str">
        <f t="shared" si="50"/>
        <v/>
      </c>
      <c r="V184" s="41" t="str">
        <f t="shared" si="51"/>
        <v/>
      </c>
      <c r="W184" s="41" t="str">
        <f t="shared" si="52"/>
        <v/>
      </c>
      <c r="X184" s="41" t="str">
        <f t="shared" si="53"/>
        <v/>
      </c>
      <c r="Y184" s="41" t="str">
        <f t="shared" si="54"/>
        <v/>
      </c>
    </row>
    <row r="185" spans="2:25" x14ac:dyDescent="0.3">
      <c r="B185" s="36"/>
      <c r="D185" s="36"/>
      <c r="F185" s="38" t="str">
        <f t="shared" si="41"/>
        <v/>
      </c>
      <c r="J185" s="39" t="str">
        <f t="shared" si="42"/>
        <v/>
      </c>
      <c r="K185" s="39" t="str">
        <f t="shared" si="43"/>
        <v/>
      </c>
      <c r="L185" s="39" t="e">
        <f t="shared" si="55"/>
        <v>#N/A</v>
      </c>
      <c r="M185" s="39" t="e">
        <f t="shared" si="56"/>
        <v>#N/A</v>
      </c>
      <c r="N185" s="40">
        <f t="shared" si="44"/>
        <v>0</v>
      </c>
      <c r="O185" s="40" t="str">
        <f t="shared" si="45"/>
        <v xml:space="preserve">  0.0</v>
      </c>
      <c r="Q185" s="41" t="e">
        <f t="shared" si="46"/>
        <v>#VALUE!</v>
      </c>
      <c r="R185" s="41" t="str">
        <f t="shared" si="47"/>
        <v/>
      </c>
      <c r="S185" s="41" t="str">
        <f t="shared" si="48"/>
        <v/>
      </c>
      <c r="T185" s="41" t="str">
        <f t="shared" si="49"/>
        <v/>
      </c>
      <c r="U185" s="41" t="str">
        <f t="shared" si="50"/>
        <v/>
      </c>
      <c r="V185" s="41" t="str">
        <f t="shared" si="51"/>
        <v/>
      </c>
      <c r="W185" s="41" t="str">
        <f t="shared" si="52"/>
        <v/>
      </c>
      <c r="X185" s="41" t="str">
        <f t="shared" si="53"/>
        <v/>
      </c>
      <c r="Y185" s="41" t="str">
        <f t="shared" si="54"/>
        <v/>
      </c>
    </row>
    <row r="186" spans="2:25" x14ac:dyDescent="0.3">
      <c r="B186" s="36"/>
      <c r="D186" s="36"/>
      <c r="F186" s="38" t="str">
        <f t="shared" si="41"/>
        <v/>
      </c>
      <c r="J186" s="39" t="str">
        <f t="shared" si="42"/>
        <v/>
      </c>
      <c r="K186" s="39" t="str">
        <f t="shared" si="43"/>
        <v/>
      </c>
      <c r="L186" s="39" t="e">
        <f t="shared" si="55"/>
        <v>#N/A</v>
      </c>
      <c r="M186" s="39" t="e">
        <f t="shared" si="56"/>
        <v>#N/A</v>
      </c>
      <c r="N186" s="40">
        <f t="shared" si="44"/>
        <v>0</v>
      </c>
      <c r="O186" s="40" t="str">
        <f t="shared" si="45"/>
        <v xml:space="preserve">  0.0</v>
      </c>
      <c r="Q186" s="41" t="e">
        <f t="shared" si="46"/>
        <v>#VALUE!</v>
      </c>
      <c r="R186" s="41" t="str">
        <f t="shared" si="47"/>
        <v/>
      </c>
      <c r="S186" s="41" t="str">
        <f t="shared" si="48"/>
        <v/>
      </c>
      <c r="T186" s="41" t="str">
        <f t="shared" si="49"/>
        <v/>
      </c>
      <c r="U186" s="41" t="str">
        <f t="shared" si="50"/>
        <v/>
      </c>
      <c r="V186" s="41" t="str">
        <f t="shared" si="51"/>
        <v/>
      </c>
      <c r="W186" s="41" t="str">
        <f t="shared" si="52"/>
        <v/>
      </c>
      <c r="X186" s="41" t="str">
        <f t="shared" si="53"/>
        <v/>
      </c>
      <c r="Y186" s="41" t="str">
        <f t="shared" si="54"/>
        <v/>
      </c>
    </row>
    <row r="187" spans="2:25" x14ac:dyDescent="0.3">
      <c r="B187" s="36"/>
      <c r="D187" s="36"/>
      <c r="F187" s="38" t="str">
        <f t="shared" si="41"/>
        <v/>
      </c>
      <c r="J187" s="39" t="str">
        <f t="shared" si="42"/>
        <v/>
      </c>
      <c r="K187" s="39" t="str">
        <f t="shared" si="43"/>
        <v/>
      </c>
      <c r="L187" s="39" t="e">
        <f t="shared" si="55"/>
        <v>#N/A</v>
      </c>
      <c r="M187" s="39" t="e">
        <f t="shared" si="56"/>
        <v>#N/A</v>
      </c>
      <c r="N187" s="40">
        <f t="shared" si="44"/>
        <v>0</v>
      </c>
      <c r="O187" s="40" t="str">
        <f t="shared" si="45"/>
        <v xml:space="preserve">  0.0</v>
      </c>
      <c r="Q187" s="41" t="e">
        <f t="shared" si="46"/>
        <v>#VALUE!</v>
      </c>
      <c r="R187" s="41" t="str">
        <f t="shared" si="47"/>
        <v/>
      </c>
      <c r="S187" s="41" t="str">
        <f t="shared" si="48"/>
        <v/>
      </c>
      <c r="T187" s="41" t="str">
        <f t="shared" si="49"/>
        <v/>
      </c>
      <c r="U187" s="41" t="str">
        <f t="shared" si="50"/>
        <v/>
      </c>
      <c r="V187" s="41" t="str">
        <f t="shared" si="51"/>
        <v/>
      </c>
      <c r="W187" s="41" t="str">
        <f t="shared" si="52"/>
        <v/>
      </c>
      <c r="X187" s="41" t="str">
        <f t="shared" si="53"/>
        <v/>
      </c>
      <c r="Y187" s="41" t="str">
        <f t="shared" si="54"/>
        <v/>
      </c>
    </row>
    <row r="188" spans="2:25" x14ac:dyDescent="0.3">
      <c r="B188" s="36"/>
      <c r="D188" s="36"/>
      <c r="F188" s="38" t="str">
        <f t="shared" si="41"/>
        <v/>
      </c>
      <c r="J188" s="39" t="str">
        <f t="shared" si="42"/>
        <v/>
      </c>
      <c r="K188" s="39" t="str">
        <f t="shared" si="43"/>
        <v/>
      </c>
      <c r="L188" s="39" t="e">
        <f t="shared" si="55"/>
        <v>#N/A</v>
      </c>
      <c r="M188" s="39" t="e">
        <f t="shared" si="56"/>
        <v>#N/A</v>
      </c>
      <c r="N188" s="40">
        <f t="shared" si="44"/>
        <v>0</v>
      </c>
      <c r="O188" s="40" t="str">
        <f t="shared" si="45"/>
        <v xml:space="preserve">  0.0</v>
      </c>
      <c r="Q188" s="41" t="e">
        <f t="shared" si="46"/>
        <v>#VALUE!</v>
      </c>
      <c r="R188" s="41" t="str">
        <f t="shared" si="47"/>
        <v/>
      </c>
      <c r="S188" s="41" t="str">
        <f t="shared" si="48"/>
        <v/>
      </c>
      <c r="T188" s="41" t="str">
        <f t="shared" si="49"/>
        <v/>
      </c>
      <c r="U188" s="41" t="str">
        <f t="shared" si="50"/>
        <v/>
      </c>
      <c r="V188" s="41" t="str">
        <f t="shared" si="51"/>
        <v/>
      </c>
      <c r="W188" s="41" t="str">
        <f t="shared" si="52"/>
        <v/>
      </c>
      <c r="X188" s="41" t="str">
        <f t="shared" si="53"/>
        <v/>
      </c>
      <c r="Y188" s="41" t="str">
        <f t="shared" si="54"/>
        <v/>
      </c>
    </row>
    <row r="189" spans="2:25" x14ac:dyDescent="0.3">
      <c r="B189" s="36"/>
      <c r="D189" s="36"/>
      <c r="F189" s="38" t="str">
        <f t="shared" si="41"/>
        <v/>
      </c>
      <c r="J189" s="39" t="str">
        <f t="shared" si="42"/>
        <v/>
      </c>
      <c r="K189" s="39" t="str">
        <f t="shared" si="43"/>
        <v/>
      </c>
      <c r="L189" s="39" t="e">
        <f t="shared" si="55"/>
        <v>#N/A</v>
      </c>
      <c r="M189" s="39" t="e">
        <f t="shared" si="56"/>
        <v>#N/A</v>
      </c>
      <c r="N189" s="40">
        <f t="shared" si="44"/>
        <v>0</v>
      </c>
      <c r="O189" s="40" t="str">
        <f t="shared" si="45"/>
        <v xml:space="preserve">  0.0</v>
      </c>
      <c r="Q189" s="41" t="e">
        <f t="shared" si="46"/>
        <v>#VALUE!</v>
      </c>
      <c r="R189" s="41" t="str">
        <f t="shared" si="47"/>
        <v/>
      </c>
      <c r="S189" s="41" t="str">
        <f t="shared" si="48"/>
        <v/>
      </c>
      <c r="T189" s="41" t="str">
        <f t="shared" si="49"/>
        <v/>
      </c>
      <c r="U189" s="41" t="str">
        <f t="shared" si="50"/>
        <v/>
      </c>
      <c r="V189" s="41" t="str">
        <f t="shared" si="51"/>
        <v/>
      </c>
      <c r="W189" s="41" t="str">
        <f t="shared" si="52"/>
        <v/>
      </c>
      <c r="X189" s="41" t="str">
        <f t="shared" si="53"/>
        <v/>
      </c>
      <c r="Y189" s="41" t="str">
        <f t="shared" si="54"/>
        <v/>
      </c>
    </row>
    <row r="190" spans="2:25" x14ac:dyDescent="0.3">
      <c r="B190" s="36"/>
      <c r="D190" s="36"/>
      <c r="F190" s="38" t="str">
        <f t="shared" si="41"/>
        <v/>
      </c>
      <c r="J190" s="39" t="str">
        <f t="shared" si="42"/>
        <v/>
      </c>
      <c r="K190" s="39" t="str">
        <f t="shared" si="43"/>
        <v/>
      </c>
      <c r="L190" s="39" t="e">
        <f t="shared" si="55"/>
        <v>#N/A</v>
      </c>
      <c r="M190" s="39" t="e">
        <f t="shared" si="56"/>
        <v>#N/A</v>
      </c>
      <c r="N190" s="40">
        <f t="shared" si="44"/>
        <v>0</v>
      </c>
      <c r="O190" s="40" t="str">
        <f t="shared" si="45"/>
        <v xml:space="preserve">  0.0</v>
      </c>
      <c r="Q190" s="41" t="e">
        <f t="shared" si="46"/>
        <v>#VALUE!</v>
      </c>
      <c r="R190" s="41" t="str">
        <f t="shared" si="47"/>
        <v/>
      </c>
      <c r="S190" s="41" t="str">
        <f t="shared" si="48"/>
        <v/>
      </c>
      <c r="T190" s="41" t="str">
        <f t="shared" si="49"/>
        <v/>
      </c>
      <c r="U190" s="41" t="str">
        <f t="shared" si="50"/>
        <v/>
      </c>
      <c r="V190" s="41" t="str">
        <f t="shared" si="51"/>
        <v/>
      </c>
      <c r="W190" s="41" t="str">
        <f t="shared" si="52"/>
        <v/>
      </c>
      <c r="X190" s="41" t="str">
        <f t="shared" si="53"/>
        <v/>
      </c>
      <c r="Y190" s="41" t="str">
        <f t="shared" si="54"/>
        <v/>
      </c>
    </row>
    <row r="191" spans="2:25" x14ac:dyDescent="0.3">
      <c r="B191" s="36"/>
      <c r="D191" s="36"/>
      <c r="F191" s="38" t="str">
        <f t="shared" si="41"/>
        <v/>
      </c>
      <c r="J191" s="39" t="str">
        <f t="shared" si="42"/>
        <v/>
      </c>
      <c r="K191" s="39" t="str">
        <f t="shared" si="43"/>
        <v/>
      </c>
      <c r="L191" s="39" t="e">
        <f t="shared" si="55"/>
        <v>#N/A</v>
      </c>
      <c r="M191" s="39" t="e">
        <f t="shared" si="56"/>
        <v>#N/A</v>
      </c>
      <c r="N191" s="40">
        <f t="shared" si="44"/>
        <v>0</v>
      </c>
      <c r="O191" s="40" t="str">
        <f t="shared" si="45"/>
        <v xml:space="preserve">  0.0</v>
      </c>
      <c r="Q191" s="41" t="e">
        <f t="shared" si="46"/>
        <v>#VALUE!</v>
      </c>
      <c r="R191" s="41" t="str">
        <f t="shared" si="47"/>
        <v/>
      </c>
      <c r="S191" s="41" t="str">
        <f t="shared" si="48"/>
        <v/>
      </c>
      <c r="T191" s="41" t="str">
        <f t="shared" si="49"/>
        <v/>
      </c>
      <c r="U191" s="41" t="str">
        <f t="shared" si="50"/>
        <v/>
      </c>
      <c r="V191" s="41" t="str">
        <f t="shared" si="51"/>
        <v/>
      </c>
      <c r="W191" s="41" t="str">
        <f t="shared" si="52"/>
        <v/>
      </c>
      <c r="X191" s="41" t="str">
        <f t="shared" si="53"/>
        <v/>
      </c>
      <c r="Y191" s="41" t="str">
        <f t="shared" si="54"/>
        <v/>
      </c>
    </row>
    <row r="192" spans="2:25" x14ac:dyDescent="0.3">
      <c r="B192" s="36"/>
      <c r="D192" s="36"/>
      <c r="F192" s="38" t="str">
        <f t="shared" si="41"/>
        <v/>
      </c>
      <c r="J192" s="39" t="str">
        <f t="shared" si="42"/>
        <v/>
      </c>
      <c r="K192" s="39" t="str">
        <f t="shared" si="43"/>
        <v/>
      </c>
      <c r="L192" s="39" t="e">
        <f t="shared" si="55"/>
        <v>#N/A</v>
      </c>
      <c r="M192" s="39" t="e">
        <f t="shared" si="56"/>
        <v>#N/A</v>
      </c>
      <c r="N192" s="40">
        <f t="shared" si="44"/>
        <v>0</v>
      </c>
      <c r="O192" s="40" t="str">
        <f t="shared" si="45"/>
        <v xml:space="preserve">  0.0</v>
      </c>
      <c r="Q192" s="41" t="e">
        <f t="shared" si="46"/>
        <v>#VALUE!</v>
      </c>
      <c r="R192" s="41" t="str">
        <f t="shared" si="47"/>
        <v/>
      </c>
      <c r="S192" s="41" t="str">
        <f t="shared" si="48"/>
        <v/>
      </c>
      <c r="T192" s="41" t="str">
        <f t="shared" si="49"/>
        <v/>
      </c>
      <c r="U192" s="41" t="str">
        <f t="shared" si="50"/>
        <v/>
      </c>
      <c r="V192" s="41" t="str">
        <f t="shared" si="51"/>
        <v/>
      </c>
      <c r="W192" s="41" t="str">
        <f t="shared" si="52"/>
        <v/>
      </c>
      <c r="X192" s="41" t="str">
        <f t="shared" si="53"/>
        <v/>
      </c>
      <c r="Y192" s="41" t="str">
        <f t="shared" si="54"/>
        <v/>
      </c>
    </row>
    <row r="193" spans="2:25" x14ac:dyDescent="0.3">
      <c r="B193" s="36"/>
      <c r="D193" s="36"/>
      <c r="F193" s="38" t="str">
        <f t="shared" si="41"/>
        <v/>
      </c>
      <c r="J193" s="39" t="str">
        <f t="shared" si="42"/>
        <v/>
      </c>
      <c r="K193" s="39" t="str">
        <f t="shared" si="43"/>
        <v/>
      </c>
      <c r="L193" s="39" t="e">
        <f t="shared" si="55"/>
        <v>#N/A</v>
      </c>
      <c r="M193" s="39" t="e">
        <f t="shared" si="56"/>
        <v>#N/A</v>
      </c>
      <c r="N193" s="40">
        <f t="shared" si="44"/>
        <v>0</v>
      </c>
      <c r="O193" s="40" t="str">
        <f t="shared" si="45"/>
        <v xml:space="preserve">  0.0</v>
      </c>
      <c r="Q193" s="41" t="e">
        <f t="shared" si="46"/>
        <v>#VALUE!</v>
      </c>
      <c r="R193" s="41" t="str">
        <f t="shared" si="47"/>
        <v/>
      </c>
      <c r="S193" s="41" t="str">
        <f t="shared" si="48"/>
        <v/>
      </c>
      <c r="T193" s="41" t="str">
        <f t="shared" si="49"/>
        <v/>
      </c>
      <c r="U193" s="41" t="str">
        <f t="shared" si="50"/>
        <v/>
      </c>
      <c r="V193" s="41" t="str">
        <f t="shared" si="51"/>
        <v/>
      </c>
      <c r="W193" s="41" t="str">
        <f t="shared" si="52"/>
        <v/>
      </c>
      <c r="X193" s="41" t="str">
        <f t="shared" si="53"/>
        <v/>
      </c>
      <c r="Y193" s="41" t="str">
        <f t="shared" si="54"/>
        <v/>
      </c>
    </row>
    <row r="194" spans="2:25" x14ac:dyDescent="0.3">
      <c r="B194" s="36"/>
      <c r="D194" s="36"/>
      <c r="F194" s="38" t="str">
        <f t="shared" si="41"/>
        <v/>
      </c>
      <c r="J194" s="39" t="str">
        <f t="shared" si="42"/>
        <v/>
      </c>
      <c r="K194" s="39" t="str">
        <f t="shared" si="43"/>
        <v/>
      </c>
      <c r="L194" s="39" t="e">
        <f t="shared" si="55"/>
        <v>#N/A</v>
      </c>
      <c r="M194" s="39" t="e">
        <f t="shared" si="56"/>
        <v>#N/A</v>
      </c>
      <c r="N194" s="40">
        <f t="shared" si="44"/>
        <v>0</v>
      </c>
      <c r="O194" s="40" t="str">
        <f t="shared" si="45"/>
        <v xml:space="preserve">  0.0</v>
      </c>
      <c r="Q194" s="41" t="e">
        <f t="shared" si="46"/>
        <v>#VALUE!</v>
      </c>
      <c r="R194" s="41" t="str">
        <f t="shared" si="47"/>
        <v/>
      </c>
      <c r="S194" s="41" t="str">
        <f t="shared" si="48"/>
        <v/>
      </c>
      <c r="T194" s="41" t="str">
        <f t="shared" si="49"/>
        <v/>
      </c>
      <c r="U194" s="41" t="str">
        <f t="shared" si="50"/>
        <v/>
      </c>
      <c r="V194" s="41" t="str">
        <f t="shared" si="51"/>
        <v/>
      </c>
      <c r="W194" s="41" t="str">
        <f t="shared" si="52"/>
        <v/>
      </c>
      <c r="X194" s="41" t="str">
        <f t="shared" si="53"/>
        <v/>
      </c>
      <c r="Y194" s="41" t="str">
        <f t="shared" si="54"/>
        <v/>
      </c>
    </row>
    <row r="195" spans="2:25" x14ac:dyDescent="0.3">
      <c r="B195" s="36"/>
      <c r="D195" s="36"/>
      <c r="F195" s="38" t="str">
        <f t="shared" si="41"/>
        <v/>
      </c>
      <c r="J195" s="39" t="str">
        <f t="shared" si="42"/>
        <v/>
      </c>
      <c r="K195" s="39" t="str">
        <f t="shared" si="43"/>
        <v/>
      </c>
      <c r="L195" s="39" t="e">
        <f t="shared" si="55"/>
        <v>#N/A</v>
      </c>
      <c r="M195" s="39" t="e">
        <f t="shared" si="56"/>
        <v>#N/A</v>
      </c>
      <c r="N195" s="40">
        <f t="shared" si="44"/>
        <v>0</v>
      </c>
      <c r="O195" s="40" t="str">
        <f t="shared" si="45"/>
        <v xml:space="preserve">  0.0</v>
      </c>
      <c r="Q195" s="41" t="e">
        <f t="shared" si="46"/>
        <v>#VALUE!</v>
      </c>
      <c r="R195" s="41" t="str">
        <f t="shared" si="47"/>
        <v/>
      </c>
      <c r="S195" s="41" t="str">
        <f t="shared" si="48"/>
        <v/>
      </c>
      <c r="T195" s="41" t="str">
        <f t="shared" si="49"/>
        <v/>
      </c>
      <c r="U195" s="41" t="str">
        <f t="shared" si="50"/>
        <v/>
      </c>
      <c r="V195" s="41" t="str">
        <f t="shared" si="51"/>
        <v/>
      </c>
      <c r="W195" s="41" t="str">
        <f t="shared" si="52"/>
        <v/>
      </c>
      <c r="X195" s="41" t="str">
        <f t="shared" si="53"/>
        <v/>
      </c>
      <c r="Y195" s="41" t="str">
        <f t="shared" si="54"/>
        <v/>
      </c>
    </row>
    <row r="196" spans="2:25" x14ac:dyDescent="0.3">
      <c r="B196" s="36"/>
      <c r="D196" s="36"/>
      <c r="F196" s="38" t="str">
        <f t="shared" si="41"/>
        <v/>
      </c>
      <c r="J196" s="39" t="str">
        <f t="shared" si="42"/>
        <v/>
      </c>
      <c r="K196" s="39" t="str">
        <f t="shared" si="43"/>
        <v/>
      </c>
      <c r="L196" s="39" t="e">
        <f t="shared" si="55"/>
        <v>#N/A</v>
      </c>
      <c r="M196" s="39" t="e">
        <f t="shared" si="56"/>
        <v>#N/A</v>
      </c>
      <c r="N196" s="40">
        <f t="shared" si="44"/>
        <v>0</v>
      </c>
      <c r="O196" s="40" t="str">
        <f t="shared" si="45"/>
        <v xml:space="preserve">  0.0</v>
      </c>
      <c r="Q196" s="41" t="e">
        <f t="shared" si="46"/>
        <v>#VALUE!</v>
      </c>
      <c r="R196" s="41" t="str">
        <f t="shared" si="47"/>
        <v/>
      </c>
      <c r="S196" s="41" t="str">
        <f t="shared" si="48"/>
        <v/>
      </c>
      <c r="T196" s="41" t="str">
        <f t="shared" si="49"/>
        <v/>
      </c>
      <c r="U196" s="41" t="str">
        <f t="shared" si="50"/>
        <v/>
      </c>
      <c r="V196" s="41" t="str">
        <f t="shared" si="51"/>
        <v/>
      </c>
      <c r="W196" s="41" t="str">
        <f t="shared" si="52"/>
        <v/>
      </c>
      <c r="X196" s="41" t="str">
        <f t="shared" si="53"/>
        <v/>
      </c>
      <c r="Y196" s="41" t="str">
        <f t="shared" si="54"/>
        <v/>
      </c>
    </row>
    <row r="197" spans="2:25" x14ac:dyDescent="0.3">
      <c r="B197" s="36"/>
      <c r="D197" s="36"/>
      <c r="F197" s="38" t="str">
        <f t="shared" si="41"/>
        <v/>
      </c>
      <c r="J197" s="39" t="str">
        <f t="shared" si="42"/>
        <v/>
      </c>
      <c r="K197" s="39" t="str">
        <f t="shared" si="43"/>
        <v/>
      </c>
      <c r="L197" s="39" t="e">
        <f t="shared" si="55"/>
        <v>#N/A</v>
      </c>
      <c r="M197" s="39" t="e">
        <f t="shared" si="56"/>
        <v>#N/A</v>
      </c>
      <c r="N197" s="40">
        <f t="shared" si="44"/>
        <v>0</v>
      </c>
      <c r="O197" s="40" t="str">
        <f t="shared" si="45"/>
        <v xml:space="preserve">  0.0</v>
      </c>
      <c r="Q197" s="41" t="e">
        <f t="shared" si="46"/>
        <v>#VALUE!</v>
      </c>
      <c r="R197" s="41" t="str">
        <f t="shared" si="47"/>
        <v/>
      </c>
      <c r="S197" s="41" t="str">
        <f t="shared" si="48"/>
        <v/>
      </c>
      <c r="T197" s="41" t="str">
        <f t="shared" si="49"/>
        <v/>
      </c>
      <c r="U197" s="41" t="str">
        <f t="shared" si="50"/>
        <v/>
      </c>
      <c r="V197" s="41" t="str">
        <f t="shared" si="51"/>
        <v/>
      </c>
      <c r="W197" s="41" t="str">
        <f t="shared" si="52"/>
        <v/>
      </c>
      <c r="X197" s="41" t="str">
        <f t="shared" si="53"/>
        <v/>
      </c>
      <c r="Y197" s="41" t="str">
        <f t="shared" si="54"/>
        <v/>
      </c>
    </row>
    <row r="198" spans="2:25" x14ac:dyDescent="0.3">
      <c r="B198" s="36"/>
      <c r="D198" s="36"/>
      <c r="F198" s="38" t="str">
        <f t="shared" si="41"/>
        <v/>
      </c>
      <c r="J198" s="39" t="str">
        <f t="shared" si="42"/>
        <v/>
      </c>
      <c r="K198" s="39" t="str">
        <f t="shared" si="43"/>
        <v/>
      </c>
      <c r="L198" s="39" t="e">
        <f t="shared" si="55"/>
        <v>#N/A</v>
      </c>
      <c r="M198" s="39" t="e">
        <f t="shared" si="56"/>
        <v>#N/A</v>
      </c>
      <c r="N198" s="40">
        <f t="shared" si="44"/>
        <v>0</v>
      </c>
      <c r="O198" s="40" t="str">
        <f t="shared" si="45"/>
        <v xml:space="preserve">  0.0</v>
      </c>
      <c r="Q198" s="41" t="e">
        <f t="shared" si="46"/>
        <v>#VALUE!</v>
      </c>
      <c r="R198" s="41" t="str">
        <f t="shared" si="47"/>
        <v/>
      </c>
      <c r="S198" s="41" t="str">
        <f t="shared" si="48"/>
        <v/>
      </c>
      <c r="T198" s="41" t="str">
        <f t="shared" si="49"/>
        <v/>
      </c>
      <c r="U198" s="41" t="str">
        <f t="shared" si="50"/>
        <v/>
      </c>
      <c r="V198" s="41" t="str">
        <f t="shared" si="51"/>
        <v/>
      </c>
      <c r="W198" s="41" t="str">
        <f t="shared" si="52"/>
        <v/>
      </c>
      <c r="X198" s="41" t="str">
        <f t="shared" si="53"/>
        <v/>
      </c>
      <c r="Y198" s="41" t="str">
        <f t="shared" si="54"/>
        <v/>
      </c>
    </row>
    <row r="199" spans="2:25" x14ac:dyDescent="0.3">
      <c r="B199" s="36"/>
      <c r="D199" s="36"/>
      <c r="F199" s="38" t="str">
        <f t="shared" si="41"/>
        <v/>
      </c>
      <c r="J199" s="39" t="str">
        <f t="shared" si="42"/>
        <v/>
      </c>
      <c r="K199" s="39" t="str">
        <f t="shared" si="43"/>
        <v/>
      </c>
      <c r="L199" s="39" t="e">
        <f t="shared" si="55"/>
        <v>#N/A</v>
      </c>
      <c r="M199" s="39" t="e">
        <f t="shared" si="56"/>
        <v>#N/A</v>
      </c>
      <c r="N199" s="40">
        <f t="shared" si="44"/>
        <v>0</v>
      </c>
      <c r="O199" s="40" t="str">
        <f t="shared" si="45"/>
        <v xml:space="preserve">  0.0</v>
      </c>
      <c r="Q199" s="41" t="e">
        <f t="shared" si="46"/>
        <v>#VALUE!</v>
      </c>
      <c r="R199" s="41" t="str">
        <f t="shared" si="47"/>
        <v/>
      </c>
      <c r="S199" s="41" t="str">
        <f t="shared" si="48"/>
        <v/>
      </c>
      <c r="T199" s="41" t="str">
        <f t="shared" si="49"/>
        <v/>
      </c>
      <c r="U199" s="41" t="str">
        <f t="shared" si="50"/>
        <v/>
      </c>
      <c r="V199" s="41" t="str">
        <f t="shared" si="51"/>
        <v/>
      </c>
      <c r="W199" s="41" t="str">
        <f t="shared" si="52"/>
        <v/>
      </c>
      <c r="X199" s="41" t="str">
        <f t="shared" si="53"/>
        <v/>
      </c>
      <c r="Y199" s="41" t="str">
        <f t="shared" si="54"/>
        <v/>
      </c>
    </row>
    <row r="200" spans="2:25" x14ac:dyDescent="0.3">
      <c r="B200" s="36"/>
      <c r="D200" s="36"/>
      <c r="F200" s="38" t="str">
        <f t="shared" si="41"/>
        <v/>
      </c>
      <c r="J200" s="39" t="str">
        <f t="shared" si="42"/>
        <v/>
      </c>
      <c r="K200" s="39" t="str">
        <f t="shared" si="43"/>
        <v/>
      </c>
      <c r="L200" s="39" t="e">
        <f t="shared" si="55"/>
        <v>#N/A</v>
      </c>
      <c r="M200" s="39" t="e">
        <f t="shared" si="56"/>
        <v>#N/A</v>
      </c>
      <c r="N200" s="40">
        <f t="shared" si="44"/>
        <v>0</v>
      </c>
      <c r="O200" s="40" t="str">
        <f t="shared" si="45"/>
        <v xml:space="preserve">  0.0</v>
      </c>
      <c r="Q200" s="41" t="e">
        <f t="shared" si="46"/>
        <v>#VALUE!</v>
      </c>
      <c r="R200" s="41" t="str">
        <f t="shared" si="47"/>
        <v/>
      </c>
      <c r="S200" s="41" t="str">
        <f t="shared" si="48"/>
        <v/>
      </c>
      <c r="T200" s="41" t="str">
        <f t="shared" si="49"/>
        <v/>
      </c>
      <c r="U200" s="41" t="str">
        <f t="shared" si="50"/>
        <v/>
      </c>
      <c r="V200" s="41" t="str">
        <f t="shared" si="51"/>
        <v/>
      </c>
      <c r="W200" s="41" t="str">
        <f t="shared" si="52"/>
        <v/>
      </c>
      <c r="X200" s="41" t="str">
        <f t="shared" si="53"/>
        <v/>
      </c>
      <c r="Y200" s="41" t="str">
        <f t="shared" si="54"/>
        <v/>
      </c>
    </row>
    <row r="201" spans="2:25" x14ac:dyDescent="0.3">
      <c r="F201" s="18"/>
    </row>
    <row r="202" spans="2:25" x14ac:dyDescent="0.3">
      <c r="F202" s="18"/>
    </row>
  </sheetData>
  <dataValidations count="1">
    <dataValidation type="list" allowBlank="1" showInputMessage="1" showErrorMessage="1" sqref="B7" xr:uid="{00000000-0002-0000-0000-000000000000}">
      <formula1>"Semana 1,Semana 2,Semana 3,Semana 4,Semana 5,Semana 6,Semana 7,"</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res_read_uh">
                <anchor moveWithCells="1" sizeWithCells="1">
                  <from>
                    <xdr:col>1</xdr:col>
                    <xdr:colOff>38100</xdr:colOff>
                    <xdr:row>0</xdr:row>
                    <xdr:rowOff>419100</xdr:rowOff>
                  </from>
                  <to>
                    <xdr:col>2</xdr:col>
                    <xdr:colOff>0</xdr:colOff>
                    <xdr:row>2</xdr:row>
                    <xdr:rowOff>121920</xdr:rowOff>
                  </to>
                </anchor>
              </controlPr>
            </control>
          </mc:Choice>
        </mc:AlternateContent>
        <mc:AlternateContent xmlns:mc="http://schemas.openxmlformats.org/markup-compatibility/2006">
          <mc:Choice Requires="x14">
            <control shapeId="9218" r:id="rId5" name="Button 2">
              <controlPr defaultSize="0" print="0" autoFill="0" autoPict="0" macro="[0]!res_clear_data">
                <anchor moveWithCells="1" sizeWithCells="1">
                  <from>
                    <xdr:col>1</xdr:col>
                    <xdr:colOff>30480</xdr:colOff>
                    <xdr:row>3</xdr:row>
                    <xdr:rowOff>68580</xdr:rowOff>
                  </from>
                  <to>
                    <xdr:col>2</xdr:col>
                    <xdr:colOff>0</xdr:colOff>
                    <xdr:row>5</xdr:row>
                    <xdr:rowOff>76200</xdr:rowOff>
                  </to>
                </anchor>
              </controlPr>
            </control>
          </mc:Choice>
        </mc:AlternateContent>
        <mc:AlternateContent xmlns:mc="http://schemas.openxmlformats.org/markup-compatibility/2006">
          <mc:Choice Requires="x14">
            <control shapeId="9219" r:id="rId6" name="Button 3">
              <controlPr defaultSize="0" print="0" autoFill="0" autoPict="0" macro="[0]!res_zera_var">
                <anchor moveWithCells="1" sizeWithCells="1">
                  <from>
                    <xdr:col>4</xdr:col>
                    <xdr:colOff>0</xdr:colOff>
                    <xdr:row>0</xdr:row>
                    <xdr:rowOff>198120</xdr:rowOff>
                  </from>
                  <to>
                    <xdr:col>4</xdr:col>
                    <xdr:colOff>998220</xdr:colOff>
                    <xdr:row>0</xdr:row>
                    <xdr:rowOff>419100</xdr:rowOff>
                  </to>
                </anchor>
              </controlPr>
            </control>
          </mc:Choice>
        </mc:AlternateContent>
        <mc:AlternateContent xmlns:mc="http://schemas.openxmlformats.org/markup-compatibility/2006">
          <mc:Choice Requires="x14">
            <control shapeId="9220" r:id="rId7" name="Button 4">
              <controlPr defaultSize="0" print="0" autoFill="0" autoPict="0" macro="[0]!res_past_sumario">
                <anchor moveWithCells="1" sizeWithCells="1">
                  <from>
                    <xdr:col>3</xdr:col>
                    <xdr:colOff>0</xdr:colOff>
                    <xdr:row>7</xdr:row>
                    <xdr:rowOff>152400</xdr:rowOff>
                  </from>
                  <to>
                    <xdr:col>4</xdr:col>
                    <xdr:colOff>7620</xdr:colOff>
                    <xdr:row>8</xdr:row>
                    <xdr:rowOff>182880</xdr:rowOff>
                  </to>
                </anchor>
              </controlPr>
            </control>
          </mc:Choice>
        </mc:AlternateContent>
        <mc:AlternateContent xmlns:mc="http://schemas.openxmlformats.org/markup-compatibility/2006">
          <mc:Choice Requires="x14">
            <control shapeId="9221" r:id="rId8" name="Button 5">
              <controlPr defaultSize="0" print="0" autoFill="0" autoPict="0" macro="[0]!res_cpy_resultado">
                <anchor moveWithCells="1" sizeWithCells="1">
                  <from>
                    <xdr:col>5</xdr:col>
                    <xdr:colOff>7620</xdr:colOff>
                    <xdr:row>7</xdr:row>
                    <xdr:rowOff>144780</xdr:rowOff>
                  </from>
                  <to>
                    <xdr:col>5</xdr:col>
                    <xdr:colOff>2857500</xdr:colOff>
                    <xdr:row>8</xdr:row>
                    <xdr:rowOff>182880</xdr:rowOff>
                  </to>
                </anchor>
              </controlPr>
            </control>
          </mc:Choice>
        </mc:AlternateContent>
        <mc:AlternateContent xmlns:mc="http://schemas.openxmlformats.org/markup-compatibility/2006">
          <mc:Choice Requires="x14">
            <control shapeId="9222" r:id="rId9" name="Button 6">
              <controlPr defaultSize="0" print="0" autoFill="0" autoPict="0" macro="[0]!res_cpy_ajuste">
                <anchor moveWithCells="1" sizeWithCells="1">
                  <from>
                    <xdr:col>6</xdr:col>
                    <xdr:colOff>0</xdr:colOff>
                    <xdr:row>0</xdr:row>
                    <xdr:rowOff>259080</xdr:rowOff>
                  </from>
                  <to>
                    <xdr:col>8</xdr:col>
                    <xdr:colOff>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C3:AG35"/>
  <sheetViews>
    <sheetView showGridLines="0" zoomScale="80" zoomScaleNormal="80" workbookViewId="0">
      <selection activeCell="K4" sqref="K4:K6"/>
    </sheetView>
  </sheetViews>
  <sheetFormatPr defaultRowHeight="14.4" x14ac:dyDescent="0.3"/>
  <cols>
    <col min="3" max="3" width="11.5546875" bestFit="1" customWidth="1"/>
    <col min="4" max="4" width="7.44140625" bestFit="1" customWidth="1"/>
    <col min="5" max="6" width="9.5546875" bestFit="1" customWidth="1"/>
    <col min="7" max="7" width="7" bestFit="1" customWidth="1"/>
    <col min="8" max="8" width="7.6640625" bestFit="1" customWidth="1"/>
    <col min="9" max="9" width="7" bestFit="1" customWidth="1"/>
    <col min="10" max="10" width="8.6640625" bestFit="1" customWidth="1"/>
    <col min="11" max="11" width="7.109375" bestFit="1" customWidth="1"/>
    <col min="12" max="12" width="9.88671875" bestFit="1" customWidth="1"/>
    <col min="13" max="13" width="8.44140625" bestFit="1" customWidth="1"/>
    <col min="14" max="14" width="10.44140625" bestFit="1" customWidth="1"/>
    <col min="15" max="15" width="10.109375" bestFit="1" customWidth="1"/>
  </cols>
  <sheetData>
    <row r="3" spans="3:33" x14ac:dyDescent="0.3">
      <c r="C3" s="16" t="s">
        <v>162</v>
      </c>
      <c r="D3" s="11" t="s">
        <v>302</v>
      </c>
      <c r="E3" s="11" t="s">
        <v>296</v>
      </c>
      <c r="F3" s="11" t="s">
        <v>297</v>
      </c>
      <c r="G3" s="11" t="s">
        <v>303</v>
      </c>
      <c r="H3" s="11" t="s">
        <v>298</v>
      </c>
      <c r="I3" s="11" t="s">
        <v>304</v>
      </c>
      <c r="J3" s="11" t="s">
        <v>305</v>
      </c>
      <c r="K3" s="11" t="s">
        <v>306</v>
      </c>
      <c r="L3" s="11" t="s">
        <v>299</v>
      </c>
      <c r="M3" s="11" t="s">
        <v>307</v>
      </c>
      <c r="N3" s="11" t="s">
        <v>301</v>
      </c>
      <c r="O3" s="11" t="s">
        <v>300</v>
      </c>
      <c r="Q3">
        <f>17800/M4</f>
        <v>0.75403088815519148</v>
      </c>
      <c r="U3" s="136" t="s">
        <v>659</v>
      </c>
      <c r="V3" s="136" t="s">
        <v>660</v>
      </c>
      <c r="W3" s="136" t="s">
        <v>661</v>
      </c>
      <c r="X3" s="136" t="s">
        <v>662</v>
      </c>
      <c r="Y3" s="136" t="s">
        <v>663</v>
      </c>
      <c r="Z3" s="136" t="s">
        <v>664</v>
      </c>
      <c r="AA3" s="136" t="s">
        <v>665</v>
      </c>
      <c r="AB3" s="136" t="s">
        <v>666</v>
      </c>
      <c r="AC3" s="136" t="s">
        <v>667</v>
      </c>
      <c r="AD3" s="136" t="s">
        <v>668</v>
      </c>
      <c r="AE3" s="136" t="s">
        <v>669</v>
      </c>
      <c r="AF3" s="136" t="s">
        <v>670</v>
      </c>
      <c r="AG3" s="136" t="s">
        <v>671</v>
      </c>
    </row>
    <row r="4" spans="3:33" x14ac:dyDescent="0.3">
      <c r="C4" s="7" t="s">
        <v>209</v>
      </c>
      <c r="D4" s="12">
        <v>65805.009999999995</v>
      </c>
      <c r="E4" s="12">
        <v>70900.240000000005</v>
      </c>
      <c r="F4" s="12">
        <v>69325.88</v>
      </c>
      <c r="G4" s="12">
        <v>54954.29</v>
      </c>
      <c r="H4" s="12">
        <v>40060.04</v>
      </c>
      <c r="I4" s="12">
        <v>32662.14</v>
      </c>
      <c r="J4" s="12">
        <v>25728.42</v>
      </c>
      <c r="K4" s="12">
        <v>20615.990000000002</v>
      </c>
      <c r="L4" s="12">
        <v>19716.29</v>
      </c>
      <c r="M4" s="12">
        <v>23606.46</v>
      </c>
      <c r="N4" s="12">
        <v>31431.13</v>
      </c>
      <c r="O4" s="12">
        <v>48039.13</v>
      </c>
      <c r="U4" s="136" t="s">
        <v>164</v>
      </c>
      <c r="V4" s="177">
        <v>10211.469999999999</v>
      </c>
      <c r="W4" s="177">
        <v>10312.24</v>
      </c>
      <c r="X4" s="177">
        <v>9751.74</v>
      </c>
      <c r="Y4" s="177">
        <v>7293.91</v>
      </c>
      <c r="Z4" s="177">
        <v>4592.3999999999996</v>
      </c>
      <c r="AA4" s="177">
        <v>3526.84</v>
      </c>
      <c r="AB4" s="177">
        <v>2902.21</v>
      </c>
      <c r="AC4" s="177">
        <v>2451.29</v>
      </c>
      <c r="AD4" s="177">
        <v>2431.92</v>
      </c>
      <c r="AE4" s="177">
        <v>3110.75</v>
      </c>
      <c r="AF4" s="177">
        <v>5011.72</v>
      </c>
      <c r="AG4" s="177">
        <v>8230.74</v>
      </c>
    </row>
    <row r="5" spans="3:33" x14ac:dyDescent="0.3">
      <c r="C5" s="8" t="s">
        <v>210</v>
      </c>
      <c r="D5" s="13">
        <v>7473.8</v>
      </c>
      <c r="E5" s="13">
        <v>8215.48</v>
      </c>
      <c r="F5" s="13">
        <v>7010.29</v>
      </c>
      <c r="G5" s="13">
        <v>6482.86</v>
      </c>
      <c r="H5" s="13">
        <v>8493.81</v>
      </c>
      <c r="I5" s="13">
        <v>10387.290000000001</v>
      </c>
      <c r="J5" s="13">
        <v>10886.57</v>
      </c>
      <c r="K5" s="13">
        <v>9928.59</v>
      </c>
      <c r="L5" s="13">
        <v>11548.7</v>
      </c>
      <c r="M5" s="13">
        <v>13135.1</v>
      </c>
      <c r="N5" s="13">
        <v>9270.06</v>
      </c>
      <c r="O5" s="13">
        <v>7389.75</v>
      </c>
      <c r="U5" s="136" t="s">
        <v>291</v>
      </c>
      <c r="V5" s="177">
        <v>8131.55</v>
      </c>
      <c r="W5" s="177">
        <v>10546.66</v>
      </c>
      <c r="X5" s="177">
        <v>12150.24</v>
      </c>
      <c r="Y5" s="177">
        <v>11627.68</v>
      </c>
      <c r="Z5" s="177">
        <v>8860.74</v>
      </c>
      <c r="AA5" s="177">
        <v>6090.03</v>
      </c>
      <c r="AB5" s="177">
        <v>3864.87</v>
      </c>
      <c r="AC5" s="177">
        <v>2393.0100000000002</v>
      </c>
      <c r="AD5" s="177">
        <v>1793.4</v>
      </c>
      <c r="AE5" s="177">
        <v>2131.9699999999998</v>
      </c>
      <c r="AF5" s="177">
        <v>3364.01</v>
      </c>
      <c r="AG5" s="177">
        <v>5462.43</v>
      </c>
    </row>
    <row r="6" spans="3:33" x14ac:dyDescent="0.3">
      <c r="C6" s="9" t="s">
        <v>211</v>
      </c>
      <c r="D6" s="14">
        <v>13511.91</v>
      </c>
      <c r="E6" s="14">
        <v>14255.8</v>
      </c>
      <c r="F6" s="14">
        <v>14160.49</v>
      </c>
      <c r="G6" s="14">
        <v>11573.88</v>
      </c>
      <c r="H6" s="14">
        <v>6987.51</v>
      </c>
      <c r="I6" s="14">
        <v>4610.84</v>
      </c>
      <c r="J6" s="14">
        <v>3799.05</v>
      </c>
      <c r="K6" s="14">
        <v>3314.04</v>
      </c>
      <c r="L6" s="14">
        <v>2958.98</v>
      </c>
      <c r="M6" s="14">
        <v>3224.32</v>
      </c>
      <c r="N6" s="14">
        <v>5303.18</v>
      </c>
      <c r="O6" s="14">
        <v>9836.7000000000007</v>
      </c>
      <c r="Q6">
        <f>0.3*M5</f>
        <v>3940.5299999999997</v>
      </c>
      <c r="U6" s="136" t="s">
        <v>122</v>
      </c>
      <c r="V6" s="177">
        <v>3263.34</v>
      </c>
      <c r="W6" s="177">
        <v>3799.25</v>
      </c>
      <c r="X6" s="177">
        <v>3962.97</v>
      </c>
      <c r="Y6" s="177">
        <v>3188.55</v>
      </c>
      <c r="Z6" s="177">
        <v>2055.33</v>
      </c>
      <c r="AA6" s="177">
        <v>1353.58</v>
      </c>
      <c r="AB6" s="177">
        <v>984.18</v>
      </c>
      <c r="AC6" s="177">
        <v>775.37</v>
      </c>
      <c r="AD6" s="177">
        <v>684.28</v>
      </c>
      <c r="AE6" s="177">
        <v>846.99</v>
      </c>
      <c r="AF6" s="177">
        <v>1367.87</v>
      </c>
      <c r="AG6" s="177">
        <v>2320.1</v>
      </c>
    </row>
    <row r="7" spans="3:33" x14ac:dyDescent="0.3">
      <c r="C7" s="10" t="s">
        <v>212</v>
      </c>
      <c r="D7" s="15">
        <v>15596.88</v>
      </c>
      <c r="E7" s="15">
        <v>22630.29</v>
      </c>
      <c r="F7" s="15">
        <v>26689.57</v>
      </c>
      <c r="G7" s="15">
        <v>27000.71</v>
      </c>
      <c r="H7" s="15">
        <v>20390.64</v>
      </c>
      <c r="I7" s="15">
        <v>10663.97</v>
      </c>
      <c r="J7" s="15">
        <v>5246.41</v>
      </c>
      <c r="K7" s="15">
        <v>3188.8</v>
      </c>
      <c r="L7" s="15">
        <v>2273.9499999999998</v>
      </c>
      <c r="M7" s="15">
        <v>2389.7800000000002</v>
      </c>
      <c r="N7" s="15">
        <v>4029.2</v>
      </c>
      <c r="O7" s="15">
        <v>8270.6</v>
      </c>
      <c r="U7" s="136" t="s">
        <v>37</v>
      </c>
      <c r="V7" s="177">
        <v>3371.95</v>
      </c>
      <c r="W7" s="177">
        <v>4006.06</v>
      </c>
      <c r="X7" s="177">
        <v>3813.35</v>
      </c>
      <c r="Y7" s="177">
        <v>3572.93</v>
      </c>
      <c r="Z7" s="177">
        <v>3506.73</v>
      </c>
      <c r="AA7" s="177">
        <v>3632.7</v>
      </c>
      <c r="AB7" s="177">
        <v>3120.2</v>
      </c>
      <c r="AC7" s="177">
        <v>2615.7399999999998</v>
      </c>
      <c r="AD7" s="177">
        <v>2662.71</v>
      </c>
      <c r="AE7" s="177">
        <v>3282.2</v>
      </c>
      <c r="AF7" s="177">
        <v>3076.48</v>
      </c>
      <c r="AG7" s="177">
        <v>3062.69</v>
      </c>
    </row>
    <row r="8" spans="3:33" ht="15" thickBot="1" x14ac:dyDescent="0.35">
      <c r="U8" s="136" t="s">
        <v>672</v>
      </c>
      <c r="V8" s="177">
        <v>37021.339999999997</v>
      </c>
      <c r="W8" s="177">
        <v>38040.54</v>
      </c>
      <c r="X8" s="177">
        <v>36091.68</v>
      </c>
      <c r="Y8" s="177">
        <v>26669.48</v>
      </c>
      <c r="Z8" s="177">
        <v>18593.11</v>
      </c>
      <c r="AA8" s="177">
        <v>15417.66</v>
      </c>
      <c r="AB8" s="177">
        <v>12539.96</v>
      </c>
      <c r="AC8" s="177">
        <v>10470.959999999999</v>
      </c>
      <c r="AD8" s="177">
        <v>10090.44</v>
      </c>
      <c r="AE8" s="177">
        <v>11744.37</v>
      </c>
      <c r="AF8" s="177">
        <v>16248.65</v>
      </c>
      <c r="AG8" s="177">
        <v>26291.91</v>
      </c>
    </row>
    <row r="9" spans="3:33" ht="15" thickBot="1" x14ac:dyDescent="0.35">
      <c r="D9" s="234" t="s">
        <v>504</v>
      </c>
      <c r="E9" s="235"/>
      <c r="F9" s="235"/>
      <c r="G9" s="235"/>
      <c r="H9" s="235"/>
      <c r="I9" s="235"/>
      <c r="J9" s="236"/>
      <c r="K9" s="136"/>
      <c r="L9" s="234" t="s">
        <v>506</v>
      </c>
      <c r="M9" s="235"/>
      <c r="N9" s="235"/>
      <c r="O9" s="235"/>
      <c r="P9" s="235"/>
      <c r="Q9" s="235"/>
      <c r="R9" s="236"/>
      <c r="S9" s="164"/>
      <c r="U9" s="136" t="s">
        <v>673</v>
      </c>
      <c r="V9" s="177">
        <v>3674.6</v>
      </c>
      <c r="W9" s="177">
        <v>3788.85</v>
      </c>
      <c r="X9" s="177">
        <v>3158.05</v>
      </c>
      <c r="Y9" s="177">
        <v>2374.1799999999998</v>
      </c>
      <c r="Z9" s="177">
        <v>2350.46</v>
      </c>
      <c r="AA9" s="177">
        <v>2596.0700000000002</v>
      </c>
      <c r="AB9" s="177">
        <v>2281.84</v>
      </c>
      <c r="AC9" s="177">
        <v>1872.87</v>
      </c>
      <c r="AD9" s="177">
        <v>2063.91</v>
      </c>
      <c r="AE9" s="177">
        <v>2538.7800000000002</v>
      </c>
      <c r="AF9" s="177">
        <v>2370.9699999999998</v>
      </c>
      <c r="AG9" s="177">
        <v>2640.46</v>
      </c>
    </row>
    <row r="10" spans="3:33" ht="15" thickBot="1" x14ac:dyDescent="0.35">
      <c r="D10" s="172" t="s">
        <v>502</v>
      </c>
      <c r="E10" s="172" t="s">
        <v>525</v>
      </c>
      <c r="F10" s="172" t="s">
        <v>479</v>
      </c>
      <c r="G10" s="172" t="s">
        <v>503</v>
      </c>
      <c r="H10" s="172" t="s">
        <v>479</v>
      </c>
      <c r="I10" s="172" t="s">
        <v>503</v>
      </c>
      <c r="J10" s="172" t="s">
        <v>505</v>
      </c>
      <c r="L10" s="172" t="s">
        <v>502</v>
      </c>
      <c r="M10" s="172"/>
      <c r="N10" s="172" t="s">
        <v>479</v>
      </c>
      <c r="O10" s="172" t="s">
        <v>503</v>
      </c>
      <c r="P10" s="172" t="s">
        <v>479</v>
      </c>
      <c r="Q10" s="172" t="s">
        <v>503</v>
      </c>
      <c r="R10" s="172" t="s">
        <v>505</v>
      </c>
      <c r="U10" s="136" t="s">
        <v>165</v>
      </c>
      <c r="V10" s="177">
        <v>3398.27</v>
      </c>
      <c r="W10" s="177">
        <v>3899.97</v>
      </c>
      <c r="X10" s="177">
        <v>3168.14</v>
      </c>
      <c r="Y10" s="177">
        <v>3247.42</v>
      </c>
      <c r="Z10" s="177">
        <v>4454.67</v>
      </c>
      <c r="AA10" s="177">
        <v>5259.14</v>
      </c>
      <c r="AB10" s="177">
        <v>5945.01</v>
      </c>
      <c r="AC10" s="177">
        <v>5933.72</v>
      </c>
      <c r="AD10" s="177">
        <v>6930.86</v>
      </c>
      <c r="AE10" s="177">
        <v>7058.91</v>
      </c>
      <c r="AF10" s="177">
        <v>4640.79</v>
      </c>
      <c r="AG10" s="177">
        <v>3509.07</v>
      </c>
    </row>
    <row r="11" spans="3:33" x14ac:dyDescent="0.3">
      <c r="D11" s="167"/>
      <c r="E11" s="136"/>
      <c r="F11" s="136"/>
      <c r="G11" s="168"/>
      <c r="H11" s="165"/>
      <c r="I11" s="166"/>
      <c r="J11" s="173"/>
      <c r="L11" s="167"/>
      <c r="M11" s="136"/>
      <c r="N11" s="136"/>
      <c r="O11" s="168"/>
      <c r="P11" s="167"/>
      <c r="Q11" s="136"/>
      <c r="R11" s="173"/>
      <c r="U11" s="136" t="s">
        <v>674</v>
      </c>
      <c r="V11" s="177">
        <v>4178.6400000000003</v>
      </c>
      <c r="W11" s="177">
        <v>4435.78</v>
      </c>
      <c r="X11" s="177">
        <v>3952</v>
      </c>
      <c r="Y11" s="177">
        <v>3346.61</v>
      </c>
      <c r="Z11" s="177">
        <v>4179.78</v>
      </c>
      <c r="AA11" s="177">
        <v>5244.79</v>
      </c>
      <c r="AB11" s="177">
        <v>4993.17</v>
      </c>
      <c r="AC11" s="177">
        <v>4064.86</v>
      </c>
      <c r="AD11" s="177">
        <v>4770.7299999999996</v>
      </c>
      <c r="AE11" s="177">
        <v>6291.97</v>
      </c>
      <c r="AF11" s="177">
        <v>4784.93</v>
      </c>
      <c r="AG11" s="177">
        <v>3944.37</v>
      </c>
    </row>
    <row r="12" spans="3:33" x14ac:dyDescent="0.3">
      <c r="D12" s="167"/>
      <c r="E12" s="136"/>
      <c r="F12" s="136"/>
      <c r="G12" s="168"/>
      <c r="H12" s="167"/>
      <c r="I12" s="136"/>
      <c r="J12" s="174"/>
      <c r="L12" s="167"/>
      <c r="M12" s="136"/>
      <c r="N12" s="136"/>
      <c r="O12" s="168"/>
      <c r="P12" s="167"/>
      <c r="Q12" s="136"/>
      <c r="R12" s="174"/>
      <c r="U12" s="136" t="s">
        <v>166</v>
      </c>
      <c r="V12" s="177">
        <v>13564.78</v>
      </c>
      <c r="W12" s="177">
        <v>14251.66</v>
      </c>
      <c r="X12" s="177">
        <v>14134.09</v>
      </c>
      <c r="Y12" s="177">
        <v>11545.92</v>
      </c>
      <c r="Z12" s="177">
        <v>6987.47</v>
      </c>
      <c r="AA12" s="177">
        <v>4613.7299999999996</v>
      </c>
      <c r="AB12" s="177">
        <v>3805.38</v>
      </c>
      <c r="AC12" s="177">
        <v>3318.89</v>
      </c>
      <c r="AD12" s="177">
        <v>2965.9</v>
      </c>
      <c r="AE12" s="177">
        <v>3232.7</v>
      </c>
      <c r="AF12" s="177">
        <v>5297.44</v>
      </c>
      <c r="AG12" s="177">
        <v>9873.41</v>
      </c>
    </row>
    <row r="13" spans="3:33" x14ac:dyDescent="0.3">
      <c r="D13" s="167"/>
      <c r="E13" s="136"/>
      <c r="F13" s="136"/>
      <c r="G13" s="168"/>
      <c r="H13" s="167"/>
      <c r="I13" s="136"/>
      <c r="J13" s="174"/>
      <c r="L13" s="167"/>
      <c r="M13" s="136"/>
      <c r="N13" s="136"/>
      <c r="O13" s="168"/>
      <c r="P13" s="167"/>
      <c r="Q13" s="136"/>
      <c r="R13" s="174"/>
      <c r="U13" s="136" t="s">
        <v>167</v>
      </c>
      <c r="V13" s="177">
        <v>9504.19</v>
      </c>
      <c r="W13" s="177">
        <v>12793.17</v>
      </c>
      <c r="X13" s="177">
        <v>14838.08</v>
      </c>
      <c r="Y13" s="177">
        <v>14566.06</v>
      </c>
      <c r="Z13" s="177">
        <v>9281.01</v>
      </c>
      <c r="AA13" s="177">
        <v>4415.76</v>
      </c>
      <c r="AB13" s="177">
        <v>2593.7800000000002</v>
      </c>
      <c r="AC13" s="177">
        <v>1839.75</v>
      </c>
      <c r="AD13" s="177">
        <v>1480.06</v>
      </c>
      <c r="AE13" s="177">
        <v>1700.4</v>
      </c>
      <c r="AF13" s="177">
        <v>2845.87</v>
      </c>
      <c r="AG13" s="177">
        <v>5552.8</v>
      </c>
    </row>
    <row r="14" spans="3:33" x14ac:dyDescent="0.3">
      <c r="D14" s="167"/>
      <c r="E14" s="136"/>
      <c r="F14" s="136"/>
      <c r="G14" s="168"/>
      <c r="H14" s="167"/>
      <c r="I14" s="136"/>
      <c r="J14" s="174"/>
      <c r="L14" s="167"/>
      <c r="M14" s="136"/>
      <c r="N14" s="136"/>
      <c r="O14" s="168"/>
      <c r="P14" s="167"/>
      <c r="Q14" s="136"/>
      <c r="R14" s="174"/>
      <c r="U14" s="136" t="s">
        <v>675</v>
      </c>
      <c r="V14" s="177">
        <v>5643.77</v>
      </c>
      <c r="W14" s="177">
        <v>9028.7199999999993</v>
      </c>
      <c r="X14" s="177">
        <v>10606.38</v>
      </c>
      <c r="Y14" s="177">
        <v>10860.38</v>
      </c>
      <c r="Z14" s="177">
        <v>9367.4699999999993</v>
      </c>
      <c r="AA14" s="177">
        <v>4793.18</v>
      </c>
      <c r="AB14" s="177">
        <v>1622.73</v>
      </c>
      <c r="AC14" s="177">
        <v>673.28</v>
      </c>
      <c r="AD14" s="177">
        <v>377.19</v>
      </c>
      <c r="AE14" s="177">
        <v>430.2</v>
      </c>
      <c r="AF14" s="177">
        <v>972.25</v>
      </c>
      <c r="AG14" s="177">
        <v>2478.9</v>
      </c>
    </row>
    <row r="15" spans="3:33" x14ac:dyDescent="0.3">
      <c r="D15" s="167"/>
      <c r="E15" s="136"/>
      <c r="F15" s="136"/>
      <c r="G15" s="168"/>
      <c r="H15" s="167"/>
      <c r="I15" s="136"/>
      <c r="J15" s="174"/>
      <c r="L15" s="167"/>
      <c r="M15" s="136"/>
      <c r="N15" s="136"/>
      <c r="O15" s="168"/>
      <c r="P15" s="167"/>
      <c r="Q15" s="136"/>
      <c r="R15" s="174"/>
      <c r="U15" s="136" t="s">
        <v>676</v>
      </c>
      <c r="V15" s="177">
        <v>509.13</v>
      </c>
      <c r="W15" s="177">
        <v>871.85</v>
      </c>
      <c r="X15" s="177">
        <v>1228.53</v>
      </c>
      <c r="Y15" s="177">
        <v>1570.02</v>
      </c>
      <c r="Z15" s="177">
        <v>1752.71</v>
      </c>
      <c r="AA15" s="177">
        <v>1489.31</v>
      </c>
      <c r="AB15" s="177">
        <v>1061.6500000000001</v>
      </c>
      <c r="AC15" s="177">
        <v>702.21</v>
      </c>
      <c r="AD15" s="177">
        <v>430.88</v>
      </c>
      <c r="AE15" s="177">
        <v>271.45</v>
      </c>
      <c r="AF15" s="177">
        <v>210.64</v>
      </c>
      <c r="AG15" s="177">
        <v>265.56</v>
      </c>
    </row>
    <row r="16" spans="3:33" x14ac:dyDescent="0.3">
      <c r="D16" s="167"/>
      <c r="E16" s="136"/>
      <c r="F16" s="136"/>
      <c r="G16" s="168"/>
      <c r="H16" s="167"/>
      <c r="I16" s="136"/>
      <c r="J16" s="174"/>
      <c r="L16" s="167"/>
      <c r="M16" s="136"/>
      <c r="N16" s="136"/>
      <c r="O16" s="168"/>
      <c r="P16" s="167"/>
      <c r="Q16" s="136"/>
      <c r="R16" s="174"/>
    </row>
    <row r="17" spans="3:33" x14ac:dyDescent="0.3">
      <c r="D17" s="167"/>
      <c r="E17" s="136"/>
      <c r="F17" s="136"/>
      <c r="G17" s="168"/>
      <c r="H17" s="167"/>
      <c r="I17" s="136"/>
      <c r="J17" s="174"/>
      <c r="L17" s="167"/>
      <c r="M17" s="136"/>
      <c r="N17" s="136"/>
      <c r="O17" s="168"/>
      <c r="P17" s="167"/>
      <c r="Q17" s="136"/>
      <c r="R17" s="174"/>
      <c r="U17" s="136" t="s">
        <v>659</v>
      </c>
      <c r="V17" s="136" t="s">
        <v>164</v>
      </c>
      <c r="W17" s="136" t="s">
        <v>291</v>
      </c>
      <c r="X17" s="136" t="s">
        <v>122</v>
      </c>
      <c r="Y17" s="136" t="s">
        <v>37</v>
      </c>
      <c r="Z17" s="136" t="s">
        <v>672</v>
      </c>
      <c r="AA17" s="136" t="s">
        <v>673</v>
      </c>
      <c r="AB17" s="136" t="s">
        <v>165</v>
      </c>
      <c r="AC17" s="136" t="s">
        <v>674</v>
      </c>
      <c r="AD17" s="136" t="s">
        <v>166</v>
      </c>
      <c r="AE17" s="136" t="s">
        <v>167</v>
      </c>
      <c r="AF17" s="136" t="s">
        <v>675</v>
      </c>
      <c r="AG17" s="136" t="s">
        <v>676</v>
      </c>
    </row>
    <row r="18" spans="3:33" x14ac:dyDescent="0.3">
      <c r="D18" s="167"/>
      <c r="E18" s="136"/>
      <c r="F18" s="136"/>
      <c r="G18" s="168"/>
      <c r="H18" s="167"/>
      <c r="I18" s="136"/>
      <c r="J18" s="174"/>
      <c r="L18" s="167"/>
      <c r="M18" s="136"/>
      <c r="N18" s="136"/>
      <c r="O18" s="168"/>
      <c r="P18" s="167"/>
      <c r="Q18" s="136"/>
      <c r="R18" s="174"/>
      <c r="U18" s="136" t="s">
        <v>660</v>
      </c>
      <c r="V18" s="177">
        <v>10211.469999999999</v>
      </c>
      <c r="W18" s="177">
        <v>8131.55</v>
      </c>
      <c r="X18" s="177">
        <v>3263.34</v>
      </c>
      <c r="Y18" s="177">
        <v>3371.95</v>
      </c>
      <c r="Z18" s="177">
        <v>37021.339999999997</v>
      </c>
      <c r="AA18" s="177">
        <v>3674.6</v>
      </c>
      <c r="AB18" s="177">
        <v>3398.27</v>
      </c>
      <c r="AC18" s="177">
        <v>4178.6400000000003</v>
      </c>
      <c r="AD18" s="177">
        <v>13564.78</v>
      </c>
      <c r="AE18" s="177">
        <v>9504.19</v>
      </c>
      <c r="AF18" s="177">
        <v>5643.77</v>
      </c>
      <c r="AG18" s="177">
        <v>509.13</v>
      </c>
    </row>
    <row r="19" spans="3:33" x14ac:dyDescent="0.3">
      <c r="D19" s="167"/>
      <c r="E19" s="136"/>
      <c r="F19" s="136"/>
      <c r="G19" s="168"/>
      <c r="H19" s="167"/>
      <c r="I19" s="136"/>
      <c r="J19" s="174"/>
      <c r="L19" s="167"/>
      <c r="M19" s="136"/>
      <c r="N19" s="136"/>
      <c r="O19" s="168"/>
      <c r="P19" s="167"/>
      <c r="Q19" s="136"/>
      <c r="R19" s="174"/>
      <c r="U19" s="136" t="s">
        <v>661</v>
      </c>
      <c r="V19" s="177">
        <v>10312.24</v>
      </c>
      <c r="W19" s="177">
        <v>10546.66</v>
      </c>
      <c r="X19" s="177">
        <v>3799.25</v>
      </c>
      <c r="Y19" s="177">
        <v>4006.06</v>
      </c>
      <c r="Z19" s="177">
        <v>38040.54</v>
      </c>
      <c r="AA19" s="177">
        <v>3788.85</v>
      </c>
      <c r="AB19" s="177">
        <v>3899.97</v>
      </c>
      <c r="AC19" s="177">
        <v>4435.78</v>
      </c>
      <c r="AD19" s="177">
        <v>14251.66</v>
      </c>
      <c r="AE19" s="177">
        <v>12793.17</v>
      </c>
      <c r="AF19" s="177">
        <v>9028.7199999999993</v>
      </c>
      <c r="AG19" s="177">
        <v>871.85</v>
      </c>
    </row>
    <row r="20" spans="3:33" x14ac:dyDescent="0.3">
      <c r="D20" s="167"/>
      <c r="E20" s="136"/>
      <c r="F20" s="136"/>
      <c r="G20" s="168"/>
      <c r="H20" s="167"/>
      <c r="I20" s="136"/>
      <c r="J20" s="174"/>
      <c r="L20" s="167"/>
      <c r="M20" s="136"/>
      <c r="N20" s="136"/>
      <c r="O20" s="168"/>
      <c r="P20" s="167"/>
      <c r="Q20" s="136"/>
      <c r="R20" s="174"/>
      <c r="U20" s="136" t="s">
        <v>662</v>
      </c>
      <c r="V20" s="177">
        <v>9751.74</v>
      </c>
      <c r="W20" s="177">
        <v>12150.24</v>
      </c>
      <c r="X20" s="177">
        <v>3962.97</v>
      </c>
      <c r="Y20" s="177">
        <v>3813.35</v>
      </c>
      <c r="Z20" s="177">
        <v>36091.68</v>
      </c>
      <c r="AA20" s="177">
        <v>3158.05</v>
      </c>
      <c r="AB20" s="177">
        <v>3168.14</v>
      </c>
      <c r="AC20" s="177">
        <v>3952</v>
      </c>
      <c r="AD20" s="177">
        <v>14134.09</v>
      </c>
      <c r="AE20" s="177">
        <v>14838.08</v>
      </c>
      <c r="AF20" s="177">
        <v>10606.38</v>
      </c>
      <c r="AG20" s="177">
        <v>1228.53</v>
      </c>
    </row>
    <row r="21" spans="3:33" x14ac:dyDescent="0.3">
      <c r="D21" s="167"/>
      <c r="E21" s="136"/>
      <c r="F21" s="136"/>
      <c r="G21" s="168"/>
      <c r="H21" s="167"/>
      <c r="I21" s="136"/>
      <c r="J21" s="174"/>
      <c r="L21" s="167"/>
      <c r="M21" s="136"/>
      <c r="N21" s="136"/>
      <c r="O21" s="168"/>
      <c r="P21" s="167"/>
      <c r="Q21" s="136"/>
      <c r="R21" s="174"/>
      <c r="U21" s="136" t="s">
        <v>663</v>
      </c>
      <c r="V21" s="177">
        <v>7293.91</v>
      </c>
      <c r="W21" s="177">
        <v>11627.68</v>
      </c>
      <c r="X21" s="177">
        <v>3188.55</v>
      </c>
      <c r="Y21" s="177">
        <v>3572.93</v>
      </c>
      <c r="Z21" s="177">
        <v>26669.48</v>
      </c>
      <c r="AA21" s="177">
        <v>2374.1799999999998</v>
      </c>
      <c r="AB21" s="177">
        <v>3247.42</v>
      </c>
      <c r="AC21" s="177">
        <v>3346.61</v>
      </c>
      <c r="AD21" s="177">
        <v>11545.92</v>
      </c>
      <c r="AE21" s="177">
        <v>14566.06</v>
      </c>
      <c r="AF21" s="177">
        <v>10860.38</v>
      </c>
      <c r="AG21" s="177">
        <v>1570.02</v>
      </c>
    </row>
    <row r="22" spans="3:33" x14ac:dyDescent="0.3">
      <c r="C22" t="s">
        <v>703</v>
      </c>
      <c r="D22" s="167">
        <v>1</v>
      </c>
      <c r="E22" s="136">
        <v>2020</v>
      </c>
      <c r="F22" s="136" t="s">
        <v>489</v>
      </c>
      <c r="G22" s="168" t="s">
        <v>501</v>
      </c>
      <c r="H22" s="167" t="str">
        <f t="shared" ref="H22:H33" si="0">SUBSTITUTE(F22,".",",")</f>
        <v>89,44</v>
      </c>
      <c r="I22" s="136" t="str">
        <f t="shared" ref="I22:I33" si="1">SUBSTITUTE(G22,".",",")</f>
        <v>72,91</v>
      </c>
      <c r="J22" s="174">
        <f t="shared" ref="J22:J33" si="2">(H22-I22-$E$35)*$F$35</f>
        <v>0.15008994000000001</v>
      </c>
      <c r="L22" s="167">
        <v>1</v>
      </c>
      <c r="M22" s="136">
        <v>2020</v>
      </c>
      <c r="N22" s="136" t="s">
        <v>512</v>
      </c>
      <c r="O22" s="168" t="s">
        <v>524</v>
      </c>
      <c r="P22" s="167" t="str">
        <f t="shared" ref="P22:P33" si="3">SUBSTITUTE(N22,".",",")</f>
        <v>71,28</v>
      </c>
      <c r="Q22" s="136" t="str">
        <f t="shared" ref="Q22:Q33" si="4">SUBSTITUTE(O22,".",",")</f>
        <v>55,23</v>
      </c>
      <c r="R22" s="174">
        <f t="shared" ref="R22:R33" si="5">(P22-Q22-$M$35)*$N$35</f>
        <v>0.14073516000000003</v>
      </c>
      <c r="U22" s="136" t="s">
        <v>664</v>
      </c>
      <c r="V22" s="177">
        <v>4592.3999999999996</v>
      </c>
      <c r="W22" s="177">
        <v>8860.74</v>
      </c>
      <c r="X22" s="177">
        <v>2055.33</v>
      </c>
      <c r="Y22" s="177">
        <v>3506.73</v>
      </c>
      <c r="Z22" s="177">
        <v>18593.11</v>
      </c>
      <c r="AA22" s="177">
        <v>2350.46</v>
      </c>
      <c r="AB22" s="177">
        <v>4454.67</v>
      </c>
      <c r="AC22" s="177">
        <v>4179.78</v>
      </c>
      <c r="AD22" s="177">
        <v>6987.47</v>
      </c>
      <c r="AE22" s="177">
        <v>9281.01</v>
      </c>
      <c r="AF22" s="177">
        <v>9367.4699999999993</v>
      </c>
      <c r="AG22" s="177">
        <v>1752.71</v>
      </c>
    </row>
    <row r="23" spans="3:33" x14ac:dyDescent="0.3">
      <c r="C23" t="s">
        <v>692</v>
      </c>
      <c r="D23" s="167">
        <v>2</v>
      </c>
      <c r="E23" s="136">
        <v>2020</v>
      </c>
      <c r="F23" s="136" t="s">
        <v>480</v>
      </c>
      <c r="G23" s="168" t="s">
        <v>490</v>
      </c>
      <c r="H23" s="167" t="str">
        <f t="shared" si="0"/>
        <v>90,00</v>
      </c>
      <c r="I23" s="136" t="str">
        <f t="shared" si="1"/>
        <v>73,71</v>
      </c>
      <c r="J23" s="174">
        <f t="shared" si="2"/>
        <v>0.14789082000000006</v>
      </c>
      <c r="L23" s="167">
        <v>2</v>
      </c>
      <c r="M23" s="136">
        <v>2020</v>
      </c>
      <c r="N23" s="136" t="s">
        <v>507</v>
      </c>
      <c r="O23" s="168" t="s">
        <v>513</v>
      </c>
      <c r="P23" s="167" t="str">
        <f t="shared" si="3"/>
        <v>71,12</v>
      </c>
      <c r="Q23" s="136" t="str">
        <f t="shared" si="4"/>
        <v>57,21</v>
      </c>
      <c r="R23" s="174">
        <f t="shared" si="5"/>
        <v>0.12175764000000003</v>
      </c>
      <c r="U23" s="136" t="s">
        <v>665</v>
      </c>
      <c r="V23" s="177">
        <v>3526.84</v>
      </c>
      <c r="W23" s="177">
        <v>6090.03</v>
      </c>
      <c r="X23" s="177">
        <v>1353.58</v>
      </c>
      <c r="Y23" s="177">
        <v>3632.7</v>
      </c>
      <c r="Z23" s="177">
        <v>15417.66</v>
      </c>
      <c r="AA23" s="177">
        <v>2596.0700000000002</v>
      </c>
      <c r="AB23" s="177">
        <v>5259.14</v>
      </c>
      <c r="AC23" s="177">
        <v>5244.79</v>
      </c>
      <c r="AD23" s="177">
        <v>4613.7299999999996</v>
      </c>
      <c r="AE23" s="177">
        <v>4415.76</v>
      </c>
      <c r="AF23" s="177">
        <v>4793.18</v>
      </c>
      <c r="AG23" s="177">
        <v>1489.31</v>
      </c>
    </row>
    <row r="24" spans="3:33" x14ac:dyDescent="0.3">
      <c r="C24" t="s">
        <v>693</v>
      </c>
      <c r="D24" s="167">
        <v>3</v>
      </c>
      <c r="E24" s="136">
        <v>2019</v>
      </c>
      <c r="F24" s="136" t="s">
        <v>480</v>
      </c>
      <c r="G24" s="168" t="s">
        <v>491</v>
      </c>
      <c r="H24" s="167" t="str">
        <f t="shared" si="0"/>
        <v>90,00</v>
      </c>
      <c r="I24" s="136" t="str">
        <f t="shared" si="1"/>
        <v>74,24</v>
      </c>
      <c r="J24" s="174">
        <f t="shared" si="2"/>
        <v>0.14303443000000005</v>
      </c>
      <c r="L24" s="167">
        <v>3</v>
      </c>
      <c r="M24" s="136">
        <v>2020</v>
      </c>
      <c r="N24" s="136" t="s">
        <v>508</v>
      </c>
      <c r="O24" s="168" t="s">
        <v>514</v>
      </c>
      <c r="P24" s="167" t="str">
        <f t="shared" si="3"/>
        <v>70,83</v>
      </c>
      <c r="Q24" s="136" t="str">
        <f t="shared" si="4"/>
        <v>58,40</v>
      </c>
      <c r="R24" s="174">
        <f t="shared" si="5"/>
        <v>0.10863299999999999</v>
      </c>
      <c r="U24" s="136" t="s">
        <v>666</v>
      </c>
      <c r="V24" s="177">
        <v>2902.21</v>
      </c>
      <c r="W24" s="177">
        <v>3864.87</v>
      </c>
      <c r="X24" s="177">
        <v>984.18</v>
      </c>
      <c r="Y24" s="177">
        <v>3120.2</v>
      </c>
      <c r="Z24" s="177">
        <v>12539.96</v>
      </c>
      <c r="AA24" s="177">
        <v>2281.84</v>
      </c>
      <c r="AB24" s="177">
        <v>5945.01</v>
      </c>
      <c r="AC24" s="177">
        <v>4993.17</v>
      </c>
      <c r="AD24" s="177">
        <v>3805.38</v>
      </c>
      <c r="AE24" s="177">
        <v>2593.7800000000002</v>
      </c>
      <c r="AF24" s="177">
        <v>1622.73</v>
      </c>
      <c r="AG24" s="177">
        <v>1061.6500000000001</v>
      </c>
    </row>
    <row r="25" spans="3:33" x14ac:dyDescent="0.3">
      <c r="C25" t="s">
        <v>694</v>
      </c>
      <c r="D25" s="167">
        <v>4</v>
      </c>
      <c r="E25" s="136">
        <v>2019</v>
      </c>
      <c r="F25" s="136" t="s">
        <v>480</v>
      </c>
      <c r="G25" s="168" t="s">
        <v>492</v>
      </c>
      <c r="H25" s="167" t="str">
        <f t="shared" si="0"/>
        <v>90,00</v>
      </c>
      <c r="I25" s="136" t="str">
        <f t="shared" si="1"/>
        <v>74,02</v>
      </c>
      <c r="J25" s="174">
        <f t="shared" si="2"/>
        <v>0.14505029000000003</v>
      </c>
      <c r="L25" s="167">
        <v>4</v>
      </c>
      <c r="M25" s="136">
        <v>2020</v>
      </c>
      <c r="N25" s="136" t="s">
        <v>509</v>
      </c>
      <c r="O25" s="168" t="s">
        <v>515</v>
      </c>
      <c r="P25" s="167" t="str">
        <f t="shared" si="3"/>
        <v>70,92</v>
      </c>
      <c r="Q25" s="136" t="str">
        <f t="shared" si="4"/>
        <v>58,11</v>
      </c>
      <c r="R25" s="174">
        <f t="shared" si="5"/>
        <v>0.11200284000000001</v>
      </c>
      <c r="U25" s="136" t="s">
        <v>667</v>
      </c>
      <c r="V25" s="177">
        <v>2451.29</v>
      </c>
      <c r="W25" s="177">
        <v>2393.0100000000002</v>
      </c>
      <c r="X25" s="177">
        <v>775.37</v>
      </c>
      <c r="Y25" s="177">
        <v>2615.7399999999998</v>
      </c>
      <c r="Z25" s="177">
        <v>10470.959999999999</v>
      </c>
      <c r="AA25" s="177">
        <v>1872.87</v>
      </c>
      <c r="AB25" s="177">
        <v>5933.72</v>
      </c>
      <c r="AC25" s="177">
        <v>4064.86</v>
      </c>
      <c r="AD25" s="177">
        <v>3318.89</v>
      </c>
      <c r="AE25" s="177">
        <v>1839.75</v>
      </c>
      <c r="AF25" s="177">
        <v>673.28</v>
      </c>
      <c r="AG25" s="177">
        <v>702.21</v>
      </c>
    </row>
    <row r="26" spans="3:33" x14ac:dyDescent="0.3">
      <c r="C26" t="s">
        <v>695</v>
      </c>
      <c r="D26" s="167">
        <v>5</v>
      </c>
      <c r="E26" s="136">
        <v>2020</v>
      </c>
      <c r="F26" s="136" t="s">
        <v>481</v>
      </c>
      <c r="G26" s="168" t="s">
        <v>493</v>
      </c>
      <c r="H26" s="167" t="str">
        <f t="shared" si="0"/>
        <v>89,75</v>
      </c>
      <c r="I26" s="136" t="str">
        <f t="shared" si="1"/>
        <v>73,21</v>
      </c>
      <c r="J26" s="174">
        <f t="shared" si="2"/>
        <v>0.15018157000000007</v>
      </c>
      <c r="L26" s="167">
        <v>5</v>
      </c>
      <c r="M26" s="136">
        <v>2020</v>
      </c>
      <c r="N26" s="136" t="s">
        <v>510</v>
      </c>
      <c r="O26" s="168" t="s">
        <v>516</v>
      </c>
      <c r="P26" s="167" t="str">
        <f t="shared" si="3"/>
        <v>71,22</v>
      </c>
      <c r="Q26" s="136" t="str">
        <f t="shared" si="4"/>
        <v>56,07</v>
      </c>
      <c r="R26" s="174">
        <f t="shared" si="5"/>
        <v>0.13275395999999998</v>
      </c>
      <c r="U26" s="136" t="s">
        <v>668</v>
      </c>
      <c r="V26" s="177">
        <v>2431.92</v>
      </c>
      <c r="W26" s="177">
        <v>1793.4</v>
      </c>
      <c r="X26" s="177">
        <v>684.28</v>
      </c>
      <c r="Y26" s="177">
        <v>2662.71</v>
      </c>
      <c r="Z26" s="177">
        <v>10090.44</v>
      </c>
      <c r="AA26" s="177">
        <v>2063.91</v>
      </c>
      <c r="AB26" s="177">
        <v>6930.86</v>
      </c>
      <c r="AC26" s="177">
        <v>4770.7299999999996</v>
      </c>
      <c r="AD26" s="177">
        <v>2965.9</v>
      </c>
      <c r="AE26" s="177">
        <v>1480.06</v>
      </c>
      <c r="AF26" s="177">
        <v>377.19</v>
      </c>
      <c r="AG26" s="177">
        <v>430.88</v>
      </c>
    </row>
    <row r="27" spans="3:33" x14ac:dyDescent="0.3">
      <c r="C27" t="s">
        <v>696</v>
      </c>
      <c r="D27" s="167">
        <v>6</v>
      </c>
      <c r="E27" s="136">
        <v>2020</v>
      </c>
      <c r="F27" s="136" t="s">
        <v>482</v>
      </c>
      <c r="G27" s="168" t="s">
        <v>494</v>
      </c>
      <c r="H27" s="167" t="str">
        <f t="shared" si="0"/>
        <v>87,95</v>
      </c>
      <c r="I27" s="136" t="str">
        <f t="shared" si="1"/>
        <v>72,39</v>
      </c>
      <c r="J27" s="174">
        <f t="shared" si="2"/>
        <v>0.14120183</v>
      </c>
      <c r="L27" s="167">
        <v>6</v>
      </c>
      <c r="M27" s="136">
        <v>2020</v>
      </c>
      <c r="N27" s="136" t="s">
        <v>511</v>
      </c>
      <c r="O27" s="168" t="s">
        <v>517</v>
      </c>
      <c r="P27" s="167" t="str">
        <f t="shared" si="3"/>
        <v>71,30</v>
      </c>
      <c r="Q27" s="136" t="str">
        <f t="shared" si="4"/>
        <v>53,54</v>
      </c>
      <c r="R27" s="174">
        <f t="shared" si="5"/>
        <v>0.15589943999999997</v>
      </c>
      <c r="U27" s="136" t="s">
        <v>669</v>
      </c>
      <c r="V27" s="177">
        <v>3110.75</v>
      </c>
      <c r="W27" s="177">
        <v>2131.9699999999998</v>
      </c>
      <c r="X27" s="177">
        <v>846.99</v>
      </c>
      <c r="Y27" s="177">
        <v>3282.2</v>
      </c>
      <c r="Z27" s="177">
        <v>11744.37</v>
      </c>
      <c r="AA27" s="177">
        <v>2538.7800000000002</v>
      </c>
      <c r="AB27" s="177">
        <v>7058.91</v>
      </c>
      <c r="AC27" s="177">
        <v>6291.97</v>
      </c>
      <c r="AD27" s="177">
        <v>3232.7</v>
      </c>
      <c r="AE27" s="177">
        <v>1700.4</v>
      </c>
      <c r="AF27" s="177">
        <v>430.2</v>
      </c>
      <c r="AG27" s="177">
        <v>271.45</v>
      </c>
    </row>
    <row r="28" spans="3:33" x14ac:dyDescent="0.3">
      <c r="C28" t="s">
        <v>697</v>
      </c>
      <c r="D28" s="167">
        <v>7</v>
      </c>
      <c r="E28" s="136">
        <v>2020</v>
      </c>
      <c r="F28" s="136" t="s">
        <v>483</v>
      </c>
      <c r="G28" s="168" t="s">
        <v>495</v>
      </c>
      <c r="H28" s="167" t="str">
        <f t="shared" si="0"/>
        <v>85,27</v>
      </c>
      <c r="I28" s="136" t="str">
        <f t="shared" si="1"/>
        <v>71,80</v>
      </c>
      <c r="J28" s="174">
        <f t="shared" si="2"/>
        <v>0.12205115999999998</v>
      </c>
      <c r="L28" s="167">
        <v>7</v>
      </c>
      <c r="M28" s="136">
        <v>2020</v>
      </c>
      <c r="N28" s="136" t="s">
        <v>511</v>
      </c>
      <c r="O28" s="168" t="s">
        <v>518</v>
      </c>
      <c r="P28" s="167" t="str">
        <f t="shared" si="3"/>
        <v>71,30</v>
      </c>
      <c r="Q28" s="136" t="str">
        <f t="shared" si="4"/>
        <v>50,86</v>
      </c>
      <c r="R28" s="174">
        <f t="shared" si="5"/>
        <v>0.17966567999999997</v>
      </c>
      <c r="U28" s="136" t="s">
        <v>670</v>
      </c>
      <c r="V28" s="177">
        <v>5011.72</v>
      </c>
      <c r="W28" s="177">
        <v>3364.01</v>
      </c>
      <c r="X28" s="177">
        <v>1367.87</v>
      </c>
      <c r="Y28" s="177">
        <v>3076.48</v>
      </c>
      <c r="Z28" s="177">
        <v>16248.65</v>
      </c>
      <c r="AA28" s="177">
        <v>2370.9699999999998</v>
      </c>
      <c r="AB28" s="177">
        <v>4640.79</v>
      </c>
      <c r="AC28" s="177">
        <v>4784.93</v>
      </c>
      <c r="AD28" s="177">
        <v>5297.44</v>
      </c>
      <c r="AE28" s="177">
        <v>2845.87</v>
      </c>
      <c r="AF28" s="177">
        <v>972.25</v>
      </c>
      <c r="AG28" s="177">
        <v>210.64</v>
      </c>
    </row>
    <row r="29" spans="3:33" x14ac:dyDescent="0.3">
      <c r="C29" t="s">
        <v>698</v>
      </c>
      <c r="D29" s="167">
        <v>8</v>
      </c>
      <c r="E29" s="136">
        <v>2020</v>
      </c>
      <c r="F29" s="136" t="s">
        <v>484</v>
      </c>
      <c r="G29" s="168" t="s">
        <v>496</v>
      </c>
      <c r="H29" s="167" t="str">
        <f t="shared" si="0"/>
        <v>83,30</v>
      </c>
      <c r="I29" s="136" t="str">
        <f t="shared" si="1"/>
        <v>71,49</v>
      </c>
      <c r="J29" s="174">
        <f t="shared" si="2"/>
        <v>0.10684058</v>
      </c>
      <c r="L29" s="167">
        <v>8</v>
      </c>
      <c r="M29" s="136">
        <v>2020</v>
      </c>
      <c r="N29" s="136" t="s">
        <v>511</v>
      </c>
      <c r="O29" s="168" t="s">
        <v>519</v>
      </c>
      <c r="P29" s="167" t="str">
        <f t="shared" si="3"/>
        <v>71,30</v>
      </c>
      <c r="Q29" s="136" t="str">
        <f t="shared" si="4"/>
        <v>48,55</v>
      </c>
      <c r="R29" s="174">
        <f t="shared" si="5"/>
        <v>0.20015075999999998</v>
      </c>
      <c r="U29" s="136" t="s">
        <v>671</v>
      </c>
      <c r="V29" s="177">
        <v>8230.74</v>
      </c>
      <c r="W29" s="177">
        <v>5462.43</v>
      </c>
      <c r="X29" s="177">
        <v>2320.1</v>
      </c>
      <c r="Y29" s="177">
        <v>3062.69</v>
      </c>
      <c r="Z29" s="177">
        <v>26291.91</v>
      </c>
      <c r="AA29" s="177">
        <v>2640.46</v>
      </c>
      <c r="AB29" s="177">
        <v>3509.07</v>
      </c>
      <c r="AC29" s="177">
        <v>3944.37</v>
      </c>
      <c r="AD29" s="177">
        <v>9873.41</v>
      </c>
      <c r="AE29" s="177">
        <v>5552.8</v>
      </c>
      <c r="AF29" s="177">
        <v>2478.9</v>
      </c>
      <c r="AG29" s="177">
        <v>265.56</v>
      </c>
    </row>
    <row r="30" spans="3:33" x14ac:dyDescent="0.3">
      <c r="C30" t="s">
        <v>699</v>
      </c>
      <c r="D30" s="167">
        <v>9</v>
      </c>
      <c r="E30" s="136">
        <v>2020</v>
      </c>
      <c r="F30" s="136" t="s">
        <v>485</v>
      </c>
      <c r="G30" s="168" t="s">
        <v>497</v>
      </c>
      <c r="H30" s="167" t="str">
        <f t="shared" si="0"/>
        <v>82,78</v>
      </c>
      <c r="I30" s="136" t="str">
        <f t="shared" si="1"/>
        <v>71,40</v>
      </c>
      <c r="J30" s="174">
        <f t="shared" si="2"/>
        <v>0.10290048999999994</v>
      </c>
      <c r="L30" s="167">
        <v>9</v>
      </c>
      <c r="M30" s="136">
        <v>2020</v>
      </c>
      <c r="N30" s="136" t="s">
        <v>511</v>
      </c>
      <c r="O30" s="168" t="s">
        <v>520</v>
      </c>
      <c r="P30" s="167" t="str">
        <f t="shared" si="3"/>
        <v>71,30</v>
      </c>
      <c r="Q30" s="136" t="str">
        <f t="shared" si="4"/>
        <v>47,44</v>
      </c>
      <c r="R30" s="174">
        <f t="shared" si="5"/>
        <v>0.20999423999999997</v>
      </c>
    </row>
    <row r="31" spans="3:33" x14ac:dyDescent="0.3">
      <c r="C31" t="s">
        <v>700</v>
      </c>
      <c r="D31" s="167">
        <v>10</v>
      </c>
      <c r="E31" s="136">
        <v>2020</v>
      </c>
      <c r="F31" s="136" t="s">
        <v>486</v>
      </c>
      <c r="G31" s="168" t="s">
        <v>498</v>
      </c>
      <c r="H31" s="167" t="str">
        <f t="shared" si="0"/>
        <v>83,04</v>
      </c>
      <c r="I31" s="136" t="str">
        <f t="shared" si="1"/>
        <v>71,44</v>
      </c>
      <c r="J31" s="174">
        <f t="shared" si="2"/>
        <v>0.10491635000000006</v>
      </c>
      <c r="L31" s="167">
        <v>10</v>
      </c>
      <c r="M31" s="136">
        <v>2020</v>
      </c>
      <c r="N31" s="136" t="s">
        <v>511</v>
      </c>
      <c r="O31" s="168" t="s">
        <v>521</v>
      </c>
      <c r="P31" s="167" t="str">
        <f t="shared" si="3"/>
        <v>71,30</v>
      </c>
      <c r="Q31" s="136" t="str">
        <f t="shared" si="4"/>
        <v>48,04</v>
      </c>
      <c r="R31" s="174">
        <f t="shared" si="5"/>
        <v>0.20467343999999996</v>
      </c>
    </row>
    <row r="32" spans="3:33" x14ac:dyDescent="0.3">
      <c r="C32" t="s">
        <v>701</v>
      </c>
      <c r="D32" s="167">
        <v>11</v>
      </c>
      <c r="E32" s="136">
        <v>2020</v>
      </c>
      <c r="F32" s="136" t="s">
        <v>487</v>
      </c>
      <c r="G32" s="168" t="s">
        <v>499</v>
      </c>
      <c r="H32" s="167" t="str">
        <f t="shared" si="0"/>
        <v>84,53</v>
      </c>
      <c r="I32" s="136" t="str">
        <f t="shared" si="1"/>
        <v>71,66</v>
      </c>
      <c r="J32" s="174">
        <f t="shared" si="2"/>
        <v>0.11655336000000002</v>
      </c>
      <c r="L32" s="167">
        <v>11</v>
      </c>
      <c r="M32" s="136">
        <v>2020</v>
      </c>
      <c r="N32" s="136" t="s">
        <v>511</v>
      </c>
      <c r="O32" s="168" t="s">
        <v>522</v>
      </c>
      <c r="P32" s="167" t="str">
        <f t="shared" si="3"/>
        <v>71,30</v>
      </c>
      <c r="Q32" s="136" t="str">
        <f t="shared" si="4"/>
        <v>49,96</v>
      </c>
      <c r="R32" s="174">
        <f t="shared" si="5"/>
        <v>0.18764687999999996</v>
      </c>
    </row>
    <row r="33" spans="3:18" ht="15" thickBot="1" x14ac:dyDescent="0.35">
      <c r="C33" t="s">
        <v>702</v>
      </c>
      <c r="D33" s="169">
        <v>12</v>
      </c>
      <c r="E33" s="170">
        <v>2020</v>
      </c>
      <c r="F33" s="170" t="s">
        <v>488</v>
      </c>
      <c r="G33" s="171" t="s">
        <v>500</v>
      </c>
      <c r="H33" s="169" t="str">
        <f t="shared" si="0"/>
        <v>87,15</v>
      </c>
      <c r="I33" s="170" t="str">
        <f t="shared" si="1"/>
        <v>72,14</v>
      </c>
      <c r="J33" s="175">
        <f t="shared" si="2"/>
        <v>0.13616218000000002</v>
      </c>
      <c r="L33" s="169">
        <v>12</v>
      </c>
      <c r="M33" s="170">
        <v>2020</v>
      </c>
      <c r="N33" s="170" t="s">
        <v>511</v>
      </c>
      <c r="O33" s="171" t="s">
        <v>523</v>
      </c>
      <c r="P33" s="169" t="str">
        <f t="shared" si="3"/>
        <v>71,30</v>
      </c>
      <c r="Q33" s="170" t="str">
        <f t="shared" si="4"/>
        <v>52,58</v>
      </c>
      <c r="R33" s="175">
        <f t="shared" si="5"/>
        <v>0.16441271999999998</v>
      </c>
    </row>
    <row r="34" spans="3:18" x14ac:dyDescent="0.3">
      <c r="E34" t="s">
        <v>526</v>
      </c>
      <c r="F34" s="136" t="s">
        <v>527</v>
      </c>
      <c r="H34" s="136"/>
      <c r="M34" t="s">
        <v>526</v>
      </c>
      <c r="N34" s="136" t="s">
        <v>527</v>
      </c>
    </row>
    <row r="35" spans="3:18" x14ac:dyDescent="0.3">
      <c r="E35" s="136">
        <v>0.15</v>
      </c>
      <c r="F35">
        <v>9.1629999999999993E-3</v>
      </c>
      <c r="M35" s="136">
        <v>0.18</v>
      </c>
      <c r="N35">
        <v>8.8679999999999991E-3</v>
      </c>
    </row>
  </sheetData>
  <mergeCells count="2">
    <mergeCell ref="D9:J9"/>
    <mergeCell ref="L9:R9"/>
  </mergeCells>
  <phoneticPr fontId="50"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1"/>
  <dimension ref="B2:N241"/>
  <sheetViews>
    <sheetView showGridLines="0" topLeftCell="A126" zoomScale="115" zoomScaleNormal="115" workbookViewId="0">
      <selection activeCell="A147" sqref="A147:XFD147"/>
    </sheetView>
  </sheetViews>
  <sheetFormatPr defaultColWidth="9.109375" defaultRowHeight="14.4" x14ac:dyDescent="0.3"/>
  <cols>
    <col min="1" max="1" width="9.109375" style="3"/>
    <col min="2" max="2" width="9.88671875" style="2" bestFit="1" customWidth="1"/>
    <col min="3" max="3" width="23.88671875" style="2" bestFit="1" customWidth="1"/>
    <col min="4" max="4" width="20.5546875" style="2" bestFit="1" customWidth="1"/>
    <col min="5" max="5" width="16.5546875" style="2" bestFit="1" customWidth="1"/>
    <col min="6" max="6" width="10.88671875" style="2" bestFit="1" customWidth="1"/>
    <col min="7" max="7" width="13.88671875" style="3" customWidth="1"/>
    <col min="8" max="8" width="13.5546875" style="3" customWidth="1"/>
    <col min="9" max="9" width="8.88671875" style="3" customWidth="1"/>
    <col min="10" max="10" width="4.44140625" style="3" bestFit="1" customWidth="1"/>
    <col min="11" max="11" width="14.109375" style="3" bestFit="1" customWidth="1"/>
    <col min="12" max="12" width="4.44140625" style="3" bestFit="1" customWidth="1"/>
    <col min="13" max="13" width="3.44140625" style="3" bestFit="1" customWidth="1"/>
    <col min="14" max="14" width="12.5546875" style="3" bestFit="1" customWidth="1"/>
    <col min="15" max="16384" width="9.109375" style="3"/>
  </cols>
  <sheetData>
    <row r="2" spans="2:14" x14ac:dyDescent="0.3">
      <c r="B2" s="1" t="s">
        <v>66</v>
      </c>
      <c r="C2" s="1" t="s">
        <v>13</v>
      </c>
      <c r="D2" s="1" t="s">
        <v>225</v>
      </c>
      <c r="E2" s="1" t="s">
        <v>14</v>
      </c>
      <c r="F2" s="1" t="s">
        <v>224</v>
      </c>
      <c r="G2" s="1" t="s">
        <v>293</v>
      </c>
      <c r="H2" s="1" t="s">
        <v>341</v>
      </c>
    </row>
    <row r="3" spans="2:14" x14ac:dyDescent="0.3">
      <c r="B3" s="4">
        <v>1</v>
      </c>
      <c r="C3" s="4" t="s">
        <v>15</v>
      </c>
      <c r="D3" s="4" t="s">
        <v>67</v>
      </c>
      <c r="E3" s="4" t="s">
        <v>164</v>
      </c>
      <c r="F3" s="4">
        <v>1</v>
      </c>
      <c r="G3" s="4" t="s">
        <v>292</v>
      </c>
      <c r="H3" s="126" t="s">
        <v>292</v>
      </c>
      <c r="J3" s="129">
        <v>4</v>
      </c>
      <c r="K3" s="129" t="s">
        <v>17</v>
      </c>
      <c r="L3" s="129">
        <v>211</v>
      </c>
      <c r="M3" s="129">
        <v>10</v>
      </c>
      <c r="N3" s="129" t="s">
        <v>292</v>
      </c>
    </row>
    <row r="4" spans="2:14" x14ac:dyDescent="0.3">
      <c r="B4" s="4">
        <v>2</v>
      </c>
      <c r="C4" s="4" t="s">
        <v>68</v>
      </c>
      <c r="D4" s="4" t="s">
        <v>67</v>
      </c>
      <c r="E4" s="4" t="s">
        <v>164</v>
      </c>
      <c r="F4" s="4">
        <v>1</v>
      </c>
      <c r="G4" s="4" t="s">
        <v>292</v>
      </c>
      <c r="H4" s="126" t="s">
        <v>292</v>
      </c>
      <c r="J4" s="129">
        <v>20</v>
      </c>
      <c r="K4" s="129" t="s">
        <v>20</v>
      </c>
      <c r="L4" s="129">
        <v>22</v>
      </c>
      <c r="M4" s="129">
        <v>10</v>
      </c>
      <c r="N4" s="129" t="s">
        <v>292</v>
      </c>
    </row>
    <row r="5" spans="2:14" x14ac:dyDescent="0.3">
      <c r="B5" s="4">
        <v>6</v>
      </c>
      <c r="C5" s="4" t="s">
        <v>16</v>
      </c>
      <c r="D5" s="4" t="s">
        <v>67</v>
      </c>
      <c r="E5" s="4" t="s">
        <v>164</v>
      </c>
      <c r="F5" s="4">
        <v>1</v>
      </c>
      <c r="G5" s="4" t="s">
        <v>292</v>
      </c>
      <c r="H5" s="126" t="s">
        <v>292</v>
      </c>
      <c r="J5" s="130">
        <v>21</v>
      </c>
      <c r="K5" s="130" t="s">
        <v>21</v>
      </c>
      <c r="L5" s="129">
        <v>251</v>
      </c>
      <c r="M5" s="129">
        <v>10</v>
      </c>
      <c r="N5" s="129" t="s">
        <v>292</v>
      </c>
    </row>
    <row r="6" spans="2:14" x14ac:dyDescent="0.3">
      <c r="B6" s="4">
        <v>7</v>
      </c>
      <c r="C6" s="4" t="s">
        <v>1</v>
      </c>
      <c r="D6" s="4" t="s">
        <v>67</v>
      </c>
      <c r="E6" s="4" t="s">
        <v>164</v>
      </c>
      <c r="F6" s="4">
        <v>1</v>
      </c>
      <c r="G6" s="4" t="s">
        <v>292</v>
      </c>
      <c r="H6" s="126" t="s">
        <v>292</v>
      </c>
      <c r="J6" s="130">
        <v>27</v>
      </c>
      <c r="K6" s="130" t="s">
        <v>346</v>
      </c>
      <c r="L6" s="129">
        <v>207</v>
      </c>
      <c r="M6" s="129">
        <v>10</v>
      </c>
      <c r="N6" s="129" t="s">
        <v>292</v>
      </c>
    </row>
    <row r="7" spans="2:14" x14ac:dyDescent="0.3">
      <c r="B7" s="4">
        <v>8</v>
      </c>
      <c r="C7" s="4" t="s">
        <v>69</v>
      </c>
      <c r="D7" s="4" t="s">
        <v>67</v>
      </c>
      <c r="E7" s="4" t="s">
        <v>164</v>
      </c>
      <c r="F7" s="4">
        <v>1</v>
      </c>
      <c r="G7" s="4" t="s">
        <v>292</v>
      </c>
      <c r="H7" s="126" t="s">
        <v>292</v>
      </c>
      <c r="J7" s="130">
        <v>28</v>
      </c>
      <c r="K7" s="130" t="s">
        <v>347</v>
      </c>
      <c r="L7" s="129">
        <v>28</v>
      </c>
      <c r="M7" s="129">
        <v>10</v>
      </c>
      <c r="N7" s="129" t="s">
        <v>292</v>
      </c>
    </row>
    <row r="8" spans="2:14" x14ac:dyDescent="0.3">
      <c r="B8" s="4">
        <v>9</v>
      </c>
      <c r="C8" s="4" t="s">
        <v>70</v>
      </c>
      <c r="D8" s="4" t="s">
        <v>67</v>
      </c>
      <c r="E8" s="4" t="s">
        <v>164</v>
      </c>
      <c r="F8" s="4">
        <v>1</v>
      </c>
      <c r="G8" s="4" t="s">
        <v>292</v>
      </c>
      <c r="H8" s="126" t="s">
        <v>292</v>
      </c>
      <c r="J8" s="130">
        <v>29</v>
      </c>
      <c r="K8" s="130" t="s">
        <v>26</v>
      </c>
      <c r="L8" s="129">
        <v>205</v>
      </c>
      <c r="M8" s="129">
        <v>10</v>
      </c>
      <c r="N8" s="129" t="s">
        <v>292</v>
      </c>
    </row>
    <row r="9" spans="2:14" x14ac:dyDescent="0.3">
      <c r="B9" s="4">
        <v>10</v>
      </c>
      <c r="C9" s="4" t="s">
        <v>71</v>
      </c>
      <c r="D9" s="4" t="s">
        <v>67</v>
      </c>
      <c r="E9" s="4" t="s">
        <v>164</v>
      </c>
      <c r="F9" s="4">
        <v>1</v>
      </c>
      <c r="G9" s="4" t="s">
        <v>292</v>
      </c>
      <c r="H9" s="126" t="s">
        <v>292</v>
      </c>
      <c r="J9" s="130">
        <v>203</v>
      </c>
      <c r="K9" s="130" t="s">
        <v>27</v>
      </c>
      <c r="L9" s="129">
        <v>23</v>
      </c>
      <c r="M9" s="129">
        <v>10</v>
      </c>
      <c r="N9" s="129" t="s">
        <v>292</v>
      </c>
    </row>
    <row r="10" spans="2:14" x14ac:dyDescent="0.3">
      <c r="B10" s="4">
        <v>11</v>
      </c>
      <c r="C10" s="4" t="s">
        <v>23</v>
      </c>
      <c r="D10" s="4" t="s">
        <v>67</v>
      </c>
      <c r="E10" s="4" t="s">
        <v>164</v>
      </c>
      <c r="F10" s="4">
        <v>1</v>
      </c>
      <c r="G10" s="4" t="s">
        <v>292</v>
      </c>
      <c r="H10" s="126" t="s">
        <v>292</v>
      </c>
      <c r="J10" s="130">
        <v>241</v>
      </c>
      <c r="K10" s="130" t="s">
        <v>59</v>
      </c>
      <c r="L10" s="129">
        <v>241</v>
      </c>
      <c r="M10" s="129">
        <v>10</v>
      </c>
      <c r="N10" s="129" t="s">
        <v>292</v>
      </c>
    </row>
    <row r="11" spans="2:14" x14ac:dyDescent="0.3">
      <c r="B11" s="4">
        <v>12</v>
      </c>
      <c r="C11" s="4" t="s">
        <v>221</v>
      </c>
      <c r="D11" s="4" t="s">
        <v>67</v>
      </c>
      <c r="E11" s="4" t="s">
        <v>164</v>
      </c>
      <c r="F11" s="4">
        <v>1</v>
      </c>
      <c r="G11" s="4" t="s">
        <v>292</v>
      </c>
      <c r="H11" s="126" t="s">
        <v>292</v>
      </c>
      <c r="J11" s="130">
        <v>262</v>
      </c>
      <c r="K11" s="130" t="s">
        <v>145</v>
      </c>
      <c r="L11" s="129">
        <v>294</v>
      </c>
      <c r="M11" s="129">
        <v>10</v>
      </c>
      <c r="N11" s="129" t="s">
        <v>292</v>
      </c>
    </row>
    <row r="12" spans="2:14" x14ac:dyDescent="0.3">
      <c r="B12" s="4">
        <v>14</v>
      </c>
      <c r="C12" s="4" t="s">
        <v>18</v>
      </c>
      <c r="D12" s="4" t="s">
        <v>67</v>
      </c>
      <c r="E12" s="4" t="s">
        <v>164</v>
      </c>
      <c r="F12" s="4">
        <v>1</v>
      </c>
      <c r="G12" s="4" t="s">
        <v>292</v>
      </c>
      <c r="H12" s="126" t="s">
        <v>292</v>
      </c>
      <c r="J12" s="130">
        <v>290</v>
      </c>
      <c r="K12" s="130" t="s">
        <v>34</v>
      </c>
      <c r="L12" s="129">
        <v>99</v>
      </c>
      <c r="M12" s="129">
        <v>10</v>
      </c>
      <c r="N12" s="129" t="s">
        <v>292</v>
      </c>
    </row>
    <row r="13" spans="2:14" x14ac:dyDescent="0.3">
      <c r="B13" s="4">
        <v>15</v>
      </c>
      <c r="C13" s="4" t="s">
        <v>72</v>
      </c>
      <c r="D13" s="4" t="s">
        <v>67</v>
      </c>
      <c r="E13" s="4" t="s">
        <v>164</v>
      </c>
      <c r="F13" s="4">
        <v>1</v>
      </c>
      <c r="G13" s="4" t="s">
        <v>292</v>
      </c>
      <c r="H13" s="126" t="s">
        <v>292</v>
      </c>
      <c r="J13" s="130">
        <v>311</v>
      </c>
      <c r="K13" s="130" t="s">
        <v>33</v>
      </c>
      <c r="L13" s="129">
        <v>247</v>
      </c>
      <c r="M13" s="129">
        <v>10</v>
      </c>
      <c r="N13" s="129" t="s">
        <v>292</v>
      </c>
    </row>
    <row r="14" spans="2:14" x14ac:dyDescent="0.3">
      <c r="B14" s="4">
        <v>16</v>
      </c>
      <c r="C14" s="4" t="s">
        <v>169</v>
      </c>
      <c r="D14" s="4" t="s">
        <v>67</v>
      </c>
      <c r="E14" s="4" t="s">
        <v>164</v>
      </c>
      <c r="F14" s="4">
        <v>1</v>
      </c>
      <c r="G14" s="4" t="s">
        <v>292</v>
      </c>
      <c r="H14" s="126" t="s">
        <v>292</v>
      </c>
      <c r="J14" s="130">
        <v>312</v>
      </c>
      <c r="K14" s="130" t="s">
        <v>62</v>
      </c>
      <c r="L14" s="129">
        <v>248</v>
      </c>
      <c r="M14" s="129">
        <v>10</v>
      </c>
      <c r="N14" s="129" t="s">
        <v>292</v>
      </c>
    </row>
    <row r="15" spans="2:14" x14ac:dyDescent="0.3">
      <c r="B15" s="4">
        <v>17</v>
      </c>
      <c r="C15" s="4" t="s">
        <v>19</v>
      </c>
      <c r="D15" s="4" t="s">
        <v>67</v>
      </c>
      <c r="E15" s="4" t="s">
        <v>164</v>
      </c>
      <c r="F15" s="4">
        <v>1</v>
      </c>
      <c r="G15" s="4" t="s">
        <v>292</v>
      </c>
      <c r="H15" s="126" t="s">
        <v>292</v>
      </c>
      <c r="J15" s="130">
        <v>315</v>
      </c>
      <c r="K15" s="130" t="s">
        <v>348</v>
      </c>
      <c r="L15" s="129">
        <v>261</v>
      </c>
      <c r="M15" s="129">
        <v>10</v>
      </c>
      <c r="N15" s="129" t="s">
        <v>292</v>
      </c>
    </row>
    <row r="16" spans="2:14" x14ac:dyDescent="0.3">
      <c r="B16" s="4">
        <v>18</v>
      </c>
      <c r="C16" s="4" t="s">
        <v>220</v>
      </c>
      <c r="D16" s="4" t="s">
        <v>67</v>
      </c>
      <c r="E16" s="4" t="s">
        <v>164</v>
      </c>
      <c r="F16" s="4">
        <v>1</v>
      </c>
      <c r="G16" s="4" t="s">
        <v>292</v>
      </c>
      <c r="H16" s="126" t="s">
        <v>292</v>
      </c>
      <c r="J16" s="130">
        <v>1</v>
      </c>
      <c r="K16" s="130" t="s">
        <v>15</v>
      </c>
      <c r="L16" s="129">
        <v>1</v>
      </c>
      <c r="M16" s="129">
        <v>10</v>
      </c>
      <c r="N16" s="129" t="s">
        <v>292</v>
      </c>
    </row>
    <row r="17" spans="2:14" x14ac:dyDescent="0.3">
      <c r="B17" s="4">
        <v>20</v>
      </c>
      <c r="C17" s="4" t="s">
        <v>238</v>
      </c>
      <c r="D17" s="4"/>
      <c r="E17" s="4" t="s">
        <v>164</v>
      </c>
      <c r="F17" s="4">
        <v>1</v>
      </c>
      <c r="G17" s="4" t="s">
        <v>312</v>
      </c>
      <c r="H17" s="126"/>
      <c r="J17" s="130">
        <v>2</v>
      </c>
      <c r="K17" s="130" t="s">
        <v>68</v>
      </c>
      <c r="L17" s="129">
        <v>2</v>
      </c>
      <c r="M17" s="129">
        <v>10</v>
      </c>
      <c r="N17" s="129" t="s">
        <v>292</v>
      </c>
    </row>
    <row r="18" spans="2:14" x14ac:dyDescent="0.3">
      <c r="B18" s="4">
        <v>22</v>
      </c>
      <c r="C18" s="4" t="s">
        <v>20</v>
      </c>
      <c r="D18" s="4" t="s">
        <v>73</v>
      </c>
      <c r="E18" s="4" t="s">
        <v>164</v>
      </c>
      <c r="F18" s="4">
        <v>1</v>
      </c>
      <c r="G18" s="4" t="s">
        <v>292</v>
      </c>
      <c r="H18" s="126" t="s">
        <v>292</v>
      </c>
      <c r="J18" s="130">
        <v>6</v>
      </c>
      <c r="K18" s="130" t="s">
        <v>16</v>
      </c>
      <c r="L18" s="129">
        <v>6</v>
      </c>
      <c r="M18" s="129">
        <v>10</v>
      </c>
      <c r="N18" s="129" t="s">
        <v>292</v>
      </c>
    </row>
    <row r="19" spans="2:14" x14ac:dyDescent="0.3">
      <c r="B19" s="4">
        <v>23</v>
      </c>
      <c r="C19" s="4" t="s">
        <v>27</v>
      </c>
      <c r="D19" s="4" t="s">
        <v>73</v>
      </c>
      <c r="E19" s="4" t="s">
        <v>164</v>
      </c>
      <c r="F19" s="4">
        <v>1</v>
      </c>
      <c r="G19" s="4" t="s">
        <v>292</v>
      </c>
      <c r="H19" s="126" t="s">
        <v>292</v>
      </c>
      <c r="J19" s="130">
        <v>7</v>
      </c>
      <c r="K19" s="130" t="s">
        <v>1</v>
      </c>
      <c r="L19" s="129">
        <v>7</v>
      </c>
      <c r="M19" s="129">
        <v>10</v>
      </c>
      <c r="N19" s="129" t="s">
        <v>292</v>
      </c>
    </row>
    <row r="20" spans="2:14" x14ac:dyDescent="0.3">
      <c r="B20" s="4">
        <v>24</v>
      </c>
      <c r="C20" s="4" t="s">
        <v>22</v>
      </c>
      <c r="D20" s="4" t="s">
        <v>73</v>
      </c>
      <c r="E20" s="4" t="s">
        <v>164</v>
      </c>
      <c r="F20" s="4">
        <v>1</v>
      </c>
      <c r="G20" s="4" t="s">
        <v>292</v>
      </c>
      <c r="H20" s="126" t="s">
        <v>292</v>
      </c>
      <c r="J20" s="130">
        <v>8</v>
      </c>
      <c r="K20" s="130" t="s">
        <v>349</v>
      </c>
      <c r="L20" s="129">
        <v>8</v>
      </c>
      <c r="M20" s="129">
        <v>10</v>
      </c>
      <c r="N20" s="129" t="s">
        <v>292</v>
      </c>
    </row>
    <row r="21" spans="2:14" x14ac:dyDescent="0.3">
      <c r="B21" s="4">
        <v>25</v>
      </c>
      <c r="C21" s="4" t="s">
        <v>24</v>
      </c>
      <c r="D21" s="4" t="s">
        <v>73</v>
      </c>
      <c r="E21" s="4" t="s">
        <v>164</v>
      </c>
      <c r="F21" s="4">
        <v>1</v>
      </c>
      <c r="G21" s="4" t="s">
        <v>292</v>
      </c>
      <c r="H21" s="126" t="s">
        <v>292</v>
      </c>
      <c r="J21" s="130">
        <v>9</v>
      </c>
      <c r="K21" s="130" t="s">
        <v>70</v>
      </c>
      <c r="L21" s="129">
        <v>9</v>
      </c>
      <c r="M21" s="129">
        <v>10</v>
      </c>
      <c r="N21" s="129" t="s">
        <v>292</v>
      </c>
    </row>
    <row r="22" spans="2:14" x14ac:dyDescent="0.3">
      <c r="B22" s="4">
        <v>28</v>
      </c>
      <c r="C22" s="4" t="s">
        <v>219</v>
      </c>
      <c r="D22" s="4" t="s">
        <v>73</v>
      </c>
      <c r="E22" s="4" t="s">
        <v>164</v>
      </c>
      <c r="F22" s="4">
        <v>1</v>
      </c>
      <c r="G22" s="4" t="s">
        <v>292</v>
      </c>
      <c r="H22" s="126" t="s">
        <v>292</v>
      </c>
      <c r="J22" s="130">
        <v>10</v>
      </c>
      <c r="K22" s="130" t="s">
        <v>71</v>
      </c>
      <c r="L22" s="129">
        <v>10</v>
      </c>
      <c r="M22" s="129">
        <v>10</v>
      </c>
      <c r="N22" s="129" t="s">
        <v>292</v>
      </c>
    </row>
    <row r="23" spans="2:14" x14ac:dyDescent="0.3">
      <c r="B23" s="4">
        <v>31</v>
      </c>
      <c r="C23" s="4" t="s">
        <v>29</v>
      </c>
      <c r="D23" s="4" t="s">
        <v>73</v>
      </c>
      <c r="E23" s="4" t="s">
        <v>164</v>
      </c>
      <c r="F23" s="4">
        <v>1</v>
      </c>
      <c r="G23" s="4" t="s">
        <v>292</v>
      </c>
      <c r="H23" s="126" t="s">
        <v>292</v>
      </c>
      <c r="J23" s="130">
        <v>11</v>
      </c>
      <c r="K23" s="130" t="s">
        <v>23</v>
      </c>
      <c r="L23" s="129">
        <v>11</v>
      </c>
      <c r="M23" s="129">
        <v>10</v>
      </c>
      <c r="N23" s="129" t="s">
        <v>292</v>
      </c>
    </row>
    <row r="24" spans="2:14" x14ac:dyDescent="0.3">
      <c r="B24" s="4">
        <v>32</v>
      </c>
      <c r="C24" s="4" t="s">
        <v>218</v>
      </c>
      <c r="D24" s="4" t="s">
        <v>73</v>
      </c>
      <c r="E24" s="4" t="s">
        <v>164</v>
      </c>
      <c r="F24" s="4">
        <v>1</v>
      </c>
      <c r="G24" s="4" t="s">
        <v>292</v>
      </c>
      <c r="H24" s="126" t="s">
        <v>292</v>
      </c>
      <c r="J24" s="130">
        <v>12</v>
      </c>
      <c r="K24" s="130" t="s">
        <v>221</v>
      </c>
      <c r="L24" s="129">
        <v>12</v>
      </c>
      <c r="M24" s="129">
        <v>10</v>
      </c>
      <c r="N24" s="129" t="s">
        <v>292</v>
      </c>
    </row>
    <row r="25" spans="2:14" x14ac:dyDescent="0.3">
      <c r="B25" s="4">
        <v>33</v>
      </c>
      <c r="C25" s="4" t="s">
        <v>30</v>
      </c>
      <c r="D25" s="4" t="s">
        <v>73</v>
      </c>
      <c r="E25" s="4" t="s">
        <v>164</v>
      </c>
      <c r="F25" s="4">
        <v>1</v>
      </c>
      <c r="G25" s="4" t="s">
        <v>292</v>
      </c>
      <c r="H25" s="126" t="s">
        <v>292</v>
      </c>
      <c r="J25" s="130">
        <v>14</v>
      </c>
      <c r="K25" s="130" t="s">
        <v>18</v>
      </c>
      <c r="L25" s="129">
        <v>14</v>
      </c>
      <c r="M25" s="129">
        <v>10</v>
      </c>
      <c r="N25" s="129" t="s">
        <v>292</v>
      </c>
    </row>
    <row r="26" spans="2:14" x14ac:dyDescent="0.3">
      <c r="B26" s="4">
        <v>34</v>
      </c>
      <c r="C26" s="4" t="s">
        <v>74</v>
      </c>
      <c r="D26" s="4" t="s">
        <v>170</v>
      </c>
      <c r="E26" s="4" t="s">
        <v>164</v>
      </c>
      <c r="F26" s="4">
        <v>1</v>
      </c>
      <c r="G26" s="4" t="s">
        <v>292</v>
      </c>
      <c r="H26" s="126" t="s">
        <v>292</v>
      </c>
      <c r="J26" s="125">
        <v>15</v>
      </c>
      <c r="K26" s="125" t="s">
        <v>350</v>
      </c>
      <c r="L26" s="2">
        <v>15</v>
      </c>
      <c r="M26" s="3">
        <v>10</v>
      </c>
      <c r="N26" s="3" t="s">
        <v>292</v>
      </c>
    </row>
    <row r="27" spans="2:14" x14ac:dyDescent="0.3">
      <c r="B27" s="4">
        <v>37</v>
      </c>
      <c r="C27" s="4" t="s">
        <v>0</v>
      </c>
      <c r="D27" s="4" t="s">
        <v>93</v>
      </c>
      <c r="E27" s="4" t="s">
        <v>164</v>
      </c>
      <c r="F27" s="4">
        <v>1</v>
      </c>
      <c r="G27" s="4" t="s">
        <v>292</v>
      </c>
      <c r="H27" s="126" t="s">
        <v>292</v>
      </c>
      <c r="J27" s="125">
        <v>16</v>
      </c>
      <c r="K27" s="125" t="s">
        <v>351</v>
      </c>
      <c r="L27" s="2">
        <v>16</v>
      </c>
      <c r="M27" s="3">
        <v>10</v>
      </c>
      <c r="N27" s="3" t="s">
        <v>292</v>
      </c>
    </row>
    <row r="28" spans="2:14" x14ac:dyDescent="0.3">
      <c r="B28" s="4">
        <v>38</v>
      </c>
      <c r="C28" s="4" t="s">
        <v>124</v>
      </c>
      <c r="D28" s="4" t="s">
        <v>93</v>
      </c>
      <c r="E28" s="4" t="s">
        <v>164</v>
      </c>
      <c r="F28" s="4">
        <v>1</v>
      </c>
      <c r="G28" s="4" t="s">
        <v>292</v>
      </c>
      <c r="H28" s="126" t="s">
        <v>292</v>
      </c>
      <c r="J28" s="125">
        <v>17</v>
      </c>
      <c r="K28" s="125" t="s">
        <v>19</v>
      </c>
      <c r="L28" s="2">
        <v>17</v>
      </c>
      <c r="M28" s="3">
        <v>10</v>
      </c>
      <c r="N28" s="3" t="s">
        <v>292</v>
      </c>
    </row>
    <row r="29" spans="2:14" x14ac:dyDescent="0.3">
      <c r="B29" s="4">
        <v>39</v>
      </c>
      <c r="C29" s="4" t="s">
        <v>125</v>
      </c>
      <c r="D29" s="4" t="s">
        <v>93</v>
      </c>
      <c r="E29" s="4" t="s">
        <v>164</v>
      </c>
      <c r="F29" s="4">
        <v>1</v>
      </c>
      <c r="G29" s="4" t="s">
        <v>292</v>
      </c>
      <c r="H29" s="126" t="s">
        <v>292</v>
      </c>
      <c r="J29" s="125">
        <v>18</v>
      </c>
      <c r="K29" s="125" t="s">
        <v>352</v>
      </c>
      <c r="L29" s="2">
        <v>18</v>
      </c>
      <c r="M29" s="3">
        <v>10</v>
      </c>
      <c r="N29" s="3" t="s">
        <v>292</v>
      </c>
    </row>
    <row r="30" spans="2:14" x14ac:dyDescent="0.3">
      <c r="B30" s="4">
        <v>40</v>
      </c>
      <c r="C30" s="4" t="s">
        <v>32</v>
      </c>
      <c r="D30" s="4" t="s">
        <v>93</v>
      </c>
      <c r="E30" s="4" t="s">
        <v>164</v>
      </c>
      <c r="F30" s="4">
        <v>1</v>
      </c>
      <c r="G30" s="4" t="s">
        <v>292</v>
      </c>
      <c r="H30" s="126" t="s">
        <v>292</v>
      </c>
      <c r="J30" s="125">
        <v>24</v>
      </c>
      <c r="K30" s="125" t="s">
        <v>22</v>
      </c>
      <c r="L30" s="2">
        <v>24</v>
      </c>
      <c r="M30" s="3">
        <v>10</v>
      </c>
      <c r="N30" s="3" t="s">
        <v>292</v>
      </c>
    </row>
    <row r="31" spans="2:14" x14ac:dyDescent="0.3">
      <c r="B31" s="4">
        <v>42</v>
      </c>
      <c r="C31" s="4" t="s">
        <v>178</v>
      </c>
      <c r="D31" s="4" t="s">
        <v>93</v>
      </c>
      <c r="E31" s="4" t="s">
        <v>164</v>
      </c>
      <c r="F31" s="4">
        <v>1</v>
      </c>
      <c r="G31" s="4" t="s">
        <v>292</v>
      </c>
      <c r="H31" s="126" t="s">
        <v>292</v>
      </c>
      <c r="J31" s="125">
        <v>25</v>
      </c>
      <c r="K31" s="125" t="s">
        <v>24</v>
      </c>
      <c r="L31" s="2">
        <v>25</v>
      </c>
      <c r="M31" s="3">
        <v>10</v>
      </c>
      <c r="N31" s="3" t="s">
        <v>292</v>
      </c>
    </row>
    <row r="32" spans="2:14" x14ac:dyDescent="0.3">
      <c r="B32" s="4">
        <v>43</v>
      </c>
      <c r="C32" s="4" t="s">
        <v>180</v>
      </c>
      <c r="D32" s="4" t="s">
        <v>93</v>
      </c>
      <c r="E32" s="4" t="s">
        <v>164</v>
      </c>
      <c r="F32" s="4">
        <v>1</v>
      </c>
      <c r="G32" s="4" t="s">
        <v>292</v>
      </c>
      <c r="H32" s="126" t="s">
        <v>292</v>
      </c>
      <c r="J32" s="125">
        <v>26</v>
      </c>
      <c r="K32" s="125" t="s">
        <v>25</v>
      </c>
      <c r="L32" s="2">
        <v>206</v>
      </c>
      <c r="M32" s="3">
        <v>10</v>
      </c>
      <c r="N32" s="3" t="s">
        <v>292</v>
      </c>
    </row>
    <row r="33" spans="2:14" x14ac:dyDescent="0.3">
      <c r="B33" s="4">
        <v>44</v>
      </c>
      <c r="C33" s="4"/>
      <c r="D33" s="4"/>
      <c r="E33" s="4"/>
      <c r="F33" s="4"/>
      <c r="G33" s="4" t="s">
        <v>312</v>
      </c>
      <c r="H33" s="126"/>
      <c r="J33" s="125">
        <v>30</v>
      </c>
      <c r="K33" s="125" t="s">
        <v>28</v>
      </c>
      <c r="L33" s="2">
        <v>209</v>
      </c>
      <c r="M33" s="3">
        <v>10</v>
      </c>
      <c r="N33" s="3" t="s">
        <v>292</v>
      </c>
    </row>
    <row r="34" spans="2:14" x14ac:dyDescent="0.3">
      <c r="B34" s="4">
        <v>45</v>
      </c>
      <c r="C34" s="4" t="s">
        <v>182</v>
      </c>
      <c r="D34" s="4" t="s">
        <v>170</v>
      </c>
      <c r="E34" s="4" t="s">
        <v>164</v>
      </c>
      <c r="F34" s="4">
        <v>1</v>
      </c>
      <c r="G34" s="4" t="s">
        <v>292</v>
      </c>
      <c r="H34" s="126" t="s">
        <v>292</v>
      </c>
      <c r="J34" s="125">
        <v>31</v>
      </c>
      <c r="K34" s="125" t="s">
        <v>29</v>
      </c>
      <c r="L34" s="2">
        <v>31</v>
      </c>
      <c r="M34" s="3">
        <v>10</v>
      </c>
      <c r="N34" s="3" t="s">
        <v>292</v>
      </c>
    </row>
    <row r="35" spans="2:14" x14ac:dyDescent="0.3">
      <c r="B35" s="4">
        <v>46</v>
      </c>
      <c r="C35" s="4" t="s">
        <v>130</v>
      </c>
      <c r="D35" s="4" t="s">
        <v>171</v>
      </c>
      <c r="E35" s="4" t="s">
        <v>164</v>
      </c>
      <c r="F35" s="4">
        <v>1</v>
      </c>
      <c r="G35" s="4" t="s">
        <v>292</v>
      </c>
      <c r="H35" s="126" t="s">
        <v>292</v>
      </c>
      <c r="J35" s="125">
        <v>32</v>
      </c>
      <c r="K35" s="125" t="s">
        <v>353</v>
      </c>
      <c r="L35" s="2">
        <v>32</v>
      </c>
      <c r="M35" s="3">
        <v>10</v>
      </c>
      <c r="N35" s="3" t="s">
        <v>292</v>
      </c>
    </row>
    <row r="36" spans="2:14" x14ac:dyDescent="0.3">
      <c r="B36" s="4">
        <v>47</v>
      </c>
      <c r="C36" s="4" t="s">
        <v>75</v>
      </c>
      <c r="D36" s="4" t="s">
        <v>222</v>
      </c>
      <c r="E36" s="4" t="s">
        <v>164</v>
      </c>
      <c r="F36" s="4">
        <v>1</v>
      </c>
      <c r="G36" s="4" t="s">
        <v>292</v>
      </c>
      <c r="H36" s="126" t="s">
        <v>338</v>
      </c>
      <c r="J36" s="125">
        <v>33</v>
      </c>
      <c r="K36" s="125" t="s">
        <v>30</v>
      </c>
      <c r="L36" s="2">
        <v>33</v>
      </c>
      <c r="M36" s="3">
        <v>10</v>
      </c>
      <c r="N36" s="3" t="s">
        <v>292</v>
      </c>
    </row>
    <row r="37" spans="2:14" x14ac:dyDescent="0.3">
      <c r="B37" s="4">
        <v>48</v>
      </c>
      <c r="C37" s="4" t="s">
        <v>76</v>
      </c>
      <c r="D37" s="4" t="s">
        <v>222</v>
      </c>
      <c r="E37" s="4" t="s">
        <v>164</v>
      </c>
      <c r="F37" s="4">
        <v>1</v>
      </c>
      <c r="G37" s="4" t="s">
        <v>292</v>
      </c>
      <c r="H37" s="126" t="s">
        <v>338</v>
      </c>
      <c r="J37" s="125">
        <v>37</v>
      </c>
      <c r="K37" s="125" t="s">
        <v>0</v>
      </c>
      <c r="L37" s="2">
        <v>37</v>
      </c>
      <c r="M37" s="3">
        <v>10</v>
      </c>
      <c r="N37" s="3" t="s">
        <v>292</v>
      </c>
    </row>
    <row r="38" spans="2:14" x14ac:dyDescent="0.3">
      <c r="B38" s="4">
        <v>49</v>
      </c>
      <c r="C38" s="4" t="s">
        <v>35</v>
      </c>
      <c r="D38" s="4" t="s">
        <v>222</v>
      </c>
      <c r="E38" s="4" t="s">
        <v>164</v>
      </c>
      <c r="F38" s="4">
        <v>1</v>
      </c>
      <c r="G38" s="4" t="s">
        <v>292</v>
      </c>
      <c r="H38" s="126" t="s">
        <v>338</v>
      </c>
      <c r="J38" s="125">
        <v>38</v>
      </c>
      <c r="K38" s="125" t="s">
        <v>354</v>
      </c>
      <c r="L38" s="2">
        <v>38</v>
      </c>
      <c r="M38" s="3">
        <v>10</v>
      </c>
      <c r="N38" s="3" t="s">
        <v>292</v>
      </c>
    </row>
    <row r="39" spans="2:14" x14ac:dyDescent="0.3">
      <c r="B39" s="4">
        <v>50</v>
      </c>
      <c r="C39" s="4" t="s">
        <v>185</v>
      </c>
      <c r="D39" s="4" t="s">
        <v>222</v>
      </c>
      <c r="E39" s="4" t="s">
        <v>164</v>
      </c>
      <c r="F39" s="4">
        <v>1</v>
      </c>
      <c r="G39" s="4" t="s">
        <v>292</v>
      </c>
      <c r="H39" s="126" t="s">
        <v>338</v>
      </c>
      <c r="J39" s="125">
        <v>39</v>
      </c>
      <c r="K39" s="125" t="s">
        <v>125</v>
      </c>
      <c r="L39" s="2">
        <v>39</v>
      </c>
      <c r="M39" s="3">
        <v>10</v>
      </c>
      <c r="N39" s="3" t="s">
        <v>292</v>
      </c>
    </row>
    <row r="40" spans="2:14" x14ac:dyDescent="0.3">
      <c r="B40" s="4">
        <v>51</v>
      </c>
      <c r="C40" s="4" t="s">
        <v>77</v>
      </c>
      <c r="D40" s="4" t="s">
        <v>222</v>
      </c>
      <c r="E40" s="4" t="s">
        <v>164</v>
      </c>
      <c r="F40" s="4">
        <v>1</v>
      </c>
      <c r="G40" s="4" t="s">
        <v>292</v>
      </c>
      <c r="H40" s="126" t="s">
        <v>338</v>
      </c>
      <c r="J40" s="125">
        <v>40</v>
      </c>
      <c r="K40" s="125" t="s">
        <v>32</v>
      </c>
      <c r="L40" s="2">
        <v>40</v>
      </c>
      <c r="M40" s="3">
        <v>10</v>
      </c>
      <c r="N40" s="3" t="s">
        <v>292</v>
      </c>
    </row>
    <row r="41" spans="2:14" x14ac:dyDescent="0.3">
      <c r="B41" s="4">
        <v>52</v>
      </c>
      <c r="C41" s="4" t="s">
        <v>78</v>
      </c>
      <c r="D41" s="4" t="s">
        <v>222</v>
      </c>
      <c r="E41" s="4" t="s">
        <v>164</v>
      </c>
      <c r="F41" s="4">
        <v>1</v>
      </c>
      <c r="G41" s="4" t="s">
        <v>292</v>
      </c>
      <c r="H41" s="126" t="s">
        <v>338</v>
      </c>
      <c r="J41" s="125">
        <v>42</v>
      </c>
      <c r="K41" s="125" t="s">
        <v>355</v>
      </c>
      <c r="L41" s="2">
        <v>42</v>
      </c>
      <c r="M41" s="3">
        <v>10</v>
      </c>
      <c r="N41" s="3" t="s">
        <v>292</v>
      </c>
    </row>
    <row r="42" spans="2:14" x14ac:dyDescent="0.3">
      <c r="B42" s="4">
        <v>55</v>
      </c>
      <c r="C42" s="4" t="s">
        <v>685</v>
      </c>
      <c r="D42" s="4" t="s">
        <v>81</v>
      </c>
      <c r="E42" s="4" t="s">
        <v>165</v>
      </c>
      <c r="F42" s="4">
        <v>2</v>
      </c>
      <c r="G42" s="4" t="s">
        <v>165</v>
      </c>
      <c r="H42" s="4" t="s">
        <v>339</v>
      </c>
      <c r="J42" s="125"/>
      <c r="K42" s="125"/>
      <c r="L42" s="2"/>
    </row>
    <row r="43" spans="2:14" x14ac:dyDescent="0.3">
      <c r="B43" s="4">
        <v>57</v>
      </c>
      <c r="C43" s="4" t="s">
        <v>79</v>
      </c>
      <c r="D43" s="4" t="s">
        <v>181</v>
      </c>
      <c r="E43" s="4" t="s">
        <v>165</v>
      </c>
      <c r="F43" s="4">
        <v>2</v>
      </c>
      <c r="G43" s="4" t="s">
        <v>165</v>
      </c>
      <c r="H43" s="4" t="s">
        <v>339</v>
      </c>
      <c r="J43" s="125">
        <v>44</v>
      </c>
      <c r="K43" s="125" t="s">
        <v>356</v>
      </c>
      <c r="L43" s="2">
        <v>44</v>
      </c>
      <c r="M43" s="3">
        <v>10</v>
      </c>
      <c r="N43" s="3" t="s">
        <v>292</v>
      </c>
    </row>
    <row r="44" spans="2:14" x14ac:dyDescent="0.3">
      <c r="B44" s="4">
        <v>58</v>
      </c>
      <c r="C44" s="4" t="s">
        <v>258</v>
      </c>
      <c r="D44" s="4"/>
      <c r="E44" s="4" t="s">
        <v>165</v>
      </c>
      <c r="F44" s="4">
        <v>2</v>
      </c>
      <c r="G44" s="6" t="s">
        <v>165</v>
      </c>
      <c r="H44" s="126" t="s">
        <v>165</v>
      </c>
      <c r="J44" s="125">
        <v>45</v>
      </c>
      <c r="K44" s="125" t="s">
        <v>182</v>
      </c>
      <c r="L44" s="2">
        <v>45</v>
      </c>
      <c r="M44" s="3">
        <v>10</v>
      </c>
      <c r="N44" s="3" t="s">
        <v>292</v>
      </c>
    </row>
    <row r="45" spans="2:14" x14ac:dyDescent="0.3">
      <c r="B45" s="4">
        <v>61</v>
      </c>
      <c r="C45" s="4" t="s">
        <v>36</v>
      </c>
      <c r="D45" s="4" t="s">
        <v>222</v>
      </c>
      <c r="E45" s="4" t="s">
        <v>164</v>
      </c>
      <c r="F45" s="4">
        <v>1</v>
      </c>
      <c r="G45" s="4" t="s">
        <v>292</v>
      </c>
      <c r="H45" s="126" t="s">
        <v>338</v>
      </c>
      <c r="J45" s="125">
        <v>46</v>
      </c>
      <c r="K45" s="125" t="s">
        <v>357</v>
      </c>
      <c r="L45" s="2">
        <v>46</v>
      </c>
      <c r="M45" s="3">
        <v>10</v>
      </c>
      <c r="N45" s="3" t="s">
        <v>292</v>
      </c>
    </row>
    <row r="46" spans="2:14" x14ac:dyDescent="0.3">
      <c r="B46" s="4">
        <v>62</v>
      </c>
      <c r="C46" s="4" t="s">
        <v>188</v>
      </c>
      <c r="D46" s="4" t="s">
        <v>222</v>
      </c>
      <c r="E46" s="4" t="s">
        <v>164</v>
      </c>
      <c r="F46" s="4">
        <v>1</v>
      </c>
      <c r="G46" s="4" t="s">
        <v>292</v>
      </c>
      <c r="H46" s="126" t="s">
        <v>338</v>
      </c>
      <c r="J46" s="131">
        <v>48</v>
      </c>
      <c r="K46" s="131" t="s">
        <v>76</v>
      </c>
      <c r="L46" s="131">
        <v>48</v>
      </c>
      <c r="M46" s="132">
        <v>12</v>
      </c>
      <c r="N46" s="132" t="s">
        <v>338</v>
      </c>
    </row>
    <row r="47" spans="2:14" x14ac:dyDescent="0.3">
      <c r="B47" s="4">
        <v>63</v>
      </c>
      <c r="C47" s="4" t="s">
        <v>80</v>
      </c>
      <c r="D47" s="4" t="s">
        <v>222</v>
      </c>
      <c r="E47" s="4" t="s">
        <v>164</v>
      </c>
      <c r="F47" s="4">
        <v>1</v>
      </c>
      <c r="G47" s="4" t="s">
        <v>292</v>
      </c>
      <c r="H47" s="126" t="s">
        <v>338</v>
      </c>
      <c r="J47" s="131">
        <v>249</v>
      </c>
      <c r="K47" s="131" t="s">
        <v>131</v>
      </c>
      <c r="L47" s="131">
        <v>249</v>
      </c>
      <c r="M47" s="132">
        <v>12</v>
      </c>
      <c r="N47" s="132" t="s">
        <v>338</v>
      </c>
    </row>
    <row r="48" spans="2:14" x14ac:dyDescent="0.3">
      <c r="B48" s="4">
        <v>65</v>
      </c>
      <c r="C48" s="4" t="s">
        <v>239</v>
      </c>
      <c r="D48" s="4"/>
      <c r="E48" s="4" t="s">
        <v>165</v>
      </c>
      <c r="F48" s="4">
        <v>2</v>
      </c>
      <c r="G48" s="4" t="s">
        <v>165</v>
      </c>
      <c r="H48" s="126" t="s">
        <v>165</v>
      </c>
      <c r="J48" s="131">
        <v>318</v>
      </c>
      <c r="K48" s="131" t="s">
        <v>342</v>
      </c>
      <c r="L48" s="131">
        <v>54</v>
      </c>
      <c r="M48" s="132">
        <v>12</v>
      </c>
      <c r="N48" s="132" t="s">
        <v>338</v>
      </c>
    </row>
    <row r="49" spans="2:14" x14ac:dyDescent="0.3">
      <c r="B49" s="4">
        <v>66</v>
      </c>
      <c r="C49" s="4" t="s">
        <v>191</v>
      </c>
      <c r="D49" s="4" t="s">
        <v>171</v>
      </c>
      <c r="E49" s="4" t="s">
        <v>164</v>
      </c>
      <c r="F49" s="4">
        <v>1</v>
      </c>
      <c r="G49" s="4" t="s">
        <v>37</v>
      </c>
      <c r="H49" s="126" t="s">
        <v>37</v>
      </c>
      <c r="J49" s="131">
        <v>319</v>
      </c>
      <c r="K49" s="131" t="s">
        <v>343</v>
      </c>
      <c r="L49" s="131">
        <v>57</v>
      </c>
      <c r="M49" s="132">
        <v>12</v>
      </c>
      <c r="N49" s="132" t="s">
        <v>338</v>
      </c>
    </row>
    <row r="50" spans="2:14" x14ac:dyDescent="0.3">
      <c r="B50" s="4">
        <v>70</v>
      </c>
      <c r="C50" s="4"/>
      <c r="D50" s="4"/>
      <c r="E50" s="4"/>
      <c r="F50" s="4"/>
      <c r="G50" s="4" t="s">
        <v>312</v>
      </c>
      <c r="H50" s="126" t="s">
        <v>312</v>
      </c>
      <c r="J50" s="131">
        <v>47</v>
      </c>
      <c r="K50" s="131" t="s">
        <v>344</v>
      </c>
      <c r="L50" s="131">
        <v>47</v>
      </c>
      <c r="M50" s="132">
        <v>12</v>
      </c>
      <c r="N50" s="132" t="s">
        <v>338</v>
      </c>
    </row>
    <row r="51" spans="2:14" x14ac:dyDescent="0.3">
      <c r="B51" s="4">
        <v>71</v>
      </c>
      <c r="C51" s="4" t="s">
        <v>217</v>
      </c>
      <c r="D51" s="4" t="s">
        <v>81</v>
      </c>
      <c r="E51" s="4" t="s">
        <v>165</v>
      </c>
      <c r="F51" s="4">
        <v>2</v>
      </c>
      <c r="G51" s="4" t="s">
        <v>165</v>
      </c>
      <c r="H51" s="126" t="s">
        <v>339</v>
      </c>
      <c r="J51" s="131">
        <v>49</v>
      </c>
      <c r="K51" s="131" t="s">
        <v>35</v>
      </c>
      <c r="L51" s="131">
        <v>49</v>
      </c>
      <c r="M51" s="132">
        <v>12</v>
      </c>
      <c r="N51" s="132" t="s">
        <v>338</v>
      </c>
    </row>
    <row r="52" spans="2:14" x14ac:dyDescent="0.3">
      <c r="B52" s="4">
        <v>72</v>
      </c>
      <c r="C52" s="4" t="s">
        <v>82</v>
      </c>
      <c r="D52" s="4" t="s">
        <v>81</v>
      </c>
      <c r="E52" s="4" t="s">
        <v>165</v>
      </c>
      <c r="F52" s="4">
        <v>2</v>
      </c>
      <c r="G52" s="4" t="s">
        <v>165</v>
      </c>
      <c r="H52" s="126" t="s">
        <v>339</v>
      </c>
      <c r="J52" s="131">
        <v>50</v>
      </c>
      <c r="K52" s="131" t="s">
        <v>345</v>
      </c>
      <c r="L52" s="131">
        <v>50</v>
      </c>
      <c r="M52" s="132">
        <v>12</v>
      </c>
      <c r="N52" s="132" t="s">
        <v>338</v>
      </c>
    </row>
    <row r="53" spans="2:14" x14ac:dyDescent="0.3">
      <c r="B53" s="4">
        <v>73</v>
      </c>
      <c r="C53" s="4" t="s">
        <v>202</v>
      </c>
      <c r="D53" s="4" t="s">
        <v>81</v>
      </c>
      <c r="E53" s="4" t="s">
        <v>165</v>
      </c>
      <c r="F53" s="4">
        <v>2</v>
      </c>
      <c r="G53" s="4" t="s">
        <v>165</v>
      </c>
      <c r="H53" s="126" t="s">
        <v>339</v>
      </c>
      <c r="J53" s="131">
        <v>51</v>
      </c>
      <c r="K53" s="131" t="s">
        <v>77</v>
      </c>
      <c r="L53" s="131">
        <v>51</v>
      </c>
      <c r="M53" s="132">
        <v>12</v>
      </c>
      <c r="N53" s="132" t="s">
        <v>338</v>
      </c>
    </row>
    <row r="54" spans="2:14" x14ac:dyDescent="0.3">
      <c r="B54" s="4">
        <v>74</v>
      </c>
      <c r="C54" s="4" t="s">
        <v>83</v>
      </c>
      <c r="D54" s="4" t="s">
        <v>81</v>
      </c>
      <c r="E54" s="4" t="s">
        <v>165</v>
      </c>
      <c r="F54" s="4">
        <v>2</v>
      </c>
      <c r="G54" s="4" t="s">
        <v>165</v>
      </c>
      <c r="H54" s="126" t="s">
        <v>339</v>
      </c>
      <c r="J54" s="131">
        <v>52</v>
      </c>
      <c r="K54" s="131" t="s">
        <v>78</v>
      </c>
      <c r="L54" s="131">
        <v>52</v>
      </c>
      <c r="M54" s="132">
        <v>12</v>
      </c>
      <c r="N54" s="132" t="s">
        <v>338</v>
      </c>
    </row>
    <row r="55" spans="2:14" x14ac:dyDescent="0.3">
      <c r="B55" s="4">
        <v>75</v>
      </c>
      <c r="C55" s="4" t="s">
        <v>47</v>
      </c>
      <c r="D55" s="4" t="s">
        <v>81</v>
      </c>
      <c r="E55" s="4" t="s">
        <v>165</v>
      </c>
      <c r="F55" s="4">
        <v>2</v>
      </c>
      <c r="G55" s="4" t="s">
        <v>165</v>
      </c>
      <c r="H55" s="126" t="s">
        <v>339</v>
      </c>
      <c r="J55" s="131">
        <v>61</v>
      </c>
      <c r="K55" s="131" t="s">
        <v>36</v>
      </c>
      <c r="L55" s="131">
        <v>61</v>
      </c>
      <c r="M55" s="132">
        <v>12</v>
      </c>
      <c r="N55" s="132" t="s">
        <v>338</v>
      </c>
    </row>
    <row r="56" spans="2:14" x14ac:dyDescent="0.3">
      <c r="B56" s="4">
        <v>76</v>
      </c>
      <c r="C56" s="4" t="s">
        <v>47</v>
      </c>
      <c r="D56" s="4" t="s">
        <v>81</v>
      </c>
      <c r="E56" s="4" t="s">
        <v>165</v>
      </c>
      <c r="F56" s="4">
        <v>2</v>
      </c>
      <c r="G56" s="6" t="s">
        <v>165</v>
      </c>
      <c r="H56" s="126" t="s">
        <v>339</v>
      </c>
      <c r="J56" s="131">
        <v>62</v>
      </c>
      <c r="K56" s="131" t="s">
        <v>188</v>
      </c>
      <c r="L56" s="131">
        <v>62</v>
      </c>
      <c r="M56" s="132">
        <v>12</v>
      </c>
      <c r="N56" s="132" t="s">
        <v>338</v>
      </c>
    </row>
    <row r="57" spans="2:14" x14ac:dyDescent="0.3">
      <c r="B57" s="4">
        <v>77</v>
      </c>
      <c r="C57" s="4" t="s">
        <v>203</v>
      </c>
      <c r="D57" s="4" t="s">
        <v>81</v>
      </c>
      <c r="E57" s="4" t="s">
        <v>165</v>
      </c>
      <c r="F57" s="4">
        <v>2</v>
      </c>
      <c r="G57" s="4" t="s">
        <v>165</v>
      </c>
      <c r="H57" s="126" t="s">
        <v>339</v>
      </c>
      <c r="J57" s="131">
        <v>63</v>
      </c>
      <c r="K57" s="131" t="s">
        <v>80</v>
      </c>
      <c r="L57" s="131">
        <v>63</v>
      </c>
      <c r="M57" s="132">
        <v>12</v>
      </c>
      <c r="N57" s="132" t="s">
        <v>338</v>
      </c>
    </row>
    <row r="58" spans="2:14" x14ac:dyDescent="0.3">
      <c r="B58" s="4">
        <v>78</v>
      </c>
      <c r="C58" s="4" t="s">
        <v>216</v>
      </c>
      <c r="D58" s="4" t="s">
        <v>81</v>
      </c>
      <c r="E58" s="4" t="s">
        <v>165</v>
      </c>
      <c r="F58" s="4">
        <v>2</v>
      </c>
      <c r="G58" s="4" t="s">
        <v>165</v>
      </c>
      <c r="H58" s="126" t="s">
        <v>339</v>
      </c>
      <c r="J58" s="125"/>
      <c r="K58" s="125"/>
      <c r="L58" s="2"/>
    </row>
    <row r="59" spans="2:14" x14ac:dyDescent="0.3">
      <c r="B59" s="4">
        <v>80</v>
      </c>
      <c r="C59" s="4" t="s">
        <v>240</v>
      </c>
      <c r="D59" s="4"/>
      <c r="E59" s="4" t="s">
        <v>165</v>
      </c>
      <c r="F59" s="4">
        <v>2</v>
      </c>
      <c r="G59" s="6" t="s">
        <v>165</v>
      </c>
      <c r="H59" s="126" t="s">
        <v>165</v>
      </c>
      <c r="J59" s="125"/>
      <c r="K59" s="125"/>
      <c r="L59" s="2"/>
    </row>
    <row r="60" spans="2:14" x14ac:dyDescent="0.3">
      <c r="B60" s="4">
        <v>81</v>
      </c>
      <c r="C60" s="4" t="s">
        <v>241</v>
      </c>
      <c r="D60" s="4" t="s">
        <v>81</v>
      </c>
      <c r="E60" s="4" t="s">
        <v>165</v>
      </c>
      <c r="F60" s="4">
        <v>2</v>
      </c>
      <c r="G60" s="6" t="s">
        <v>165</v>
      </c>
      <c r="H60" s="126" t="s">
        <v>339</v>
      </c>
      <c r="J60" s="125"/>
      <c r="K60" s="125"/>
      <c r="L60" s="2"/>
    </row>
    <row r="61" spans="2:14" x14ac:dyDescent="0.3">
      <c r="B61" s="4">
        <v>83</v>
      </c>
      <c r="C61" s="4" t="s">
        <v>52</v>
      </c>
      <c r="D61" s="4"/>
      <c r="E61" s="4" t="s">
        <v>165</v>
      </c>
      <c r="F61" s="4">
        <v>2</v>
      </c>
      <c r="G61" s="6" t="s">
        <v>165</v>
      </c>
      <c r="H61" s="126" t="s">
        <v>339</v>
      </c>
      <c r="J61" s="125"/>
      <c r="K61" s="125"/>
      <c r="L61" s="2"/>
    </row>
    <row r="62" spans="2:14" x14ac:dyDescent="0.3">
      <c r="B62" s="4">
        <v>85</v>
      </c>
      <c r="C62" s="4"/>
      <c r="D62" s="4"/>
      <c r="E62" s="4"/>
      <c r="F62" s="4"/>
      <c r="G62" s="6"/>
      <c r="H62" s="126"/>
      <c r="J62" s="125"/>
      <c r="K62" s="125"/>
      <c r="L62" s="2"/>
    </row>
    <row r="63" spans="2:14" x14ac:dyDescent="0.3">
      <c r="B63" s="4">
        <v>88</v>
      </c>
      <c r="C63" s="4" t="s">
        <v>154</v>
      </c>
      <c r="D63" s="4" t="s">
        <v>84</v>
      </c>
      <c r="E63" s="4" t="s">
        <v>165</v>
      </c>
      <c r="F63" s="4">
        <v>2</v>
      </c>
      <c r="G63" s="4" t="s">
        <v>165</v>
      </c>
      <c r="H63" s="126" t="s">
        <v>165</v>
      </c>
      <c r="J63" s="125"/>
      <c r="K63" s="125"/>
      <c r="L63" s="2"/>
    </row>
    <row r="64" spans="2:14" x14ac:dyDescent="0.3">
      <c r="B64" s="4">
        <v>89</v>
      </c>
      <c r="C64" s="4" t="s">
        <v>45</v>
      </c>
      <c r="D64" s="4" t="s">
        <v>84</v>
      </c>
      <c r="E64" s="4" t="s">
        <v>165</v>
      </c>
      <c r="F64" s="4">
        <v>2</v>
      </c>
      <c r="G64" s="4" t="s">
        <v>165</v>
      </c>
      <c r="H64" s="126" t="s">
        <v>165</v>
      </c>
      <c r="J64" s="125"/>
      <c r="K64" s="125"/>
      <c r="L64" s="2"/>
    </row>
    <row r="65" spans="2:12" x14ac:dyDescent="0.3">
      <c r="B65" s="4">
        <v>92</v>
      </c>
      <c r="C65" s="4" t="s">
        <v>85</v>
      </c>
      <c r="D65" s="4" t="s">
        <v>84</v>
      </c>
      <c r="E65" s="4" t="s">
        <v>165</v>
      </c>
      <c r="F65" s="4">
        <v>2</v>
      </c>
      <c r="G65" s="4" t="s">
        <v>165</v>
      </c>
      <c r="H65" s="126" t="s">
        <v>165</v>
      </c>
      <c r="J65" s="125"/>
      <c r="K65" s="125"/>
      <c r="L65" s="2"/>
    </row>
    <row r="66" spans="2:12" x14ac:dyDescent="0.3">
      <c r="B66" s="4">
        <v>93</v>
      </c>
      <c r="C66" s="4" t="s">
        <v>6</v>
      </c>
      <c r="D66" s="4" t="s">
        <v>84</v>
      </c>
      <c r="E66" s="4" t="s">
        <v>165</v>
      </c>
      <c r="F66" s="4">
        <v>2</v>
      </c>
      <c r="G66" s="4" t="s">
        <v>165</v>
      </c>
      <c r="H66" s="126" t="s">
        <v>165</v>
      </c>
      <c r="J66" s="125"/>
      <c r="K66" s="125"/>
      <c r="L66" s="2"/>
    </row>
    <row r="67" spans="2:12" x14ac:dyDescent="0.3">
      <c r="B67" s="4">
        <v>94</v>
      </c>
      <c r="C67" s="4" t="s">
        <v>86</v>
      </c>
      <c r="D67" s="4" t="s">
        <v>84</v>
      </c>
      <c r="E67" s="4" t="s">
        <v>165</v>
      </c>
      <c r="F67" s="4">
        <v>2</v>
      </c>
      <c r="G67" s="4" t="s">
        <v>165</v>
      </c>
      <c r="H67" s="126" t="s">
        <v>165</v>
      </c>
      <c r="J67" s="125"/>
      <c r="K67" s="125"/>
      <c r="L67" s="2"/>
    </row>
    <row r="68" spans="2:12" x14ac:dyDescent="0.3">
      <c r="B68" s="4">
        <v>97</v>
      </c>
      <c r="C68" s="4" t="s">
        <v>87</v>
      </c>
      <c r="D68" s="4" t="s">
        <v>88</v>
      </c>
      <c r="E68" s="4" t="s">
        <v>165</v>
      </c>
      <c r="F68" s="4">
        <v>2</v>
      </c>
      <c r="G68" s="4" t="s">
        <v>165</v>
      </c>
      <c r="H68" s="126" t="s">
        <v>165</v>
      </c>
      <c r="J68" s="125"/>
      <c r="K68" s="125"/>
      <c r="L68" s="2"/>
    </row>
    <row r="69" spans="2:12" x14ac:dyDescent="0.3">
      <c r="B69" s="4">
        <v>98</v>
      </c>
      <c r="C69" s="4" t="s">
        <v>55</v>
      </c>
      <c r="D69" s="4" t="s">
        <v>88</v>
      </c>
      <c r="E69" s="4" t="s">
        <v>165</v>
      </c>
      <c r="F69" s="4">
        <v>2</v>
      </c>
      <c r="G69" s="4" t="s">
        <v>165</v>
      </c>
      <c r="H69" s="126" t="s">
        <v>165</v>
      </c>
      <c r="J69" s="125"/>
      <c r="K69" s="125"/>
      <c r="L69" s="2"/>
    </row>
    <row r="70" spans="2:12" x14ac:dyDescent="0.3">
      <c r="B70" s="4">
        <v>99</v>
      </c>
      <c r="C70" s="4" t="s">
        <v>34</v>
      </c>
      <c r="D70" s="4" t="s">
        <v>73</v>
      </c>
      <c r="E70" s="4" t="s">
        <v>164</v>
      </c>
      <c r="F70" s="4">
        <v>1</v>
      </c>
      <c r="G70" s="4" t="s">
        <v>292</v>
      </c>
      <c r="H70" s="126" t="s">
        <v>292</v>
      </c>
      <c r="J70" s="125"/>
      <c r="K70" s="125"/>
      <c r="L70" s="2"/>
    </row>
    <row r="71" spans="2:12" x14ac:dyDescent="0.3">
      <c r="B71" s="4">
        <v>100</v>
      </c>
      <c r="C71" s="4" t="s">
        <v>257</v>
      </c>
      <c r="D71" s="4"/>
      <c r="E71" s="4" t="s">
        <v>165</v>
      </c>
      <c r="F71" s="4">
        <v>2</v>
      </c>
      <c r="G71" s="6" t="s">
        <v>165</v>
      </c>
      <c r="H71" s="126" t="s">
        <v>165</v>
      </c>
      <c r="J71" s="125"/>
      <c r="K71" s="125"/>
      <c r="L71" s="2"/>
    </row>
    <row r="72" spans="2:12" x14ac:dyDescent="0.3">
      <c r="B72" s="4">
        <v>101</v>
      </c>
      <c r="C72" s="4" t="s">
        <v>204</v>
      </c>
      <c r="D72" s="4" t="s">
        <v>184</v>
      </c>
      <c r="E72" s="4" t="s">
        <v>165</v>
      </c>
      <c r="F72" s="4">
        <v>2</v>
      </c>
      <c r="G72" s="4" t="s">
        <v>165</v>
      </c>
      <c r="H72" s="126" t="s">
        <v>165</v>
      </c>
      <c r="J72" s="125"/>
      <c r="K72" s="125"/>
      <c r="L72" s="2"/>
    </row>
    <row r="73" spans="2:12" x14ac:dyDescent="0.3">
      <c r="B73" s="4">
        <v>102</v>
      </c>
      <c r="C73" s="4" t="s">
        <v>89</v>
      </c>
      <c r="D73" s="4" t="s">
        <v>84</v>
      </c>
      <c r="E73" s="4" t="s">
        <v>165</v>
      </c>
      <c r="F73" s="4">
        <v>2</v>
      </c>
      <c r="G73" s="4" t="s">
        <v>165</v>
      </c>
      <c r="H73" s="126" t="s">
        <v>165</v>
      </c>
      <c r="J73" s="125"/>
      <c r="K73" s="125"/>
      <c r="L73" s="2"/>
    </row>
    <row r="74" spans="2:12" x14ac:dyDescent="0.3">
      <c r="B74" s="4">
        <v>103</v>
      </c>
      <c r="C74" s="4" t="s">
        <v>90</v>
      </c>
      <c r="D74" s="4" t="s">
        <v>84</v>
      </c>
      <c r="E74" s="4" t="s">
        <v>165</v>
      </c>
      <c r="F74" s="4">
        <v>2</v>
      </c>
      <c r="G74" s="4" t="s">
        <v>165</v>
      </c>
      <c r="H74" s="126" t="s">
        <v>165</v>
      </c>
      <c r="J74" s="125"/>
      <c r="K74" s="125"/>
      <c r="L74" s="2"/>
    </row>
    <row r="75" spans="2:12" x14ac:dyDescent="0.3">
      <c r="B75" s="4">
        <v>104</v>
      </c>
      <c r="C75" s="4"/>
      <c r="D75" s="4" t="s">
        <v>179</v>
      </c>
      <c r="E75" s="4" t="s">
        <v>164</v>
      </c>
      <c r="F75" s="4">
        <v>1</v>
      </c>
      <c r="G75" s="6" t="s">
        <v>164</v>
      </c>
      <c r="H75" s="126" t="s">
        <v>164</v>
      </c>
      <c r="J75" s="125"/>
      <c r="K75" s="125"/>
      <c r="L75" s="2"/>
    </row>
    <row r="76" spans="2:12" x14ac:dyDescent="0.3">
      <c r="B76" s="4">
        <v>109</v>
      </c>
      <c r="C76" s="4"/>
      <c r="D76" s="4" t="s">
        <v>179</v>
      </c>
      <c r="E76" s="4" t="s">
        <v>164</v>
      </c>
      <c r="F76" s="4">
        <v>1</v>
      </c>
      <c r="G76" s="6" t="s">
        <v>164</v>
      </c>
      <c r="H76" s="126" t="s">
        <v>164</v>
      </c>
      <c r="J76" s="125"/>
      <c r="K76" s="125"/>
      <c r="L76" s="2"/>
    </row>
    <row r="77" spans="2:12" x14ac:dyDescent="0.3">
      <c r="B77" s="4">
        <v>110</v>
      </c>
      <c r="C77" s="4" t="s">
        <v>48</v>
      </c>
      <c r="D77" s="4" t="s">
        <v>88</v>
      </c>
      <c r="E77" s="4" t="s">
        <v>165</v>
      </c>
      <c r="F77" s="4">
        <v>2</v>
      </c>
      <c r="G77" s="4" t="s">
        <v>165</v>
      </c>
      <c r="H77" s="126" t="s">
        <v>165</v>
      </c>
      <c r="J77" s="125"/>
      <c r="K77" s="125"/>
      <c r="L77" s="2"/>
    </row>
    <row r="78" spans="2:12" x14ac:dyDescent="0.3">
      <c r="B78" s="4">
        <v>111</v>
      </c>
      <c r="C78" s="4" t="s">
        <v>5</v>
      </c>
      <c r="D78" s="4" t="s">
        <v>88</v>
      </c>
      <c r="E78" s="4" t="s">
        <v>165</v>
      </c>
      <c r="F78" s="4">
        <v>2</v>
      </c>
      <c r="G78" s="4" t="s">
        <v>165</v>
      </c>
      <c r="H78" s="126" t="s">
        <v>165</v>
      </c>
      <c r="J78" s="125"/>
      <c r="K78" s="125"/>
      <c r="L78" s="2"/>
    </row>
    <row r="79" spans="2:12" x14ac:dyDescent="0.3">
      <c r="B79" s="4">
        <v>112</v>
      </c>
      <c r="C79" s="4" t="s">
        <v>56</v>
      </c>
      <c r="D79" s="4" t="s">
        <v>88</v>
      </c>
      <c r="E79" s="4" t="s">
        <v>165</v>
      </c>
      <c r="F79" s="4">
        <v>2</v>
      </c>
      <c r="G79" s="4" t="s">
        <v>165</v>
      </c>
      <c r="H79" s="126" t="s">
        <v>165</v>
      </c>
      <c r="J79" s="125"/>
      <c r="K79" s="125"/>
      <c r="L79" s="2"/>
    </row>
    <row r="80" spans="2:12" x14ac:dyDescent="0.3">
      <c r="B80" s="4">
        <v>113</v>
      </c>
      <c r="C80" s="4" t="s">
        <v>57</v>
      </c>
      <c r="D80" s="4" t="s">
        <v>88</v>
      </c>
      <c r="E80" s="4" t="s">
        <v>165</v>
      </c>
      <c r="F80" s="4">
        <v>2</v>
      </c>
      <c r="G80" s="4" t="s">
        <v>165</v>
      </c>
      <c r="H80" s="126" t="s">
        <v>165</v>
      </c>
      <c r="J80" s="125"/>
      <c r="K80" s="125"/>
      <c r="L80" s="2"/>
    </row>
    <row r="81" spans="2:12" x14ac:dyDescent="0.3">
      <c r="B81" s="4">
        <v>114</v>
      </c>
      <c r="C81" s="4" t="s">
        <v>91</v>
      </c>
      <c r="D81" s="4" t="s">
        <v>88</v>
      </c>
      <c r="E81" s="4" t="s">
        <v>165</v>
      </c>
      <c r="F81" s="4">
        <v>2</v>
      </c>
      <c r="G81" s="4" t="s">
        <v>165</v>
      </c>
      <c r="H81" s="126" t="s">
        <v>165</v>
      </c>
      <c r="J81" s="125"/>
      <c r="K81" s="125"/>
      <c r="L81" s="2"/>
    </row>
    <row r="82" spans="2:12" x14ac:dyDescent="0.3">
      <c r="B82" s="4">
        <v>115</v>
      </c>
      <c r="C82" s="4" t="s">
        <v>215</v>
      </c>
      <c r="D82" s="4" t="s">
        <v>92</v>
      </c>
      <c r="E82" s="4" t="s">
        <v>165</v>
      </c>
      <c r="F82" s="4">
        <v>2</v>
      </c>
      <c r="G82" s="4" t="s">
        <v>165</v>
      </c>
      <c r="H82" s="126" t="s">
        <v>165</v>
      </c>
      <c r="J82" s="125"/>
      <c r="K82" s="125"/>
      <c r="L82" s="2"/>
    </row>
    <row r="83" spans="2:12" x14ac:dyDescent="0.3">
      <c r="B83" s="4">
        <v>116</v>
      </c>
      <c r="C83" s="4"/>
      <c r="D83" s="4" t="s">
        <v>179</v>
      </c>
      <c r="E83" s="4" t="s">
        <v>164</v>
      </c>
      <c r="F83" s="4">
        <v>1</v>
      </c>
      <c r="G83" s="6" t="s">
        <v>164</v>
      </c>
      <c r="H83" s="126" t="s">
        <v>164</v>
      </c>
      <c r="J83" s="125"/>
      <c r="K83" s="125"/>
      <c r="L83" s="2"/>
    </row>
    <row r="84" spans="2:12" x14ac:dyDescent="0.3">
      <c r="B84" s="4">
        <v>117</v>
      </c>
      <c r="C84" s="4" t="s">
        <v>3</v>
      </c>
      <c r="D84" s="4" t="s">
        <v>179</v>
      </c>
      <c r="E84" s="4" t="s">
        <v>164</v>
      </c>
      <c r="F84" s="4">
        <v>1</v>
      </c>
      <c r="G84" s="6" t="s">
        <v>164</v>
      </c>
      <c r="H84" s="126" t="s">
        <v>164</v>
      </c>
      <c r="J84" s="125"/>
      <c r="K84" s="125"/>
      <c r="L84" s="2"/>
    </row>
    <row r="85" spans="2:12" x14ac:dyDescent="0.3">
      <c r="B85" s="4">
        <v>118</v>
      </c>
      <c r="C85" s="4" t="s">
        <v>31</v>
      </c>
      <c r="D85" s="4" t="s">
        <v>179</v>
      </c>
      <c r="E85" s="4" t="s">
        <v>164</v>
      </c>
      <c r="F85" s="4">
        <v>1</v>
      </c>
      <c r="G85" s="6" t="s">
        <v>164</v>
      </c>
      <c r="H85" s="126" t="s">
        <v>164</v>
      </c>
      <c r="J85" s="125"/>
      <c r="K85" s="125"/>
      <c r="L85" s="2"/>
    </row>
    <row r="86" spans="2:12" x14ac:dyDescent="0.3">
      <c r="B86" s="4">
        <v>119</v>
      </c>
      <c r="C86" s="4" t="s">
        <v>94</v>
      </c>
      <c r="D86" s="4" t="s">
        <v>179</v>
      </c>
      <c r="E86" s="4" t="s">
        <v>164</v>
      </c>
      <c r="F86" s="4">
        <v>1</v>
      </c>
      <c r="G86" s="6" t="s">
        <v>164</v>
      </c>
      <c r="H86" s="126" t="s">
        <v>164</v>
      </c>
      <c r="J86" s="125"/>
      <c r="K86" s="125"/>
      <c r="L86" s="2"/>
    </row>
    <row r="87" spans="2:12" x14ac:dyDescent="0.3">
      <c r="B87" s="4">
        <v>120</v>
      </c>
      <c r="C87" s="4" t="s">
        <v>38</v>
      </c>
      <c r="D87" s="4" t="s">
        <v>172</v>
      </c>
      <c r="E87" s="4" t="s">
        <v>164</v>
      </c>
      <c r="F87" s="4">
        <v>1</v>
      </c>
      <c r="G87" s="4" t="s">
        <v>164</v>
      </c>
      <c r="H87" s="126" t="s">
        <v>164</v>
      </c>
      <c r="J87" s="125"/>
      <c r="K87" s="125"/>
      <c r="L87" s="2"/>
    </row>
    <row r="88" spans="2:12" x14ac:dyDescent="0.3">
      <c r="B88" s="4">
        <v>121</v>
      </c>
      <c r="C88" s="4" t="s">
        <v>39</v>
      </c>
      <c r="D88" s="4" t="s">
        <v>172</v>
      </c>
      <c r="E88" s="4" t="s">
        <v>164</v>
      </c>
      <c r="F88" s="4">
        <v>1</v>
      </c>
      <c r="G88" s="4" t="s">
        <v>164</v>
      </c>
      <c r="H88" s="126" t="s">
        <v>164</v>
      </c>
      <c r="J88" s="125"/>
      <c r="K88" s="125"/>
      <c r="L88" s="2"/>
    </row>
    <row r="89" spans="2:12" x14ac:dyDescent="0.3">
      <c r="B89" s="4">
        <v>122</v>
      </c>
      <c r="C89" s="4" t="s">
        <v>2</v>
      </c>
      <c r="D89" s="4" t="s">
        <v>172</v>
      </c>
      <c r="E89" s="4" t="s">
        <v>164</v>
      </c>
      <c r="F89" s="4">
        <v>1</v>
      </c>
      <c r="G89" s="4" t="s">
        <v>164</v>
      </c>
      <c r="H89" s="126" t="s">
        <v>164</v>
      </c>
      <c r="J89" s="125"/>
      <c r="K89" s="125"/>
      <c r="L89" s="2"/>
    </row>
    <row r="90" spans="2:12" x14ac:dyDescent="0.3">
      <c r="B90" s="4">
        <v>123</v>
      </c>
      <c r="C90" s="4" t="s">
        <v>40</v>
      </c>
      <c r="D90" s="4" t="s">
        <v>172</v>
      </c>
      <c r="E90" s="4" t="s">
        <v>164</v>
      </c>
      <c r="F90" s="4">
        <v>1</v>
      </c>
      <c r="G90" s="4" t="s">
        <v>164</v>
      </c>
      <c r="H90" s="126" t="s">
        <v>164</v>
      </c>
      <c r="J90" s="125"/>
      <c r="K90" s="125"/>
      <c r="L90" s="2"/>
    </row>
    <row r="91" spans="2:12" x14ac:dyDescent="0.3">
      <c r="B91" s="4">
        <v>125</v>
      </c>
      <c r="C91" s="4" t="s">
        <v>95</v>
      </c>
      <c r="D91" s="4" t="s">
        <v>172</v>
      </c>
      <c r="E91" s="4" t="s">
        <v>164</v>
      </c>
      <c r="F91" s="4">
        <v>1</v>
      </c>
      <c r="G91" s="6" t="s">
        <v>164</v>
      </c>
      <c r="H91" s="126" t="s">
        <v>164</v>
      </c>
      <c r="J91" s="125"/>
      <c r="K91" s="125"/>
      <c r="L91" s="2"/>
    </row>
    <row r="92" spans="2:12" x14ac:dyDescent="0.3">
      <c r="B92" s="4">
        <v>126</v>
      </c>
      <c r="C92" s="4" t="s">
        <v>193</v>
      </c>
      <c r="D92" s="4" t="s">
        <v>172</v>
      </c>
      <c r="E92" s="4" t="s">
        <v>164</v>
      </c>
      <c r="F92" s="4">
        <v>1</v>
      </c>
      <c r="G92" s="4" t="s">
        <v>164</v>
      </c>
      <c r="H92" s="126" t="s">
        <v>164</v>
      </c>
      <c r="J92" s="125"/>
      <c r="K92" s="125"/>
      <c r="L92" s="2"/>
    </row>
    <row r="93" spans="2:12" x14ac:dyDescent="0.3">
      <c r="B93" s="4">
        <v>127</v>
      </c>
      <c r="C93" s="4"/>
      <c r="D93" s="4"/>
      <c r="E93" s="4"/>
      <c r="F93" s="4"/>
      <c r="G93" s="4" t="s">
        <v>312</v>
      </c>
      <c r="H93" s="126"/>
      <c r="J93" s="125"/>
      <c r="K93" s="125"/>
      <c r="L93" s="2"/>
    </row>
    <row r="94" spans="2:12" x14ac:dyDescent="0.3">
      <c r="B94" s="4">
        <v>129</v>
      </c>
      <c r="C94" s="4" t="s">
        <v>96</v>
      </c>
      <c r="D94" s="4" t="s">
        <v>172</v>
      </c>
      <c r="E94" s="4" t="s">
        <v>164</v>
      </c>
      <c r="F94" s="4">
        <v>1</v>
      </c>
      <c r="G94" s="6" t="s">
        <v>164</v>
      </c>
      <c r="H94" s="126" t="s">
        <v>164</v>
      </c>
      <c r="J94" s="125"/>
      <c r="K94" s="125"/>
      <c r="L94" s="2"/>
    </row>
    <row r="95" spans="2:12" x14ac:dyDescent="0.3">
      <c r="B95" s="4">
        <v>130</v>
      </c>
      <c r="C95" s="4" t="s">
        <v>97</v>
      </c>
      <c r="D95" s="4" t="s">
        <v>172</v>
      </c>
      <c r="E95" s="4" t="s">
        <v>164</v>
      </c>
      <c r="F95" s="4">
        <v>1</v>
      </c>
      <c r="G95" s="6" t="s">
        <v>164</v>
      </c>
      <c r="H95" s="126" t="s">
        <v>164</v>
      </c>
      <c r="J95" s="125"/>
      <c r="K95" s="125"/>
      <c r="L95" s="2"/>
    </row>
    <row r="96" spans="2:12" x14ac:dyDescent="0.3">
      <c r="B96" s="4">
        <v>131</v>
      </c>
      <c r="C96" s="4" t="s">
        <v>192</v>
      </c>
      <c r="D96" s="4" t="s">
        <v>172</v>
      </c>
      <c r="E96" s="4" t="s">
        <v>164</v>
      </c>
      <c r="F96" s="4">
        <v>1</v>
      </c>
      <c r="G96" s="4" t="s">
        <v>164</v>
      </c>
      <c r="H96" s="126" t="s">
        <v>164</v>
      </c>
      <c r="J96" s="125"/>
      <c r="K96" s="125"/>
      <c r="L96" s="2"/>
    </row>
    <row r="97" spans="2:12" x14ac:dyDescent="0.3">
      <c r="B97" s="4">
        <v>132</v>
      </c>
      <c r="C97" s="4"/>
      <c r="D97" s="4"/>
      <c r="E97" s="4"/>
      <c r="F97" s="4"/>
      <c r="G97" s="4" t="s">
        <v>312</v>
      </c>
      <c r="H97" s="126"/>
      <c r="J97" s="125"/>
      <c r="K97" s="125"/>
      <c r="L97" s="2"/>
    </row>
    <row r="98" spans="2:12" x14ac:dyDescent="0.3">
      <c r="B98" s="4">
        <v>134</v>
      </c>
      <c r="C98" s="4" t="s">
        <v>58</v>
      </c>
      <c r="D98" s="4" t="s">
        <v>98</v>
      </c>
      <c r="E98" s="4" t="s">
        <v>164</v>
      </c>
      <c r="F98" s="4">
        <v>1</v>
      </c>
      <c r="G98" s="4" t="s">
        <v>164</v>
      </c>
      <c r="H98" s="126" t="s">
        <v>164</v>
      </c>
      <c r="J98" s="125"/>
      <c r="K98" s="125"/>
      <c r="L98" s="2"/>
    </row>
    <row r="99" spans="2:12" x14ac:dyDescent="0.3">
      <c r="B99" s="4">
        <v>135</v>
      </c>
      <c r="C99" s="4" t="s">
        <v>720</v>
      </c>
      <c r="D99" s="4" t="s">
        <v>172</v>
      </c>
      <c r="E99" s="4" t="s">
        <v>164</v>
      </c>
      <c r="F99" s="4">
        <v>1</v>
      </c>
      <c r="G99" s="4" t="s">
        <v>164</v>
      </c>
      <c r="H99" s="126" t="s">
        <v>164</v>
      </c>
      <c r="J99" s="125"/>
      <c r="K99" s="125"/>
      <c r="L99" s="2"/>
    </row>
    <row r="100" spans="2:12" x14ac:dyDescent="0.3">
      <c r="B100" s="4">
        <v>141</v>
      </c>
      <c r="C100" s="4" t="s">
        <v>99</v>
      </c>
      <c r="D100" s="4" t="s">
        <v>98</v>
      </c>
      <c r="E100" s="4" t="s">
        <v>164</v>
      </c>
      <c r="F100" s="4">
        <v>1</v>
      </c>
      <c r="G100" s="4" t="s">
        <v>164</v>
      </c>
      <c r="H100" s="126" t="s">
        <v>164</v>
      </c>
      <c r="J100" s="125"/>
      <c r="K100" s="125"/>
      <c r="L100" s="2"/>
    </row>
    <row r="101" spans="2:12" x14ac:dyDescent="0.3">
      <c r="B101" s="4">
        <v>144</v>
      </c>
      <c r="C101" s="4" t="s">
        <v>100</v>
      </c>
      <c r="D101" s="4" t="s">
        <v>98</v>
      </c>
      <c r="E101" s="4" t="s">
        <v>164</v>
      </c>
      <c r="F101" s="4">
        <v>1</v>
      </c>
      <c r="G101" s="4" t="s">
        <v>164</v>
      </c>
      <c r="H101" s="126" t="s">
        <v>164</v>
      </c>
      <c r="J101" s="125"/>
      <c r="K101" s="125"/>
      <c r="L101" s="2"/>
    </row>
    <row r="102" spans="2:12" x14ac:dyDescent="0.3">
      <c r="B102" s="4">
        <v>145</v>
      </c>
      <c r="C102" s="4" t="s">
        <v>44</v>
      </c>
      <c r="D102" s="4" t="s">
        <v>176</v>
      </c>
      <c r="E102" s="4" t="s">
        <v>164</v>
      </c>
      <c r="F102" s="4">
        <v>1</v>
      </c>
      <c r="G102" s="4" t="s">
        <v>291</v>
      </c>
      <c r="H102" s="126" t="s">
        <v>291</v>
      </c>
      <c r="J102" s="125"/>
      <c r="K102" s="125"/>
      <c r="L102" s="2"/>
    </row>
    <row r="103" spans="2:12" x14ac:dyDescent="0.3">
      <c r="B103" s="4">
        <v>148</v>
      </c>
      <c r="C103" s="4" t="s">
        <v>101</v>
      </c>
      <c r="D103" s="4" t="s">
        <v>98</v>
      </c>
      <c r="E103" s="4" t="s">
        <v>164</v>
      </c>
      <c r="F103" s="4">
        <v>1</v>
      </c>
      <c r="G103" s="4" t="s">
        <v>164</v>
      </c>
      <c r="H103" s="126" t="s">
        <v>164</v>
      </c>
      <c r="J103" s="125"/>
      <c r="K103" s="125"/>
      <c r="L103" s="2"/>
    </row>
    <row r="104" spans="2:12" x14ac:dyDescent="0.3">
      <c r="B104" s="4">
        <v>149</v>
      </c>
      <c r="C104" s="4" t="s">
        <v>102</v>
      </c>
      <c r="D104" s="4" t="s">
        <v>98</v>
      </c>
      <c r="E104" s="4" t="s">
        <v>164</v>
      </c>
      <c r="F104" s="4">
        <v>1</v>
      </c>
      <c r="G104" s="4" t="s">
        <v>164</v>
      </c>
      <c r="H104" s="126" t="s">
        <v>164</v>
      </c>
      <c r="J104" s="125"/>
      <c r="K104" s="125"/>
      <c r="L104" s="2"/>
    </row>
    <row r="105" spans="2:12" x14ac:dyDescent="0.3">
      <c r="B105" s="4">
        <v>154</v>
      </c>
      <c r="C105" s="4" t="s">
        <v>371</v>
      </c>
      <c r="D105" s="4" t="s">
        <v>171</v>
      </c>
      <c r="E105" s="4" t="s">
        <v>164</v>
      </c>
      <c r="F105" s="4">
        <v>1</v>
      </c>
      <c r="G105" s="4" t="s">
        <v>164</v>
      </c>
      <c r="H105" s="126" t="s">
        <v>164</v>
      </c>
      <c r="J105" s="125"/>
      <c r="K105" s="125"/>
      <c r="L105" s="2"/>
    </row>
    <row r="106" spans="2:12" x14ac:dyDescent="0.3">
      <c r="B106" s="4">
        <v>155</v>
      </c>
      <c r="C106" s="4" t="s">
        <v>4</v>
      </c>
      <c r="D106" s="4" t="s">
        <v>173</v>
      </c>
      <c r="E106" s="4" t="s">
        <v>164</v>
      </c>
      <c r="F106" s="4">
        <v>1</v>
      </c>
      <c r="G106" s="4" t="s">
        <v>164</v>
      </c>
      <c r="H106" s="126" t="s">
        <v>164</v>
      </c>
      <c r="J106" s="125"/>
      <c r="K106" s="125"/>
      <c r="L106" s="2"/>
    </row>
    <row r="107" spans="2:12" x14ac:dyDescent="0.3">
      <c r="B107" s="4">
        <v>156</v>
      </c>
      <c r="C107" s="4" t="s">
        <v>49</v>
      </c>
      <c r="D107" s="4" t="s">
        <v>173</v>
      </c>
      <c r="E107" s="4" t="s">
        <v>164</v>
      </c>
      <c r="F107" s="4">
        <v>1</v>
      </c>
      <c r="G107" s="4" t="s">
        <v>164</v>
      </c>
      <c r="H107" s="126" t="s">
        <v>164</v>
      </c>
      <c r="J107" s="125"/>
      <c r="K107" s="125"/>
      <c r="L107" s="2"/>
    </row>
    <row r="108" spans="2:12" x14ac:dyDescent="0.3">
      <c r="B108" s="4">
        <v>158</v>
      </c>
      <c r="C108" s="4" t="s">
        <v>50</v>
      </c>
      <c r="D108" s="4" t="s">
        <v>173</v>
      </c>
      <c r="E108" s="4" t="s">
        <v>164</v>
      </c>
      <c r="F108" s="4">
        <v>1</v>
      </c>
      <c r="G108" s="4" t="s">
        <v>164</v>
      </c>
      <c r="H108" s="126" t="s">
        <v>164</v>
      </c>
      <c r="J108" s="125"/>
      <c r="K108" s="125"/>
      <c r="L108" s="2"/>
    </row>
    <row r="109" spans="2:12" x14ac:dyDescent="0.3">
      <c r="B109" s="4">
        <v>160</v>
      </c>
      <c r="C109" s="4" t="s">
        <v>103</v>
      </c>
      <c r="D109" s="4" t="s">
        <v>179</v>
      </c>
      <c r="E109" s="4" t="s">
        <v>164</v>
      </c>
      <c r="F109" s="4">
        <v>1</v>
      </c>
      <c r="G109" s="6" t="s">
        <v>164</v>
      </c>
      <c r="H109" s="126" t="s">
        <v>164</v>
      </c>
      <c r="J109" s="125"/>
      <c r="K109" s="125"/>
      <c r="L109" s="2"/>
    </row>
    <row r="110" spans="2:12" x14ac:dyDescent="0.3">
      <c r="B110" s="4">
        <v>161</v>
      </c>
      <c r="C110" s="4" t="s">
        <v>104</v>
      </c>
      <c r="D110" s="4" t="s">
        <v>179</v>
      </c>
      <c r="E110" s="4" t="s">
        <v>164</v>
      </c>
      <c r="F110" s="4">
        <v>1</v>
      </c>
      <c r="G110" s="6" t="s">
        <v>164</v>
      </c>
      <c r="H110" s="126" t="s">
        <v>164</v>
      </c>
      <c r="J110" s="125"/>
      <c r="K110" s="125"/>
      <c r="L110" s="2"/>
    </row>
    <row r="111" spans="2:12" x14ac:dyDescent="0.3">
      <c r="B111" s="4">
        <v>164</v>
      </c>
      <c r="C111" s="4" t="s">
        <v>105</v>
      </c>
      <c r="D111" s="4" t="s">
        <v>93</v>
      </c>
      <c r="E111" s="4"/>
      <c r="F111" s="4"/>
      <c r="G111" s="6" t="s">
        <v>164</v>
      </c>
      <c r="H111" s="126" t="s">
        <v>164</v>
      </c>
      <c r="J111" s="125"/>
      <c r="K111" s="125"/>
      <c r="L111" s="2"/>
    </row>
    <row r="112" spans="2:12" x14ac:dyDescent="0.3">
      <c r="B112" s="4">
        <v>166</v>
      </c>
      <c r="C112" s="4" t="s">
        <v>324</v>
      </c>
      <c r="D112" s="4" t="s">
        <v>171</v>
      </c>
      <c r="E112" s="4" t="s">
        <v>164</v>
      </c>
      <c r="F112" s="4">
        <v>1</v>
      </c>
      <c r="G112" s="6" t="s">
        <v>37</v>
      </c>
      <c r="H112" s="126" t="s">
        <v>37</v>
      </c>
      <c r="J112" s="125"/>
      <c r="K112" s="125"/>
      <c r="L112" s="2"/>
    </row>
    <row r="113" spans="2:12" x14ac:dyDescent="0.3">
      <c r="B113" s="4">
        <v>168</v>
      </c>
      <c r="C113" s="4" t="s">
        <v>106</v>
      </c>
      <c r="D113" s="4" t="s">
        <v>186</v>
      </c>
      <c r="E113" s="4" t="s">
        <v>166</v>
      </c>
      <c r="F113" s="4">
        <v>3</v>
      </c>
      <c r="G113" s="6" t="s">
        <v>166</v>
      </c>
      <c r="H113" s="126" t="s">
        <v>166</v>
      </c>
      <c r="J113" s="125"/>
      <c r="K113" s="125"/>
      <c r="L113" s="2"/>
    </row>
    <row r="114" spans="2:12" x14ac:dyDescent="0.3">
      <c r="B114" s="4">
        <v>169</v>
      </c>
      <c r="C114" s="4" t="s">
        <v>9</v>
      </c>
      <c r="D114" s="4" t="s">
        <v>186</v>
      </c>
      <c r="E114" s="4" t="s">
        <v>166</v>
      </c>
      <c r="F114" s="4">
        <v>3</v>
      </c>
      <c r="G114" s="4" t="s">
        <v>166</v>
      </c>
      <c r="H114" s="126" t="s">
        <v>166</v>
      </c>
      <c r="J114" s="125"/>
      <c r="K114" s="125"/>
      <c r="L114" s="2"/>
    </row>
    <row r="115" spans="2:12" x14ac:dyDescent="0.3">
      <c r="B115" s="4">
        <v>171</v>
      </c>
      <c r="C115" s="4" t="s">
        <v>242</v>
      </c>
      <c r="D115" s="4" t="s">
        <v>186</v>
      </c>
      <c r="E115" s="4" t="s">
        <v>166</v>
      </c>
      <c r="F115" s="4">
        <v>3</v>
      </c>
      <c r="G115" s="6" t="s">
        <v>166</v>
      </c>
      <c r="H115" s="126" t="s">
        <v>166</v>
      </c>
      <c r="J115" s="125"/>
      <c r="K115" s="125"/>
      <c r="L115" s="2"/>
    </row>
    <row r="116" spans="2:12" x14ac:dyDescent="0.3">
      <c r="B116" s="4">
        <v>172</v>
      </c>
      <c r="C116" s="4" t="s">
        <v>51</v>
      </c>
      <c r="D116" s="4" t="s">
        <v>186</v>
      </c>
      <c r="E116" s="4" t="s">
        <v>166</v>
      </c>
      <c r="F116" s="4">
        <v>3</v>
      </c>
      <c r="G116" s="4" t="s">
        <v>166</v>
      </c>
      <c r="H116" s="126" t="s">
        <v>166</v>
      </c>
      <c r="J116" s="125"/>
      <c r="K116" s="125"/>
      <c r="L116" s="2"/>
    </row>
    <row r="117" spans="2:12" x14ac:dyDescent="0.3">
      <c r="B117" s="4">
        <v>173</v>
      </c>
      <c r="C117" s="4" t="s">
        <v>107</v>
      </c>
      <c r="D117" s="4" t="s">
        <v>186</v>
      </c>
      <c r="E117" s="4" t="s">
        <v>166</v>
      </c>
      <c r="F117" s="4">
        <v>3</v>
      </c>
      <c r="G117" s="6" t="s">
        <v>167</v>
      </c>
      <c r="H117" s="126" t="s">
        <v>167</v>
      </c>
      <c r="J117" s="125"/>
      <c r="K117" s="125"/>
      <c r="L117" s="2"/>
    </row>
    <row r="118" spans="2:12" x14ac:dyDescent="0.3">
      <c r="B118" s="4">
        <v>174</v>
      </c>
      <c r="C118" s="4" t="s">
        <v>108</v>
      </c>
      <c r="D118" s="4" t="s">
        <v>186</v>
      </c>
      <c r="E118" s="4" t="s">
        <v>166</v>
      </c>
      <c r="F118" s="4">
        <v>3</v>
      </c>
      <c r="G118" s="6" t="s">
        <v>167</v>
      </c>
      <c r="H118" s="126" t="s">
        <v>167</v>
      </c>
      <c r="J118" s="125"/>
      <c r="K118" s="125"/>
      <c r="L118" s="2"/>
    </row>
    <row r="119" spans="2:12" x14ac:dyDescent="0.3">
      <c r="B119" s="4">
        <v>175</v>
      </c>
      <c r="C119" s="4" t="s">
        <v>109</v>
      </c>
      <c r="D119" s="4" t="s">
        <v>186</v>
      </c>
      <c r="E119" s="4" t="s">
        <v>166</v>
      </c>
      <c r="F119" s="4">
        <v>3</v>
      </c>
      <c r="G119" s="6" t="s">
        <v>167</v>
      </c>
      <c r="H119" s="126" t="s">
        <v>167</v>
      </c>
      <c r="J119" s="125"/>
      <c r="K119" s="125"/>
      <c r="L119" s="2"/>
    </row>
    <row r="120" spans="2:12" x14ac:dyDescent="0.3">
      <c r="B120" s="4">
        <v>176</v>
      </c>
      <c r="C120" s="4" t="s">
        <v>205</v>
      </c>
      <c r="D120" s="4" t="s">
        <v>186</v>
      </c>
      <c r="E120" s="4" t="s">
        <v>166</v>
      </c>
      <c r="F120" s="4">
        <v>3</v>
      </c>
      <c r="G120" s="4" t="s">
        <v>166</v>
      </c>
      <c r="H120" s="126" t="s">
        <v>166</v>
      </c>
      <c r="J120" s="125"/>
      <c r="K120" s="125"/>
      <c r="L120" s="2"/>
    </row>
    <row r="121" spans="2:12" x14ac:dyDescent="0.3">
      <c r="B121" s="4">
        <v>178</v>
      </c>
      <c r="C121" s="4" t="s">
        <v>110</v>
      </c>
      <c r="D121" s="4" t="s">
        <v>186</v>
      </c>
      <c r="E121" s="4" t="s">
        <v>166</v>
      </c>
      <c r="F121" s="4">
        <v>3</v>
      </c>
      <c r="G121" s="4" t="s">
        <v>166</v>
      </c>
      <c r="H121" s="126" t="s">
        <v>166</v>
      </c>
      <c r="J121" s="125"/>
      <c r="K121" s="125"/>
      <c r="L121" s="2"/>
    </row>
    <row r="122" spans="2:12" x14ac:dyDescent="0.3">
      <c r="B122" s="4">
        <v>183</v>
      </c>
      <c r="C122" s="4" t="s">
        <v>111</v>
      </c>
      <c r="D122" s="4" t="s">
        <v>98</v>
      </c>
      <c r="E122" s="4" t="s">
        <v>164</v>
      </c>
      <c r="F122" s="4">
        <v>1</v>
      </c>
      <c r="G122" s="4" t="s">
        <v>164</v>
      </c>
      <c r="H122" s="126" t="s">
        <v>164</v>
      </c>
      <c r="J122" s="125"/>
      <c r="K122" s="125"/>
      <c r="L122" s="2"/>
    </row>
    <row r="123" spans="2:12" x14ac:dyDescent="0.3">
      <c r="B123" s="4">
        <v>187</v>
      </c>
      <c r="C123" s="4" t="s">
        <v>243</v>
      </c>
      <c r="D123" s="4"/>
      <c r="E123" s="4" t="s">
        <v>164</v>
      </c>
      <c r="F123" s="4">
        <v>1</v>
      </c>
      <c r="G123" s="6" t="s">
        <v>164</v>
      </c>
      <c r="H123" s="126" t="s">
        <v>164</v>
      </c>
      <c r="J123" s="125"/>
      <c r="K123" s="125"/>
      <c r="L123" s="2"/>
    </row>
    <row r="124" spans="2:12" x14ac:dyDescent="0.3">
      <c r="B124" s="4">
        <v>188</v>
      </c>
      <c r="C124" s="4" t="s">
        <v>112</v>
      </c>
      <c r="D124" s="4" t="s">
        <v>187</v>
      </c>
      <c r="E124" s="4" t="s">
        <v>166</v>
      </c>
      <c r="F124" s="4">
        <v>3</v>
      </c>
      <c r="G124" s="4" t="s">
        <v>166</v>
      </c>
      <c r="H124" s="126" t="s">
        <v>166</v>
      </c>
      <c r="J124" s="125"/>
      <c r="K124" s="125"/>
      <c r="L124" s="2"/>
    </row>
    <row r="125" spans="2:12" x14ac:dyDescent="0.3">
      <c r="B125" s="4">
        <v>190</v>
      </c>
      <c r="C125" s="4" t="s">
        <v>10</v>
      </c>
      <c r="D125" s="4" t="s">
        <v>113</v>
      </c>
      <c r="E125" s="4" t="s">
        <v>166</v>
      </c>
      <c r="F125" s="4">
        <v>3</v>
      </c>
      <c r="G125" s="4" t="s">
        <v>166</v>
      </c>
      <c r="H125" s="126" t="s">
        <v>166</v>
      </c>
      <c r="J125" s="125"/>
      <c r="K125" s="125"/>
      <c r="L125" s="2"/>
    </row>
    <row r="126" spans="2:12" x14ac:dyDescent="0.3">
      <c r="B126" s="4">
        <v>191</v>
      </c>
      <c r="C126" s="4" t="s">
        <v>114</v>
      </c>
      <c r="D126" s="4" t="s">
        <v>174</v>
      </c>
      <c r="E126" s="4" t="s">
        <v>164</v>
      </c>
      <c r="F126" s="4">
        <v>1</v>
      </c>
      <c r="G126" s="4" t="s">
        <v>164</v>
      </c>
      <c r="H126" s="126" t="s">
        <v>164</v>
      </c>
      <c r="J126" s="125"/>
      <c r="K126" s="125"/>
      <c r="L126" s="2"/>
    </row>
    <row r="127" spans="2:12" x14ac:dyDescent="0.3">
      <c r="B127" s="4">
        <v>196</v>
      </c>
      <c r="C127" s="4" t="s">
        <v>115</v>
      </c>
      <c r="D127" s="4" t="s">
        <v>116</v>
      </c>
      <c r="E127" s="4" t="s">
        <v>164</v>
      </c>
      <c r="F127" s="4">
        <v>1</v>
      </c>
      <c r="G127" s="4" t="s">
        <v>164</v>
      </c>
      <c r="H127" s="126" t="s">
        <v>164</v>
      </c>
      <c r="J127" s="125"/>
      <c r="K127" s="125"/>
      <c r="L127" s="2"/>
    </row>
    <row r="128" spans="2:12" x14ac:dyDescent="0.3">
      <c r="B128" s="4">
        <v>197</v>
      </c>
      <c r="C128" s="4" t="s">
        <v>117</v>
      </c>
      <c r="D128" s="4" t="s">
        <v>172</v>
      </c>
      <c r="E128" s="4" t="s">
        <v>164</v>
      </c>
      <c r="F128" s="4">
        <v>1</v>
      </c>
      <c r="G128" s="4" t="s">
        <v>164</v>
      </c>
      <c r="H128" s="126" t="s">
        <v>164</v>
      </c>
      <c r="J128" s="125"/>
      <c r="K128" s="125"/>
      <c r="L128" s="2"/>
    </row>
    <row r="129" spans="2:12" x14ac:dyDescent="0.3">
      <c r="B129" s="4">
        <v>198</v>
      </c>
      <c r="C129" s="4" t="s">
        <v>118</v>
      </c>
      <c r="D129" s="4" t="s">
        <v>172</v>
      </c>
      <c r="E129" s="4" t="s">
        <v>164</v>
      </c>
      <c r="F129" s="4">
        <v>1</v>
      </c>
      <c r="G129" s="4" t="s">
        <v>164</v>
      </c>
      <c r="H129" s="126" t="s">
        <v>164</v>
      </c>
      <c r="J129" s="125"/>
      <c r="K129" s="125"/>
      <c r="L129" s="2"/>
    </row>
    <row r="130" spans="2:12" x14ac:dyDescent="0.3">
      <c r="B130" s="4">
        <v>199</v>
      </c>
      <c r="C130" s="4" t="s">
        <v>244</v>
      </c>
      <c r="D130" s="4"/>
      <c r="E130" s="4" t="s">
        <v>164</v>
      </c>
      <c r="F130" s="4">
        <v>1</v>
      </c>
      <c r="G130" s="6" t="s">
        <v>164</v>
      </c>
      <c r="H130" s="126" t="s">
        <v>164</v>
      </c>
      <c r="J130" s="125"/>
      <c r="K130" s="125"/>
      <c r="L130" s="2"/>
    </row>
    <row r="131" spans="2:12" x14ac:dyDescent="0.3">
      <c r="B131" s="4">
        <v>201</v>
      </c>
      <c r="C131" s="4" t="s">
        <v>119</v>
      </c>
      <c r="D131" s="4" t="s">
        <v>172</v>
      </c>
      <c r="E131" s="4" t="s">
        <v>164</v>
      </c>
      <c r="F131" s="4">
        <v>1</v>
      </c>
      <c r="G131" s="6" t="s">
        <v>164</v>
      </c>
      <c r="H131" s="126" t="s">
        <v>164</v>
      </c>
      <c r="J131" s="125"/>
      <c r="K131" s="125"/>
      <c r="L131" s="2"/>
    </row>
    <row r="132" spans="2:12" x14ac:dyDescent="0.3">
      <c r="B132" s="4">
        <v>202</v>
      </c>
      <c r="C132" s="4" t="s">
        <v>41</v>
      </c>
      <c r="D132" s="4" t="s">
        <v>172</v>
      </c>
      <c r="E132" s="4" t="s">
        <v>164</v>
      </c>
      <c r="F132" s="4">
        <v>1</v>
      </c>
      <c r="G132" s="6" t="s">
        <v>164</v>
      </c>
      <c r="H132" s="126" t="s">
        <v>164</v>
      </c>
      <c r="J132" s="125"/>
      <c r="K132" s="125"/>
      <c r="L132" s="2"/>
    </row>
    <row r="133" spans="2:12" x14ac:dyDescent="0.3">
      <c r="B133" s="4">
        <v>203</v>
      </c>
      <c r="C133" s="4" t="s">
        <v>120</v>
      </c>
      <c r="D133" s="4" t="s">
        <v>172</v>
      </c>
      <c r="E133" s="4" t="s">
        <v>164</v>
      </c>
      <c r="F133" s="4">
        <v>1</v>
      </c>
      <c r="G133" s="6" t="s">
        <v>164</v>
      </c>
      <c r="H133" s="126" t="s">
        <v>164</v>
      </c>
      <c r="J133" s="125"/>
      <c r="K133" s="125"/>
      <c r="L133" s="2"/>
    </row>
    <row r="134" spans="2:12" x14ac:dyDescent="0.3">
      <c r="B134" s="4">
        <v>204</v>
      </c>
      <c r="C134" s="4" t="s">
        <v>256</v>
      </c>
      <c r="D134" s="4" t="s">
        <v>139</v>
      </c>
      <c r="E134" s="4" t="s">
        <v>167</v>
      </c>
      <c r="F134" s="4">
        <v>4</v>
      </c>
      <c r="G134" s="6" t="s">
        <v>167</v>
      </c>
      <c r="H134" s="126" t="s">
        <v>340</v>
      </c>
      <c r="J134" s="125"/>
      <c r="K134" s="125"/>
      <c r="L134" s="2"/>
    </row>
    <row r="135" spans="2:12" x14ac:dyDescent="0.3">
      <c r="B135" s="4">
        <v>205</v>
      </c>
      <c r="C135" s="4" t="s">
        <v>26</v>
      </c>
      <c r="D135" s="4" t="s">
        <v>73</v>
      </c>
      <c r="E135" s="4" t="s">
        <v>164</v>
      </c>
      <c r="F135" s="4">
        <v>1</v>
      </c>
      <c r="G135" s="4" t="s">
        <v>292</v>
      </c>
      <c r="H135" s="126" t="s">
        <v>292</v>
      </c>
      <c r="J135" s="125"/>
      <c r="K135" s="125"/>
      <c r="L135" s="2"/>
    </row>
    <row r="136" spans="2:12" x14ac:dyDescent="0.3">
      <c r="B136" s="4">
        <v>206</v>
      </c>
      <c r="C136" s="4" t="s">
        <v>25</v>
      </c>
      <c r="D136" s="4" t="s">
        <v>73</v>
      </c>
      <c r="E136" s="4" t="s">
        <v>164</v>
      </c>
      <c r="F136" s="4">
        <v>1</v>
      </c>
      <c r="G136" s="4" t="s">
        <v>292</v>
      </c>
      <c r="H136" s="126" t="s">
        <v>292</v>
      </c>
      <c r="J136" s="125"/>
      <c r="K136" s="125"/>
      <c r="L136" s="2"/>
    </row>
    <row r="137" spans="2:12" x14ac:dyDescent="0.3">
      <c r="B137" s="4">
        <v>207</v>
      </c>
      <c r="C137" s="4" t="s">
        <v>175</v>
      </c>
      <c r="D137" s="4" t="s">
        <v>73</v>
      </c>
      <c r="E137" s="4" t="s">
        <v>164</v>
      </c>
      <c r="F137" s="4">
        <v>1</v>
      </c>
      <c r="G137" s="4" t="s">
        <v>292</v>
      </c>
      <c r="H137" s="126" t="s">
        <v>292</v>
      </c>
      <c r="J137" s="125"/>
      <c r="K137" s="125"/>
      <c r="L137" s="2"/>
    </row>
    <row r="138" spans="2:12" x14ac:dyDescent="0.3">
      <c r="B138" s="4">
        <v>209</v>
      </c>
      <c r="C138" s="4" t="s">
        <v>28</v>
      </c>
      <c r="D138" s="4" t="s">
        <v>73</v>
      </c>
      <c r="E138" s="4" t="s">
        <v>164</v>
      </c>
      <c r="F138" s="4">
        <v>1</v>
      </c>
      <c r="G138" s="4" t="s">
        <v>292</v>
      </c>
      <c r="H138" s="126" t="s">
        <v>292</v>
      </c>
      <c r="J138" s="125"/>
      <c r="K138" s="125"/>
      <c r="L138" s="2"/>
    </row>
    <row r="139" spans="2:12" x14ac:dyDescent="0.3">
      <c r="B139" s="4">
        <v>211</v>
      </c>
      <c r="C139" s="4" t="s">
        <v>17</v>
      </c>
      <c r="D139" s="4" t="s">
        <v>67</v>
      </c>
      <c r="E139" s="4" t="s">
        <v>164</v>
      </c>
      <c r="F139" s="4">
        <v>1</v>
      </c>
      <c r="G139" s="4" t="s">
        <v>292</v>
      </c>
      <c r="H139" s="126" t="s">
        <v>292</v>
      </c>
      <c r="J139" s="125"/>
      <c r="K139" s="125"/>
      <c r="L139" s="2"/>
    </row>
    <row r="140" spans="2:12" x14ac:dyDescent="0.3">
      <c r="B140" s="4">
        <v>213</v>
      </c>
      <c r="C140" s="4" t="s">
        <v>721</v>
      </c>
      <c r="D140" s="4" t="s">
        <v>67</v>
      </c>
      <c r="E140" s="4" t="s">
        <v>164</v>
      </c>
      <c r="F140" s="4">
        <v>1</v>
      </c>
      <c r="G140" s="4" t="s">
        <v>164</v>
      </c>
      <c r="H140" s="126" t="s">
        <v>164</v>
      </c>
      <c r="J140" s="125"/>
      <c r="K140" s="125"/>
      <c r="L140" s="2"/>
    </row>
    <row r="141" spans="2:12" x14ac:dyDescent="0.3">
      <c r="B141" s="4">
        <v>215</v>
      </c>
      <c r="C141" s="4" t="s">
        <v>7</v>
      </c>
      <c r="D141" s="4" t="s">
        <v>84</v>
      </c>
      <c r="E141" s="4" t="s">
        <v>165</v>
      </c>
      <c r="F141" s="4">
        <v>2</v>
      </c>
      <c r="G141" s="4" t="s">
        <v>165</v>
      </c>
      <c r="H141" s="126" t="s">
        <v>165</v>
      </c>
      <c r="J141" s="125"/>
      <c r="K141" s="125"/>
      <c r="L141" s="2"/>
    </row>
    <row r="142" spans="2:12" x14ac:dyDescent="0.3">
      <c r="B142" s="4">
        <v>216</v>
      </c>
      <c r="C142" s="4" t="s">
        <v>8</v>
      </c>
      <c r="D142" s="4" t="s">
        <v>84</v>
      </c>
      <c r="E142" s="4" t="s">
        <v>165</v>
      </c>
      <c r="F142" s="4">
        <v>2</v>
      </c>
      <c r="G142" s="4" t="s">
        <v>165</v>
      </c>
      <c r="H142" s="126" t="s">
        <v>165</v>
      </c>
      <c r="J142" s="125"/>
      <c r="K142" s="125"/>
      <c r="L142" s="2"/>
    </row>
    <row r="143" spans="2:12" x14ac:dyDescent="0.3">
      <c r="B143" s="4">
        <v>217</v>
      </c>
      <c r="C143" s="4" t="s">
        <v>46</v>
      </c>
      <c r="D143" s="4" t="s">
        <v>84</v>
      </c>
      <c r="E143" s="4" t="s">
        <v>165</v>
      </c>
      <c r="F143" s="4">
        <v>2</v>
      </c>
      <c r="G143" s="4" t="s">
        <v>165</v>
      </c>
      <c r="H143" s="126" t="s">
        <v>165</v>
      </c>
      <c r="J143" s="125"/>
      <c r="K143" s="125"/>
      <c r="L143" s="2"/>
    </row>
    <row r="144" spans="2:12" x14ac:dyDescent="0.3">
      <c r="B144" s="4">
        <v>220</v>
      </c>
      <c r="C144" s="4" t="s">
        <v>121</v>
      </c>
      <c r="D144" s="4" t="s">
        <v>84</v>
      </c>
      <c r="E144" s="4" t="s">
        <v>165</v>
      </c>
      <c r="F144" s="4">
        <v>2</v>
      </c>
      <c r="G144" s="4" t="s">
        <v>165</v>
      </c>
      <c r="H144" s="126" t="s">
        <v>165</v>
      </c>
      <c r="J144" s="125"/>
      <c r="K144" s="125"/>
      <c r="L144" s="2"/>
    </row>
    <row r="145" spans="2:12" x14ac:dyDescent="0.3">
      <c r="B145" s="4">
        <v>222</v>
      </c>
      <c r="C145" s="4" t="s">
        <v>53</v>
      </c>
      <c r="D145" s="4" t="s">
        <v>81</v>
      </c>
      <c r="E145" s="4" t="s">
        <v>165</v>
      </c>
      <c r="F145" s="4">
        <v>2</v>
      </c>
      <c r="G145" s="4" t="s">
        <v>165</v>
      </c>
      <c r="H145" s="126" t="s">
        <v>339</v>
      </c>
      <c r="J145" s="125"/>
      <c r="K145" s="125"/>
      <c r="L145" s="2"/>
    </row>
    <row r="146" spans="2:12" x14ac:dyDescent="0.3">
      <c r="B146" s="4">
        <v>225</v>
      </c>
      <c r="C146" s="4" t="s">
        <v>245</v>
      </c>
      <c r="D146" s="4"/>
      <c r="E146" s="4" t="s">
        <v>164</v>
      </c>
      <c r="F146" s="4">
        <v>1</v>
      </c>
      <c r="G146" s="6" t="s">
        <v>291</v>
      </c>
      <c r="H146" s="126" t="s">
        <v>291</v>
      </c>
      <c r="J146" s="125"/>
      <c r="K146" s="125"/>
      <c r="L146" s="2"/>
    </row>
    <row r="147" spans="2:12" x14ac:dyDescent="0.3">
      <c r="B147" s="4">
        <v>227</v>
      </c>
      <c r="C147" s="4" t="s">
        <v>157</v>
      </c>
      <c r="D147" s="4" t="s">
        <v>176</v>
      </c>
      <c r="E147" s="4" t="s">
        <v>164</v>
      </c>
      <c r="F147" s="4">
        <v>1</v>
      </c>
      <c r="G147" s="6" t="s">
        <v>122</v>
      </c>
      <c r="H147" s="126" t="s">
        <v>122</v>
      </c>
      <c r="J147" s="125"/>
      <c r="K147" s="125"/>
      <c r="L147" s="2"/>
    </row>
    <row r="148" spans="2:12" x14ac:dyDescent="0.3">
      <c r="B148" s="4">
        <v>228</v>
      </c>
      <c r="C148" s="4" t="s">
        <v>246</v>
      </c>
      <c r="D148" s="4" t="s">
        <v>176</v>
      </c>
      <c r="E148" s="4" t="s">
        <v>164</v>
      </c>
      <c r="F148" s="4">
        <v>1</v>
      </c>
      <c r="G148" s="6" t="s">
        <v>291</v>
      </c>
      <c r="H148" s="126" t="s">
        <v>291</v>
      </c>
      <c r="J148" s="125"/>
      <c r="K148" s="125"/>
      <c r="L148" s="2"/>
    </row>
    <row r="149" spans="2:12" x14ac:dyDescent="0.3">
      <c r="B149" s="4">
        <v>229</v>
      </c>
      <c r="C149" s="4" t="s">
        <v>122</v>
      </c>
      <c r="D149" s="4" t="s">
        <v>176</v>
      </c>
      <c r="E149" s="4" t="s">
        <v>164</v>
      </c>
      <c r="F149" s="4">
        <v>1</v>
      </c>
      <c r="G149" s="4" t="s">
        <v>122</v>
      </c>
      <c r="H149" s="126" t="s">
        <v>122</v>
      </c>
      <c r="J149" s="125"/>
      <c r="K149" s="125"/>
      <c r="L149" s="2"/>
    </row>
    <row r="150" spans="2:12" x14ac:dyDescent="0.3">
      <c r="B150" s="4">
        <v>230</v>
      </c>
      <c r="C150" s="4" t="s">
        <v>159</v>
      </c>
      <c r="D150" s="4" t="s">
        <v>176</v>
      </c>
      <c r="E150" s="4" t="s">
        <v>164</v>
      </c>
      <c r="F150" s="4">
        <v>1</v>
      </c>
      <c r="G150" s="6" t="s">
        <v>164</v>
      </c>
      <c r="H150" s="126" t="s">
        <v>164</v>
      </c>
      <c r="J150" s="125"/>
      <c r="K150" s="125"/>
      <c r="L150" s="2"/>
    </row>
    <row r="151" spans="2:12" x14ac:dyDescent="0.3">
      <c r="B151" s="4">
        <v>237</v>
      </c>
      <c r="C151" s="4" t="s">
        <v>123</v>
      </c>
      <c r="D151" s="4" t="s">
        <v>93</v>
      </c>
      <c r="E151" s="4" t="s">
        <v>164</v>
      </c>
      <c r="F151" s="4">
        <v>1</v>
      </c>
      <c r="G151" s="6" t="s">
        <v>164</v>
      </c>
      <c r="H151" s="126" t="s">
        <v>164</v>
      </c>
      <c r="J151" s="125"/>
      <c r="K151" s="125"/>
      <c r="L151" s="2"/>
    </row>
    <row r="152" spans="2:12" x14ac:dyDescent="0.3">
      <c r="B152" s="4">
        <v>238</v>
      </c>
      <c r="C152" s="4" t="s">
        <v>124</v>
      </c>
      <c r="D152" s="4" t="s">
        <v>93</v>
      </c>
      <c r="E152" s="4" t="s">
        <v>164</v>
      </c>
      <c r="F152" s="4">
        <v>1</v>
      </c>
      <c r="G152" s="6" t="s">
        <v>164</v>
      </c>
      <c r="H152" s="126" t="s">
        <v>164</v>
      </c>
      <c r="J152" s="125"/>
      <c r="K152" s="125"/>
      <c r="L152" s="2"/>
    </row>
    <row r="153" spans="2:12" x14ac:dyDescent="0.3">
      <c r="B153" s="4">
        <v>239</v>
      </c>
      <c r="C153" s="4" t="s">
        <v>125</v>
      </c>
      <c r="D153" s="4" t="s">
        <v>93</v>
      </c>
      <c r="E153" s="4" t="s">
        <v>164</v>
      </c>
      <c r="F153" s="4">
        <v>1</v>
      </c>
      <c r="G153" s="6" t="s">
        <v>164</v>
      </c>
      <c r="H153" s="126" t="s">
        <v>164</v>
      </c>
      <c r="J153" s="125"/>
      <c r="K153" s="125"/>
      <c r="L153" s="2"/>
    </row>
    <row r="154" spans="2:12" x14ac:dyDescent="0.3">
      <c r="B154" s="4">
        <v>240</v>
      </c>
      <c r="C154" s="4" t="s">
        <v>126</v>
      </c>
      <c r="D154" s="4" t="s">
        <v>93</v>
      </c>
      <c r="E154" s="4" t="s">
        <v>164</v>
      </c>
      <c r="F154" s="4">
        <v>1</v>
      </c>
      <c r="G154" s="6" t="s">
        <v>164</v>
      </c>
      <c r="H154" s="126" t="s">
        <v>164</v>
      </c>
      <c r="J154" s="125"/>
      <c r="K154" s="125"/>
      <c r="L154" s="2"/>
    </row>
    <row r="155" spans="2:12" x14ac:dyDescent="0.3">
      <c r="B155" s="4">
        <v>241</v>
      </c>
      <c r="C155" s="4" t="s">
        <v>59</v>
      </c>
      <c r="D155" s="4" t="s">
        <v>73</v>
      </c>
      <c r="E155" s="4" t="s">
        <v>164</v>
      </c>
      <c r="F155" s="4">
        <v>1</v>
      </c>
      <c r="G155" s="4" t="s">
        <v>292</v>
      </c>
      <c r="H155" s="126" t="s">
        <v>292</v>
      </c>
      <c r="J155" s="125"/>
      <c r="K155" s="125"/>
      <c r="L155" s="2"/>
    </row>
    <row r="156" spans="2:12" x14ac:dyDescent="0.3">
      <c r="B156" s="4">
        <v>242</v>
      </c>
      <c r="C156" s="4" t="s">
        <v>127</v>
      </c>
      <c r="D156" s="4" t="s">
        <v>93</v>
      </c>
      <c r="E156" s="4" t="s">
        <v>164</v>
      </c>
      <c r="F156" s="4">
        <v>1</v>
      </c>
      <c r="G156" s="6" t="s">
        <v>164</v>
      </c>
      <c r="H156" s="126" t="s">
        <v>164</v>
      </c>
      <c r="J156" s="125"/>
      <c r="K156" s="125"/>
      <c r="L156" s="2"/>
    </row>
    <row r="157" spans="2:12" x14ac:dyDescent="0.3">
      <c r="B157" s="4">
        <v>243</v>
      </c>
      <c r="C157" s="4" t="s">
        <v>128</v>
      </c>
      <c r="D157" s="4" t="s">
        <v>93</v>
      </c>
      <c r="E157" s="4" t="s">
        <v>164</v>
      </c>
      <c r="F157" s="4">
        <v>1</v>
      </c>
      <c r="G157" s="6" t="s">
        <v>164</v>
      </c>
      <c r="H157" s="126" t="s">
        <v>164</v>
      </c>
      <c r="J157" s="125"/>
      <c r="K157" s="125"/>
      <c r="L157" s="2"/>
    </row>
    <row r="158" spans="2:12" x14ac:dyDescent="0.3">
      <c r="B158" s="4">
        <v>244</v>
      </c>
      <c r="C158" s="4" t="s">
        <v>287</v>
      </c>
      <c r="D158" s="4" t="s">
        <v>170</v>
      </c>
      <c r="E158" s="4" t="s">
        <v>164</v>
      </c>
      <c r="F158" s="4">
        <v>1</v>
      </c>
      <c r="G158" s="6" t="s">
        <v>292</v>
      </c>
      <c r="H158" s="126" t="s">
        <v>292</v>
      </c>
      <c r="J158" s="125"/>
      <c r="K158" s="125"/>
      <c r="L158" s="2"/>
    </row>
    <row r="159" spans="2:12" x14ac:dyDescent="0.3">
      <c r="B159" s="4">
        <v>245</v>
      </c>
      <c r="C159" s="4" t="s">
        <v>129</v>
      </c>
      <c r="D159" s="4" t="s">
        <v>170</v>
      </c>
      <c r="E159" s="4" t="s">
        <v>164</v>
      </c>
      <c r="F159" s="4">
        <v>1</v>
      </c>
      <c r="G159" s="6" t="s">
        <v>37</v>
      </c>
      <c r="H159" s="126" t="s">
        <v>37</v>
      </c>
    </row>
    <row r="160" spans="2:12" x14ac:dyDescent="0.3">
      <c r="B160" s="4">
        <v>246</v>
      </c>
      <c r="C160" s="4" t="s">
        <v>130</v>
      </c>
      <c r="D160" s="4" t="s">
        <v>171</v>
      </c>
      <c r="E160" s="4" t="s">
        <v>164</v>
      </c>
      <c r="F160" s="4">
        <v>1</v>
      </c>
      <c r="G160" s="6" t="s">
        <v>37</v>
      </c>
      <c r="H160" s="126" t="s">
        <v>37</v>
      </c>
    </row>
    <row r="161" spans="2:8" x14ac:dyDescent="0.3">
      <c r="B161" s="4">
        <v>247</v>
      </c>
      <c r="C161" s="4" t="s">
        <v>33</v>
      </c>
      <c r="D161" s="4" t="s">
        <v>73</v>
      </c>
      <c r="E161" s="4" t="s">
        <v>164</v>
      </c>
      <c r="F161" s="4">
        <v>1</v>
      </c>
      <c r="G161" s="4" t="s">
        <v>292</v>
      </c>
      <c r="H161" s="126" t="s">
        <v>292</v>
      </c>
    </row>
    <row r="162" spans="2:8" x14ac:dyDescent="0.3">
      <c r="B162" s="4">
        <v>248</v>
      </c>
      <c r="C162" s="4" t="s">
        <v>62</v>
      </c>
      <c r="D162" s="4" t="s">
        <v>73</v>
      </c>
      <c r="E162" s="4" t="s">
        <v>164</v>
      </c>
      <c r="F162" s="4">
        <v>1</v>
      </c>
      <c r="G162" s="4" t="s">
        <v>292</v>
      </c>
      <c r="H162" s="126" t="s">
        <v>292</v>
      </c>
    </row>
    <row r="163" spans="2:8" x14ac:dyDescent="0.3">
      <c r="B163" s="4">
        <v>249</v>
      </c>
      <c r="C163" s="4" t="s">
        <v>131</v>
      </c>
      <c r="D163" s="4" t="s">
        <v>222</v>
      </c>
      <c r="E163" s="4" t="s">
        <v>164</v>
      </c>
      <c r="F163" s="4">
        <v>1</v>
      </c>
      <c r="G163" s="4" t="s">
        <v>292</v>
      </c>
      <c r="H163" s="126" t="s">
        <v>338</v>
      </c>
    </row>
    <row r="164" spans="2:8" x14ac:dyDescent="0.3">
      <c r="B164" s="4">
        <v>251</v>
      </c>
      <c r="C164" s="4" t="s">
        <v>21</v>
      </c>
      <c r="D164" s="4" t="s">
        <v>73</v>
      </c>
      <c r="E164" s="4" t="s">
        <v>164</v>
      </c>
      <c r="F164" s="4">
        <v>1</v>
      </c>
      <c r="G164" s="4" t="s">
        <v>292</v>
      </c>
      <c r="H164" s="126" t="s">
        <v>292</v>
      </c>
    </row>
    <row r="165" spans="2:8" x14ac:dyDescent="0.3">
      <c r="B165" s="4">
        <v>252</v>
      </c>
      <c r="C165" s="4" t="s">
        <v>195</v>
      </c>
      <c r="D165" s="4" t="s">
        <v>136</v>
      </c>
      <c r="E165" s="4" t="s">
        <v>164</v>
      </c>
      <c r="F165" s="4">
        <v>1</v>
      </c>
      <c r="G165" s="4" t="s">
        <v>164</v>
      </c>
      <c r="H165" s="126" t="s">
        <v>164</v>
      </c>
    </row>
    <row r="166" spans="2:8" x14ac:dyDescent="0.3">
      <c r="B166" s="4">
        <v>253</v>
      </c>
      <c r="C166" s="4" t="s">
        <v>132</v>
      </c>
      <c r="D166" s="4" t="s">
        <v>174</v>
      </c>
      <c r="E166" s="4" t="s">
        <v>164</v>
      </c>
      <c r="F166" s="4">
        <v>1</v>
      </c>
      <c r="G166" s="4" t="s">
        <v>164</v>
      </c>
      <c r="H166" s="126" t="s">
        <v>164</v>
      </c>
    </row>
    <row r="167" spans="2:8" x14ac:dyDescent="0.3">
      <c r="B167" s="4">
        <v>254</v>
      </c>
      <c r="C167" s="4" t="s">
        <v>206</v>
      </c>
      <c r="D167" s="4" t="s">
        <v>133</v>
      </c>
      <c r="E167" s="4" t="s">
        <v>166</v>
      </c>
      <c r="F167" s="4">
        <v>3</v>
      </c>
      <c r="G167" s="4" t="s">
        <v>166</v>
      </c>
      <c r="H167" s="126" t="s">
        <v>166</v>
      </c>
    </row>
    <row r="168" spans="2:8" x14ac:dyDescent="0.3">
      <c r="B168" s="4">
        <v>255</v>
      </c>
      <c r="C168" s="4" t="s">
        <v>134</v>
      </c>
      <c r="D168" s="4" t="s">
        <v>189</v>
      </c>
      <c r="E168" s="4" t="s">
        <v>164</v>
      </c>
      <c r="F168" s="4">
        <v>1</v>
      </c>
      <c r="G168" s="4" t="s">
        <v>164</v>
      </c>
      <c r="H168" s="126" t="s">
        <v>164</v>
      </c>
    </row>
    <row r="169" spans="2:8" x14ac:dyDescent="0.3">
      <c r="B169" s="4">
        <v>257</v>
      </c>
      <c r="C169" s="4" t="s">
        <v>196</v>
      </c>
      <c r="D169" s="4" t="s">
        <v>174</v>
      </c>
      <c r="E169" s="4" t="s">
        <v>164</v>
      </c>
      <c r="F169" s="4">
        <v>1</v>
      </c>
      <c r="G169" s="4" t="s">
        <v>164</v>
      </c>
      <c r="H169" s="126" t="s">
        <v>164</v>
      </c>
    </row>
    <row r="170" spans="2:8" x14ac:dyDescent="0.3">
      <c r="B170" s="4">
        <v>258</v>
      </c>
      <c r="C170" s="4" t="s">
        <v>155</v>
      </c>
      <c r="D170" s="4"/>
      <c r="E170" s="4" t="s">
        <v>164</v>
      </c>
      <c r="F170" s="4">
        <v>1</v>
      </c>
      <c r="G170" s="6" t="s">
        <v>164</v>
      </c>
      <c r="H170" s="126" t="s">
        <v>164</v>
      </c>
    </row>
    <row r="171" spans="2:8" x14ac:dyDescent="0.3">
      <c r="B171" s="4">
        <v>259</v>
      </c>
      <c r="C171" s="4" t="s">
        <v>135</v>
      </c>
      <c r="D171" s="4" t="s">
        <v>136</v>
      </c>
      <c r="E171" s="4" t="s">
        <v>164</v>
      </c>
      <c r="F171" s="4">
        <v>1</v>
      </c>
      <c r="G171" s="4" t="s">
        <v>164</v>
      </c>
      <c r="H171" s="126" t="s">
        <v>164</v>
      </c>
    </row>
    <row r="172" spans="2:8" x14ac:dyDescent="0.3">
      <c r="B172" s="4">
        <v>261</v>
      </c>
      <c r="C172" s="4" t="s">
        <v>183</v>
      </c>
      <c r="D172" s="4" t="s">
        <v>73</v>
      </c>
      <c r="E172" s="4" t="s">
        <v>164</v>
      </c>
      <c r="F172" s="4">
        <v>1</v>
      </c>
      <c r="G172" s="4" t="s">
        <v>292</v>
      </c>
      <c r="H172" s="126" t="s">
        <v>292</v>
      </c>
    </row>
    <row r="173" spans="2:8" x14ac:dyDescent="0.3">
      <c r="B173" s="4">
        <v>262</v>
      </c>
      <c r="C173" s="4" t="s">
        <v>214</v>
      </c>
      <c r="D173" s="4" t="s">
        <v>98</v>
      </c>
      <c r="E173" s="4" t="s">
        <v>164</v>
      </c>
      <c r="F173" s="4">
        <v>1</v>
      </c>
      <c r="G173" s="4" t="s">
        <v>164</v>
      </c>
      <c r="H173" s="126" t="s">
        <v>164</v>
      </c>
    </row>
    <row r="174" spans="2:8" x14ac:dyDescent="0.3">
      <c r="B174" s="4">
        <v>263</v>
      </c>
      <c r="C174" s="4" t="s">
        <v>197</v>
      </c>
      <c r="D174" s="4" t="s">
        <v>98</v>
      </c>
      <c r="E174" s="4" t="s">
        <v>164</v>
      </c>
      <c r="F174" s="4">
        <v>1</v>
      </c>
      <c r="G174" s="4" t="s">
        <v>164</v>
      </c>
      <c r="H174" s="126" t="s">
        <v>164</v>
      </c>
    </row>
    <row r="175" spans="2:8" x14ac:dyDescent="0.3">
      <c r="B175" s="4">
        <v>265</v>
      </c>
      <c r="C175" s="4" t="s">
        <v>247</v>
      </c>
      <c r="D175" s="4"/>
      <c r="E175" s="4" t="s">
        <v>164</v>
      </c>
      <c r="F175" s="4">
        <v>1</v>
      </c>
      <c r="G175" s="4" t="s">
        <v>312</v>
      </c>
      <c r="H175" s="126" t="s">
        <v>312</v>
      </c>
    </row>
    <row r="176" spans="2:8" x14ac:dyDescent="0.3">
      <c r="B176" s="4">
        <v>266</v>
      </c>
      <c r="C176" s="4" t="s">
        <v>37</v>
      </c>
      <c r="D176" s="4" t="s">
        <v>171</v>
      </c>
      <c r="E176" s="4" t="s">
        <v>164</v>
      </c>
      <c r="F176" s="4">
        <v>1</v>
      </c>
      <c r="G176" s="6" t="s">
        <v>37</v>
      </c>
      <c r="H176" s="126" t="s">
        <v>37</v>
      </c>
    </row>
    <row r="177" spans="2:8" x14ac:dyDescent="0.3">
      <c r="B177" s="4">
        <v>267</v>
      </c>
      <c r="C177" s="4" t="s">
        <v>248</v>
      </c>
      <c r="D177" s="4"/>
      <c r="E177" s="4" t="s">
        <v>164</v>
      </c>
      <c r="F177" s="4">
        <v>1</v>
      </c>
      <c r="G177" s="4" t="s">
        <v>312</v>
      </c>
      <c r="H177" s="126"/>
    </row>
    <row r="178" spans="2:8" x14ac:dyDescent="0.3">
      <c r="B178" s="4">
        <v>269</v>
      </c>
      <c r="C178" s="4" t="s">
        <v>54</v>
      </c>
      <c r="D178" s="4" t="s">
        <v>190</v>
      </c>
      <c r="E178" s="4" t="s">
        <v>167</v>
      </c>
      <c r="F178" s="4">
        <v>4</v>
      </c>
      <c r="G178" s="4" t="s">
        <v>167</v>
      </c>
      <c r="H178" s="126" t="s">
        <v>340</v>
      </c>
    </row>
    <row r="179" spans="2:8" x14ac:dyDescent="0.3">
      <c r="B179" s="4">
        <v>270</v>
      </c>
      <c r="C179" s="4" t="s">
        <v>198</v>
      </c>
      <c r="D179" s="4" t="s">
        <v>174</v>
      </c>
      <c r="E179" s="4" t="s">
        <v>164</v>
      </c>
      <c r="F179" s="4">
        <v>1</v>
      </c>
      <c r="G179" s="4" t="s">
        <v>164</v>
      </c>
      <c r="H179" s="126" t="s">
        <v>164</v>
      </c>
    </row>
    <row r="180" spans="2:8" x14ac:dyDescent="0.3">
      <c r="B180" s="4">
        <v>271</v>
      </c>
      <c r="C180" s="4" t="s">
        <v>60</v>
      </c>
      <c r="D180" s="4" t="s">
        <v>177</v>
      </c>
      <c r="E180" s="4" t="s">
        <v>167</v>
      </c>
      <c r="F180" s="4">
        <v>4</v>
      </c>
      <c r="G180" s="4" t="s">
        <v>167</v>
      </c>
      <c r="H180" s="126" t="s">
        <v>167</v>
      </c>
    </row>
    <row r="181" spans="2:8" x14ac:dyDescent="0.3">
      <c r="B181" s="4">
        <v>273</v>
      </c>
      <c r="C181" s="4" t="s">
        <v>137</v>
      </c>
      <c r="D181" s="4" t="s">
        <v>174</v>
      </c>
      <c r="E181" s="4" t="s">
        <v>164</v>
      </c>
      <c r="F181" s="4">
        <v>1</v>
      </c>
      <c r="G181" s="4" t="s">
        <v>164</v>
      </c>
      <c r="H181" s="126" t="s">
        <v>164</v>
      </c>
    </row>
    <row r="182" spans="2:8" x14ac:dyDescent="0.3">
      <c r="B182" s="4">
        <v>274</v>
      </c>
      <c r="C182" s="4" t="s">
        <v>249</v>
      </c>
      <c r="D182" s="4"/>
      <c r="E182" s="4" t="s">
        <v>167</v>
      </c>
      <c r="F182" s="4">
        <v>4</v>
      </c>
      <c r="G182" s="4" t="s">
        <v>312</v>
      </c>
      <c r="H182" s="126" t="s">
        <v>312</v>
      </c>
    </row>
    <row r="183" spans="2:8" x14ac:dyDescent="0.3">
      <c r="B183" s="4">
        <v>275</v>
      </c>
      <c r="C183" s="4" t="s">
        <v>11</v>
      </c>
      <c r="D183" s="4" t="s">
        <v>177</v>
      </c>
      <c r="E183" s="4" t="s">
        <v>167</v>
      </c>
      <c r="F183" s="4">
        <v>4</v>
      </c>
      <c r="G183" s="4" t="s">
        <v>167</v>
      </c>
      <c r="H183" s="126" t="s">
        <v>167</v>
      </c>
    </row>
    <row r="184" spans="2:8" x14ac:dyDescent="0.3">
      <c r="B184" s="4">
        <v>276</v>
      </c>
      <c r="C184" s="4" t="s">
        <v>61</v>
      </c>
      <c r="D184" s="4"/>
      <c r="E184" s="4" t="s">
        <v>167</v>
      </c>
      <c r="F184" s="4">
        <v>4</v>
      </c>
      <c r="G184" s="4" t="s">
        <v>312</v>
      </c>
      <c r="H184" s="126"/>
    </row>
    <row r="185" spans="2:8" x14ac:dyDescent="0.3">
      <c r="B185" s="4">
        <v>277</v>
      </c>
      <c r="C185" s="4" t="s">
        <v>12</v>
      </c>
      <c r="D185" s="4" t="s">
        <v>190</v>
      </c>
      <c r="E185" s="4" t="s">
        <v>167</v>
      </c>
      <c r="F185" s="4">
        <v>4</v>
      </c>
      <c r="G185" s="4" t="s">
        <v>161</v>
      </c>
      <c r="H185" s="126" t="s">
        <v>161</v>
      </c>
    </row>
    <row r="186" spans="2:8" x14ac:dyDescent="0.3">
      <c r="B186" s="4">
        <v>278</v>
      </c>
      <c r="C186" s="4" t="s">
        <v>42</v>
      </c>
      <c r="D186" s="4" t="s">
        <v>136</v>
      </c>
      <c r="E186" s="4" t="s">
        <v>164</v>
      </c>
      <c r="F186" s="4">
        <v>1</v>
      </c>
      <c r="G186" s="4" t="s">
        <v>164</v>
      </c>
      <c r="H186" s="126" t="s">
        <v>164</v>
      </c>
    </row>
    <row r="187" spans="2:8" x14ac:dyDescent="0.3">
      <c r="B187" s="4">
        <v>279</v>
      </c>
      <c r="C187" s="4" t="s">
        <v>43</v>
      </c>
      <c r="D187" s="4" t="s">
        <v>176</v>
      </c>
      <c r="E187" s="4" t="s">
        <v>164</v>
      </c>
      <c r="F187" s="4">
        <v>1</v>
      </c>
      <c r="G187" s="4" t="s">
        <v>291</v>
      </c>
      <c r="H187" s="126" t="s">
        <v>291</v>
      </c>
    </row>
    <row r="188" spans="2:8" x14ac:dyDescent="0.3">
      <c r="B188" s="4">
        <v>280</v>
      </c>
      <c r="C188" s="4" t="s">
        <v>138</v>
      </c>
      <c r="D188" s="4" t="s">
        <v>139</v>
      </c>
      <c r="E188" s="4" t="s">
        <v>167</v>
      </c>
      <c r="F188" s="4">
        <v>4</v>
      </c>
      <c r="G188" s="4" t="s">
        <v>167</v>
      </c>
      <c r="H188" s="126" t="s">
        <v>340</v>
      </c>
    </row>
    <row r="189" spans="2:8" x14ac:dyDescent="0.3">
      <c r="B189" s="4">
        <v>281</v>
      </c>
      <c r="C189" s="4" t="s">
        <v>140</v>
      </c>
      <c r="D189" s="4" t="s">
        <v>136</v>
      </c>
      <c r="E189" s="4" t="s">
        <v>164</v>
      </c>
      <c r="F189" s="4">
        <v>1</v>
      </c>
      <c r="G189" s="4" t="s">
        <v>164</v>
      </c>
      <c r="H189" s="126" t="s">
        <v>164</v>
      </c>
    </row>
    <row r="190" spans="2:8" x14ac:dyDescent="0.3">
      <c r="B190" s="4">
        <v>282</v>
      </c>
      <c r="C190" s="4" t="s">
        <v>250</v>
      </c>
      <c r="D190" s="4"/>
      <c r="E190" s="4" t="s">
        <v>164</v>
      </c>
      <c r="F190" s="4">
        <v>1</v>
      </c>
      <c r="G190" s="4" t="s">
        <v>312</v>
      </c>
      <c r="H190" s="126" t="s">
        <v>312</v>
      </c>
    </row>
    <row r="191" spans="2:8" x14ac:dyDescent="0.3">
      <c r="B191" s="4">
        <v>283</v>
      </c>
      <c r="C191" s="4" t="s">
        <v>213</v>
      </c>
      <c r="D191" s="4" t="s">
        <v>141</v>
      </c>
      <c r="E191" s="4" t="s">
        <v>164</v>
      </c>
      <c r="F191" s="4">
        <v>1</v>
      </c>
      <c r="G191" s="4" t="s">
        <v>164</v>
      </c>
      <c r="H191" s="126" t="s">
        <v>164</v>
      </c>
    </row>
    <row r="192" spans="2:8" x14ac:dyDescent="0.3">
      <c r="B192" s="4">
        <v>284</v>
      </c>
      <c r="C192" s="4" t="s">
        <v>142</v>
      </c>
      <c r="D192" s="4" t="s">
        <v>88</v>
      </c>
      <c r="E192" s="4" t="s">
        <v>165</v>
      </c>
      <c r="F192" s="4">
        <v>2</v>
      </c>
      <c r="G192" s="4" t="s">
        <v>165</v>
      </c>
      <c r="H192" s="126" t="s">
        <v>165</v>
      </c>
    </row>
    <row r="193" spans="2:8" x14ac:dyDescent="0.3">
      <c r="B193" s="4">
        <v>285</v>
      </c>
      <c r="C193" s="4" t="s">
        <v>143</v>
      </c>
      <c r="D193" s="4" t="s">
        <v>176</v>
      </c>
      <c r="E193" s="4" t="s">
        <v>164</v>
      </c>
      <c r="F193" s="4">
        <v>1</v>
      </c>
      <c r="G193" s="4" t="s">
        <v>291</v>
      </c>
      <c r="H193" s="126" t="s">
        <v>291</v>
      </c>
    </row>
    <row r="194" spans="2:8" x14ac:dyDescent="0.3">
      <c r="B194" s="4">
        <v>286</v>
      </c>
      <c r="C194" s="4" t="s">
        <v>208</v>
      </c>
      <c r="D194" s="4" t="s">
        <v>84</v>
      </c>
      <c r="E194" s="4" t="s">
        <v>165</v>
      </c>
      <c r="F194" s="4">
        <v>2</v>
      </c>
      <c r="G194" s="4" t="s">
        <v>165</v>
      </c>
      <c r="H194" s="126" t="s">
        <v>165</v>
      </c>
    </row>
    <row r="195" spans="2:8" x14ac:dyDescent="0.3">
      <c r="B195" s="4">
        <v>287</v>
      </c>
      <c r="C195" s="4" t="s">
        <v>200</v>
      </c>
      <c r="D195" s="4" t="s">
        <v>176</v>
      </c>
      <c r="E195" s="4" t="s">
        <v>164</v>
      </c>
      <c r="F195" s="4">
        <v>1</v>
      </c>
      <c r="G195" s="4" t="s">
        <v>291</v>
      </c>
      <c r="H195" s="126" t="s">
        <v>291</v>
      </c>
    </row>
    <row r="196" spans="2:8" x14ac:dyDescent="0.3">
      <c r="B196" s="4">
        <v>288</v>
      </c>
      <c r="C196" s="4" t="s">
        <v>161</v>
      </c>
      <c r="D196" s="4" t="s">
        <v>360</v>
      </c>
      <c r="E196" s="4" t="s">
        <v>167</v>
      </c>
      <c r="F196" s="4">
        <v>4</v>
      </c>
      <c r="G196" s="4" t="s">
        <v>161</v>
      </c>
      <c r="H196" s="126" t="s">
        <v>161</v>
      </c>
    </row>
    <row r="197" spans="2:8" x14ac:dyDescent="0.3">
      <c r="B197" s="4">
        <v>289</v>
      </c>
      <c r="C197" s="4" t="s">
        <v>251</v>
      </c>
      <c r="D197" s="4"/>
      <c r="E197" s="4" t="s">
        <v>164</v>
      </c>
      <c r="F197" s="4">
        <v>1</v>
      </c>
      <c r="G197" s="4" t="s">
        <v>312</v>
      </c>
      <c r="H197" s="126" t="s">
        <v>312</v>
      </c>
    </row>
    <row r="198" spans="2:8" x14ac:dyDescent="0.3">
      <c r="B198" s="4">
        <v>290</v>
      </c>
      <c r="C198" s="4" t="s">
        <v>207</v>
      </c>
      <c r="D198" s="4" t="s">
        <v>190</v>
      </c>
      <c r="E198" s="4" t="s">
        <v>167</v>
      </c>
      <c r="F198" s="4">
        <v>4</v>
      </c>
      <c r="G198" s="4" t="s">
        <v>167</v>
      </c>
      <c r="H198" s="126" t="s">
        <v>340</v>
      </c>
    </row>
    <row r="199" spans="2:8" x14ac:dyDescent="0.3">
      <c r="B199" s="4">
        <v>291</v>
      </c>
      <c r="C199" s="4" t="s">
        <v>144</v>
      </c>
      <c r="D199" s="4" t="s">
        <v>176</v>
      </c>
      <c r="E199" s="4" t="s">
        <v>164</v>
      </c>
      <c r="F199" s="4">
        <v>1</v>
      </c>
      <c r="G199" s="4" t="s">
        <v>291</v>
      </c>
      <c r="H199" s="126" t="s">
        <v>291</v>
      </c>
    </row>
    <row r="200" spans="2:8" x14ac:dyDescent="0.3">
      <c r="B200" s="4">
        <v>292</v>
      </c>
      <c r="C200" s="4" t="s">
        <v>161</v>
      </c>
      <c r="D200" s="4" t="s">
        <v>360</v>
      </c>
      <c r="E200" s="4" t="s">
        <v>167</v>
      </c>
      <c r="F200" s="4">
        <v>4</v>
      </c>
      <c r="G200" s="4" t="s">
        <v>161</v>
      </c>
      <c r="H200" s="126" t="s">
        <v>161</v>
      </c>
    </row>
    <row r="201" spans="2:8" x14ac:dyDescent="0.3">
      <c r="B201" s="4">
        <v>293</v>
      </c>
      <c r="C201" s="4" t="s">
        <v>161</v>
      </c>
      <c r="D201" s="4"/>
      <c r="E201" s="4" t="s">
        <v>164</v>
      </c>
      <c r="F201" s="4">
        <v>1</v>
      </c>
      <c r="G201" s="4" t="s">
        <v>312</v>
      </c>
      <c r="H201" s="126" t="s">
        <v>312</v>
      </c>
    </row>
    <row r="202" spans="2:8" x14ac:dyDescent="0.3">
      <c r="B202" s="4">
        <v>294</v>
      </c>
      <c r="C202" s="4" t="s">
        <v>145</v>
      </c>
      <c r="D202" s="4" t="s">
        <v>73</v>
      </c>
      <c r="E202" s="4" t="s">
        <v>164</v>
      </c>
      <c r="F202" s="4">
        <v>1</v>
      </c>
      <c r="G202" s="4" t="s">
        <v>292</v>
      </c>
      <c r="H202" s="126" t="s">
        <v>292</v>
      </c>
    </row>
    <row r="203" spans="2:8" x14ac:dyDescent="0.3">
      <c r="B203" s="4">
        <v>295</v>
      </c>
      <c r="C203" s="4" t="s">
        <v>146</v>
      </c>
      <c r="D203" s="4" t="s">
        <v>136</v>
      </c>
      <c r="E203" s="4" t="s">
        <v>164</v>
      </c>
      <c r="F203" s="4">
        <v>1</v>
      </c>
      <c r="G203" s="4" t="s">
        <v>164</v>
      </c>
      <c r="H203" s="126" t="s">
        <v>164</v>
      </c>
    </row>
    <row r="204" spans="2:8" x14ac:dyDescent="0.3">
      <c r="B204" s="4">
        <v>296</v>
      </c>
      <c r="C204" s="4" t="s">
        <v>147</v>
      </c>
      <c r="D204" s="4" t="s">
        <v>176</v>
      </c>
      <c r="E204" s="4" t="s">
        <v>164</v>
      </c>
      <c r="F204" s="4">
        <v>1</v>
      </c>
      <c r="G204" s="4" t="s">
        <v>291</v>
      </c>
      <c r="H204" s="126" t="s">
        <v>291</v>
      </c>
    </row>
    <row r="205" spans="2:8" x14ac:dyDescent="0.3">
      <c r="B205" s="4">
        <v>297</v>
      </c>
      <c r="C205" s="4" t="s">
        <v>148</v>
      </c>
      <c r="D205" s="4" t="s">
        <v>139</v>
      </c>
      <c r="E205" s="4" t="s">
        <v>167</v>
      </c>
      <c r="F205" s="4">
        <v>4</v>
      </c>
      <c r="G205" s="4" t="s">
        <v>167</v>
      </c>
      <c r="H205" s="126" t="s">
        <v>340</v>
      </c>
    </row>
    <row r="206" spans="2:8" x14ac:dyDescent="0.3">
      <c r="B206" s="4">
        <v>298</v>
      </c>
      <c r="C206" s="4"/>
      <c r="D206" s="4"/>
      <c r="E206" s="4"/>
      <c r="F206" s="4"/>
      <c r="G206" s="4" t="s">
        <v>312</v>
      </c>
      <c r="H206" s="126"/>
    </row>
    <row r="207" spans="2:8" x14ac:dyDescent="0.3">
      <c r="B207" s="4">
        <v>299</v>
      </c>
      <c r="C207" s="4" t="s">
        <v>201</v>
      </c>
      <c r="D207" s="4" t="s">
        <v>172</v>
      </c>
      <c r="E207" s="4" t="s">
        <v>164</v>
      </c>
      <c r="F207" s="4">
        <v>1</v>
      </c>
      <c r="G207" s="4" t="s">
        <v>164</v>
      </c>
      <c r="H207" s="126" t="s">
        <v>164</v>
      </c>
    </row>
    <row r="208" spans="2:8" x14ac:dyDescent="0.3">
      <c r="B208" s="4">
        <v>300</v>
      </c>
      <c r="C208" s="4" t="s">
        <v>252</v>
      </c>
      <c r="D208" s="4"/>
      <c r="E208" s="4" t="s">
        <v>164</v>
      </c>
      <c r="F208" s="4">
        <v>1</v>
      </c>
      <c r="G208" s="4" t="s">
        <v>312</v>
      </c>
      <c r="H208" s="126" t="s">
        <v>312</v>
      </c>
    </row>
    <row r="209" spans="2:8" x14ac:dyDescent="0.3">
      <c r="B209" s="4">
        <v>301</v>
      </c>
      <c r="C209" s="4" t="s">
        <v>253</v>
      </c>
      <c r="D209" s="4" t="s">
        <v>179</v>
      </c>
      <c r="E209" s="4" t="s">
        <v>164</v>
      </c>
      <c r="F209" s="4">
        <v>1</v>
      </c>
      <c r="G209" s="4" t="s">
        <v>164</v>
      </c>
      <c r="H209" s="126" t="s">
        <v>164</v>
      </c>
    </row>
    <row r="210" spans="2:8" x14ac:dyDescent="0.3">
      <c r="B210" s="4">
        <v>302</v>
      </c>
      <c r="C210" s="4" t="s">
        <v>161</v>
      </c>
      <c r="D210" s="4" t="s">
        <v>360</v>
      </c>
      <c r="E210" s="4" t="s">
        <v>167</v>
      </c>
      <c r="F210" s="4">
        <v>4</v>
      </c>
      <c r="G210" s="4" t="s">
        <v>161</v>
      </c>
      <c r="H210" s="126" t="s">
        <v>161</v>
      </c>
    </row>
    <row r="211" spans="2:8" x14ac:dyDescent="0.3">
      <c r="B211" s="4">
        <v>303</v>
      </c>
      <c r="C211" s="4" t="s">
        <v>149</v>
      </c>
      <c r="D211" s="4" t="s">
        <v>172</v>
      </c>
      <c r="E211" s="4" t="s">
        <v>164</v>
      </c>
      <c r="F211" s="4">
        <v>1</v>
      </c>
      <c r="G211" s="4" t="s">
        <v>164</v>
      </c>
      <c r="H211" s="126" t="s">
        <v>164</v>
      </c>
    </row>
    <row r="212" spans="2:8" x14ac:dyDescent="0.3">
      <c r="B212" s="4">
        <v>304</v>
      </c>
      <c r="C212" s="4"/>
      <c r="D212" s="4"/>
      <c r="E212" s="4"/>
      <c r="F212" s="4"/>
      <c r="G212" s="4" t="s">
        <v>312</v>
      </c>
      <c r="H212" s="126"/>
    </row>
    <row r="213" spans="2:8" x14ac:dyDescent="0.3">
      <c r="B213" s="4">
        <v>306</v>
      </c>
      <c r="C213" s="4" t="s">
        <v>199</v>
      </c>
      <c r="D213" s="4" t="s">
        <v>172</v>
      </c>
      <c r="E213" s="4" t="s">
        <v>164</v>
      </c>
      <c r="F213" s="4">
        <v>1</v>
      </c>
      <c r="G213" s="4" t="s">
        <v>164</v>
      </c>
      <c r="H213" s="126" t="s">
        <v>164</v>
      </c>
    </row>
    <row r="214" spans="2:8" x14ac:dyDescent="0.3">
      <c r="B214" s="4">
        <v>313</v>
      </c>
      <c r="C214" s="2" t="s">
        <v>254</v>
      </c>
      <c r="D214" s="4"/>
      <c r="E214" s="4" t="s">
        <v>164</v>
      </c>
      <c r="F214" s="4">
        <v>1</v>
      </c>
      <c r="G214" s="4" t="s">
        <v>312</v>
      </c>
      <c r="H214" s="126" t="s">
        <v>312</v>
      </c>
    </row>
    <row r="215" spans="2:8" x14ac:dyDescent="0.3">
      <c r="B215" s="4">
        <v>314</v>
      </c>
      <c r="C215" s="4"/>
      <c r="D215" s="4"/>
      <c r="E215" s="4"/>
      <c r="F215" s="4"/>
      <c r="G215" s="4" t="s">
        <v>312</v>
      </c>
      <c r="H215" s="126"/>
    </row>
    <row r="216" spans="2:8" x14ac:dyDescent="0.3">
      <c r="B216" s="4">
        <v>315</v>
      </c>
      <c r="C216" s="4" t="s">
        <v>120</v>
      </c>
      <c r="D216" s="4" t="s">
        <v>172</v>
      </c>
      <c r="E216" s="4" t="s">
        <v>164</v>
      </c>
      <c r="F216" s="4">
        <v>1</v>
      </c>
      <c r="G216" s="4" t="s">
        <v>164</v>
      </c>
      <c r="H216" s="126" t="s">
        <v>164</v>
      </c>
    </row>
    <row r="217" spans="2:8" x14ac:dyDescent="0.3">
      <c r="B217" s="4">
        <v>316</v>
      </c>
      <c r="C217" s="4" t="s">
        <v>150</v>
      </c>
      <c r="D217" s="4" t="s">
        <v>172</v>
      </c>
      <c r="E217" s="4" t="s">
        <v>164</v>
      </c>
      <c r="F217" s="4">
        <v>1</v>
      </c>
      <c r="G217" s="4" t="s">
        <v>164</v>
      </c>
      <c r="H217" s="126" t="s">
        <v>164</v>
      </c>
    </row>
    <row r="218" spans="2:8" x14ac:dyDescent="0.3">
      <c r="B218" s="4">
        <v>317</v>
      </c>
      <c r="C218" s="4"/>
      <c r="D218" s="4"/>
      <c r="E218" s="4"/>
      <c r="F218" s="4"/>
      <c r="G218" s="4" t="s">
        <v>312</v>
      </c>
      <c r="H218" s="126" t="s">
        <v>312</v>
      </c>
    </row>
    <row r="219" spans="2:8" x14ac:dyDescent="0.3">
      <c r="B219" s="4">
        <v>318</v>
      </c>
      <c r="C219" s="4" t="s">
        <v>194</v>
      </c>
      <c r="D219" s="4" t="s">
        <v>179</v>
      </c>
      <c r="E219" s="4" t="s">
        <v>164</v>
      </c>
      <c r="F219" s="4">
        <v>1</v>
      </c>
      <c r="G219" s="4" t="s">
        <v>164</v>
      </c>
      <c r="H219" s="126" t="s">
        <v>164</v>
      </c>
    </row>
    <row r="220" spans="2:8" x14ac:dyDescent="0.3">
      <c r="B220" s="4">
        <v>319</v>
      </c>
      <c r="C220" s="4"/>
      <c r="D220" s="4"/>
      <c r="E220" s="4"/>
      <c r="F220" s="4"/>
      <c r="G220" s="4" t="s">
        <v>312</v>
      </c>
      <c r="H220" s="126"/>
    </row>
    <row r="221" spans="2:8" x14ac:dyDescent="0.3">
      <c r="B221" s="4">
        <v>320</v>
      </c>
      <c r="C221" s="2" t="s">
        <v>255</v>
      </c>
      <c r="D221" s="4" t="s">
        <v>179</v>
      </c>
      <c r="E221" s="4" t="s">
        <v>164</v>
      </c>
      <c r="F221" s="4">
        <v>1</v>
      </c>
      <c r="G221" s="4" t="s">
        <v>164</v>
      </c>
      <c r="H221" s="126" t="s">
        <v>164</v>
      </c>
    </row>
    <row r="222" spans="2:8" x14ac:dyDescent="0.3">
      <c r="B222" s="4" t="s">
        <v>151</v>
      </c>
      <c r="C222" s="4" t="s">
        <v>152</v>
      </c>
      <c r="D222" s="4" t="s">
        <v>81</v>
      </c>
      <c r="E222" s="4"/>
      <c r="F222" s="4"/>
      <c r="G222" s="4" t="s">
        <v>312</v>
      </c>
      <c r="H222" s="126" t="s">
        <v>312</v>
      </c>
    </row>
    <row r="223" spans="2:8" x14ac:dyDescent="0.3">
      <c r="B223" s="4" t="s">
        <v>151</v>
      </c>
      <c r="C223" s="4" t="s">
        <v>52</v>
      </c>
      <c r="D223" s="4" t="s">
        <v>81</v>
      </c>
      <c r="E223" s="4"/>
      <c r="F223" s="4"/>
      <c r="G223" s="4" t="s">
        <v>312</v>
      </c>
      <c r="H223" s="126" t="s">
        <v>312</v>
      </c>
    </row>
    <row r="224" spans="2:8" x14ac:dyDescent="0.3">
      <c r="B224" s="4" t="s">
        <v>151</v>
      </c>
      <c r="C224" s="4" t="s">
        <v>153</v>
      </c>
      <c r="D224" s="4" t="s">
        <v>81</v>
      </c>
      <c r="E224" s="4"/>
      <c r="F224" s="4"/>
      <c r="G224" s="4" t="s">
        <v>312</v>
      </c>
      <c r="H224" s="126" t="s">
        <v>312</v>
      </c>
    </row>
    <row r="225" spans="2:8" x14ac:dyDescent="0.3">
      <c r="B225" s="4" t="s">
        <v>151</v>
      </c>
      <c r="C225" s="4" t="s">
        <v>154</v>
      </c>
      <c r="D225" s="4" t="s">
        <v>81</v>
      </c>
      <c r="E225" s="4"/>
      <c r="F225" s="4"/>
      <c r="G225" s="4" t="s">
        <v>312</v>
      </c>
      <c r="H225" s="126" t="s">
        <v>312</v>
      </c>
    </row>
    <row r="226" spans="2:8" x14ac:dyDescent="0.3">
      <c r="B226" s="4" t="s">
        <v>151</v>
      </c>
      <c r="C226" s="4" t="s">
        <v>155</v>
      </c>
      <c r="D226" s="4" t="s">
        <v>81</v>
      </c>
      <c r="E226" s="4"/>
      <c r="F226" s="4"/>
      <c r="G226" s="4" t="s">
        <v>312</v>
      </c>
      <c r="H226" s="126" t="s">
        <v>312</v>
      </c>
    </row>
    <row r="227" spans="2:8" x14ac:dyDescent="0.3">
      <c r="B227" s="4" t="s">
        <v>151</v>
      </c>
      <c r="C227" s="4" t="s">
        <v>156</v>
      </c>
      <c r="D227" s="4" t="s">
        <v>81</v>
      </c>
      <c r="E227" s="4"/>
      <c r="F227" s="4"/>
      <c r="G227" s="4" t="s">
        <v>312</v>
      </c>
      <c r="H227" s="126" t="s">
        <v>312</v>
      </c>
    </row>
    <row r="228" spans="2:8" x14ac:dyDescent="0.3">
      <c r="B228" s="4" t="s">
        <v>151</v>
      </c>
      <c r="C228" s="4" t="s">
        <v>157</v>
      </c>
      <c r="D228" s="4" t="s">
        <v>81</v>
      </c>
      <c r="E228" s="4"/>
      <c r="F228" s="4"/>
      <c r="G228" s="4" t="s">
        <v>312</v>
      </c>
      <c r="H228" s="126" t="s">
        <v>312</v>
      </c>
    </row>
    <row r="229" spans="2:8" x14ac:dyDescent="0.3">
      <c r="B229" s="4" t="s">
        <v>151</v>
      </c>
      <c r="C229" s="4" t="s">
        <v>158</v>
      </c>
      <c r="D229" s="4" t="s">
        <v>81</v>
      </c>
      <c r="E229" s="4"/>
      <c r="F229" s="4"/>
      <c r="G229" s="4" t="s">
        <v>312</v>
      </c>
      <c r="H229" s="126" t="s">
        <v>312</v>
      </c>
    </row>
    <row r="230" spans="2:8" x14ac:dyDescent="0.3">
      <c r="B230" s="4" t="s">
        <v>151</v>
      </c>
      <c r="C230" s="4" t="s">
        <v>159</v>
      </c>
      <c r="D230" s="4" t="s">
        <v>81</v>
      </c>
      <c r="E230" s="4"/>
      <c r="F230" s="4"/>
      <c r="G230" s="4" t="s">
        <v>312</v>
      </c>
      <c r="H230" s="126" t="s">
        <v>312</v>
      </c>
    </row>
    <row r="231" spans="2:8" x14ac:dyDescent="0.3">
      <c r="B231" s="4" t="s">
        <v>151</v>
      </c>
      <c r="C231" s="4" t="s">
        <v>160</v>
      </c>
      <c r="D231" s="4" t="s">
        <v>81</v>
      </c>
      <c r="E231" s="4"/>
      <c r="F231" s="4"/>
      <c r="G231" s="4" t="s">
        <v>312</v>
      </c>
      <c r="H231" s="126" t="s">
        <v>312</v>
      </c>
    </row>
    <row r="232" spans="2:8" x14ac:dyDescent="0.3">
      <c r="B232" s="4" t="s">
        <v>151</v>
      </c>
      <c r="C232" s="4" t="s">
        <v>161</v>
      </c>
      <c r="D232" s="4" t="s">
        <v>81</v>
      </c>
      <c r="E232" s="4"/>
      <c r="F232" s="4"/>
      <c r="G232" s="4" t="s">
        <v>312</v>
      </c>
      <c r="H232" s="126" t="s">
        <v>312</v>
      </c>
    </row>
    <row r="233" spans="2:8" x14ac:dyDescent="0.3">
      <c r="B233" s="4">
        <v>901</v>
      </c>
      <c r="C233" s="4"/>
      <c r="D233" s="4"/>
      <c r="E233" s="4"/>
      <c r="F233" s="4"/>
      <c r="G233" s="4"/>
      <c r="H233" s="126"/>
    </row>
    <row r="234" spans="2:8" x14ac:dyDescent="0.3">
      <c r="B234" s="4">
        <v>902</v>
      </c>
      <c r="C234" s="4"/>
      <c r="D234" s="4"/>
      <c r="E234" s="4"/>
      <c r="F234" s="4"/>
      <c r="G234" s="4"/>
      <c r="H234" s="126"/>
    </row>
    <row r="235" spans="2:8" x14ac:dyDescent="0.3">
      <c r="B235" s="4">
        <v>903</v>
      </c>
      <c r="C235" s="4"/>
      <c r="D235" s="4"/>
      <c r="E235" s="4"/>
      <c r="F235" s="4"/>
      <c r="G235" s="4"/>
      <c r="H235" s="126"/>
    </row>
    <row r="236" spans="2:8" x14ac:dyDescent="0.3">
      <c r="B236" s="4">
        <v>904</v>
      </c>
      <c r="C236" s="4"/>
      <c r="D236" s="4"/>
      <c r="E236" s="4"/>
      <c r="F236" s="4"/>
      <c r="G236" s="4"/>
      <c r="H236" s="126"/>
    </row>
    <row r="237" spans="2:8" x14ac:dyDescent="0.3">
      <c r="B237" s="4">
        <v>905</v>
      </c>
      <c r="C237" s="4"/>
      <c r="D237" s="4"/>
      <c r="E237" s="4"/>
      <c r="F237" s="4"/>
      <c r="G237" s="4"/>
      <c r="H237" s="126"/>
    </row>
    <row r="238" spans="2:8" x14ac:dyDescent="0.3">
      <c r="B238" s="4">
        <v>906</v>
      </c>
      <c r="C238" s="4"/>
      <c r="D238" s="4"/>
      <c r="E238" s="4"/>
      <c r="F238" s="4"/>
      <c r="G238" s="4"/>
      <c r="H238" s="126"/>
    </row>
    <row r="239" spans="2:8" x14ac:dyDescent="0.3">
      <c r="B239" s="4">
        <v>907</v>
      </c>
      <c r="C239" s="4" t="s">
        <v>36</v>
      </c>
      <c r="D239" s="4" t="s">
        <v>171</v>
      </c>
      <c r="E239" s="4" t="s">
        <v>164</v>
      </c>
      <c r="F239" s="4">
        <v>1</v>
      </c>
      <c r="G239" s="4" t="s">
        <v>292</v>
      </c>
      <c r="H239" s="126" t="s">
        <v>338</v>
      </c>
    </row>
    <row r="240" spans="2:8" x14ac:dyDescent="0.3">
      <c r="B240" s="4">
        <v>908</v>
      </c>
      <c r="C240" s="5" t="s">
        <v>358</v>
      </c>
      <c r="D240" s="4" t="s">
        <v>171</v>
      </c>
      <c r="E240" s="4" t="s">
        <v>164</v>
      </c>
      <c r="F240" s="4">
        <v>1</v>
      </c>
      <c r="G240" s="4" t="s">
        <v>292</v>
      </c>
      <c r="H240" s="126" t="s">
        <v>292</v>
      </c>
    </row>
    <row r="241" spans="2:8" x14ac:dyDescent="0.3">
      <c r="B241" s="4">
        <v>909</v>
      </c>
      <c r="C241" s="5" t="s">
        <v>359</v>
      </c>
      <c r="D241" s="4" t="s">
        <v>171</v>
      </c>
      <c r="E241" s="4" t="s">
        <v>164</v>
      </c>
      <c r="F241" s="4">
        <v>1</v>
      </c>
      <c r="G241" s="4" t="s">
        <v>37</v>
      </c>
      <c r="H241" s="126" t="s">
        <v>37</v>
      </c>
    </row>
  </sheetData>
  <autoFilter ref="B2:H241" xr:uid="{00000000-0001-0000-0500-000000000000}"/>
  <sortState xmlns:xlrd2="http://schemas.microsoft.com/office/spreadsheetml/2017/richdata2" ref="M2:O352">
    <sortCondition ref="N2:N35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Prevs</vt:lpstr>
      <vt:lpstr>Reservatórios</vt:lpstr>
      <vt:lpstr>Enas</vt:lpstr>
      <vt:lpstr>Usinas</vt:lpstr>
    </vt:vector>
  </TitlesOfParts>
  <Company>Tesla Energia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C. F.</dc:creator>
  <cp:lastModifiedBy>Mario Moura</cp:lastModifiedBy>
  <cp:lastPrinted>2018-05-21T21:56:11Z</cp:lastPrinted>
  <dcterms:created xsi:type="dcterms:W3CDTF">2013-04-04T18:58:54Z</dcterms:created>
  <dcterms:modified xsi:type="dcterms:W3CDTF">2024-09-30T20:28:19Z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ada97e5b-2c31-4584-9562-0b7218047188</vt:lpwstr>
  </property>
  <property fmtid="{D5CDD505-2E9C-101B-9397-08002B2CF9AE}" pid="3" name="Workbook type">
    <vt:lpwstr>Custom</vt:lpwstr>
  </property>
  <property fmtid="{D5CDD505-2E9C-101B-9397-08002B2CF9AE}" pid="4" name="Workbook version">
    <vt:lpwstr>Custom</vt:lpwstr>
  </property>
</Properties>
</file>